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280" yWindow="760" windowWidth="34540" windowHeight="19560" tabRatio="500" firstSheet="0" activeTab="0" autoFilterDateGrouping="1"/>
  </bookViews>
  <sheets>
    <sheet name="Client Setup" sheetId="1" state="visible" r:id="rId1"/>
    <sheet name="Venue Estimate" sheetId="2" state="visible" r:id="rId2"/>
    <sheet name="Decor Estimate" sheetId="3" state="visible" r:id="rId3"/>
    <sheet name="SAMPLE Decor Estimate" sheetId="4" state="visible" r:id="rId4"/>
  </sheets>
  <definedNames>
    <definedName name="CategoryList">'Client Setup'!$A$23:$A$33</definedName>
    <definedName name="CategoryTable">'Client Setup'!$A$23:$B$33</definedName>
    <definedName name="DestinationList">'Client Setup'!$I$61:$I$71</definedName>
    <definedName name="DriveRoutes">'Client Setup'!$A$57:$B$65</definedName>
    <definedName name="FlightTypes">'Client Setup'!$A$75:$C$77</definedName>
    <definedName name="HotelRates">'Client Setup'!$A$82:$C$90</definedName>
    <definedName name="LocationList">'Client Setup'!$A$124:$A$145</definedName>
    <definedName name="OriginList">'Client Setup'!$I$53:$I$58</definedName>
    <definedName name="PerDiemRates">'Client Setup'!$A$94:$C$95</definedName>
    <definedName name="TrainRoutes">'Client Setup'!$A$69:$C$71</definedName>
    <definedName name="VehicleRates">'Client Setup'!$A$105:$G$114</definedName>
  </definedNames>
  <calcPr calcId="191029" fullCalcOnLoad="1" iterateDelta="0.0001"/>
</workbook>
</file>

<file path=xl/styles.xml><?xml version="1.0" encoding="utf-8"?>
<styleSheet xmlns="http://schemas.openxmlformats.org/spreadsheetml/2006/main">
  <numFmts count="5">
    <numFmt numFmtId="164" formatCode="0.0%"/>
    <numFmt numFmtId="165" formatCode="0.0000%"/>
    <numFmt numFmtId="166" formatCode="\$#,##0.00"/>
    <numFmt numFmtId="167" formatCode="\$#,##0"/>
    <numFmt numFmtId="168" formatCode="mm/dd/yyyy"/>
  </numFmts>
  <fonts count="40">
    <font>
      <name val="Calibri"/>
      <charset val="1"/>
      <color theme="1"/>
      <sz val="11"/>
    </font>
    <font>
      <name val="Playfair Display"/>
      <charset val="1"/>
      <color theme="1"/>
      <sz val="11"/>
    </font>
    <font>
      <name val="Playfair Display"/>
      <charset val="1"/>
      <color rgb="FFA9AEB4"/>
      <sz val="11"/>
    </font>
    <font>
      <name val="Playfair Display"/>
      <charset val="1"/>
      <b val="1"/>
      <color rgb="FFECDFCE"/>
      <sz val="11"/>
    </font>
    <font>
      <name val="Playfair Display"/>
      <charset val="1"/>
      <b val="1"/>
      <color rgb="FF464543"/>
      <sz val="10"/>
    </font>
    <font>
      <name val="Playfair Display"/>
      <charset val="1"/>
      <b val="1"/>
      <color rgb="FF846E60"/>
      <sz val="10"/>
    </font>
    <font>
      <name val="Playfair Display"/>
      <charset val="1"/>
      <i val="1"/>
      <color rgb="FFA9AEB4"/>
      <sz val="9"/>
    </font>
    <font>
      <name val="Playfair Display"/>
      <charset val="1"/>
      <color rgb="FF464543"/>
      <sz val="10"/>
    </font>
    <font>
      <name val="Playfair Display"/>
      <charset val="1"/>
      <b val="1"/>
      <color rgb="FFA9AEB4"/>
      <sz val="8"/>
    </font>
    <font>
      <name val="Playfair Display"/>
      <charset val="1"/>
      <color rgb="FFA9AEB4"/>
      <sz val="8"/>
    </font>
    <font>
      <name val="Playfair Display"/>
      <charset val="1"/>
      <color rgb="FFA9AEB4"/>
      <sz val="9"/>
    </font>
    <font>
      <name val="Cambria"/>
      <family val="1"/>
      <sz val="11"/>
    </font>
    <font>
      <name val="Playfair Display"/>
      <charset val="1"/>
      <b val="1"/>
      <color rgb="FFECDFCE"/>
      <sz val="12"/>
    </font>
    <font>
      <name val="Playfair Display"/>
      <charset val="1"/>
      <b val="1"/>
      <color rgb="FF464543"/>
      <sz val="11"/>
    </font>
    <font>
      <name val="Playfair Display"/>
      <charset val="1"/>
      <color rgb="FF464543"/>
      <sz val="11"/>
    </font>
    <font>
      <name val="Playfair Display"/>
      <charset val="1"/>
      <b val="1"/>
      <color rgb="FFA9AEB4"/>
      <sz val="9"/>
    </font>
    <font>
      <name val="Playfair Display"/>
      <charset val="1"/>
      <b val="1"/>
      <color rgb="FFECDFCE"/>
      <sz val="10"/>
    </font>
    <font>
      <name val="Playfair Display"/>
      <charset val="1"/>
      <b val="1"/>
      <color rgb="FF856404"/>
      <sz val="10"/>
    </font>
    <font>
      <name val="Playfair Display"/>
      <charset val="1"/>
      <b val="1"/>
      <color rgb="FF464543"/>
      <sz val="13"/>
    </font>
    <font>
      <name val="Playfair Display"/>
      <charset val="1"/>
      <color rgb="FFA9AEB4"/>
      <sz val="10"/>
    </font>
    <font>
      <name val="Playfair Display"/>
      <charset val="1"/>
      <b val="1"/>
      <color rgb="FF846E60"/>
      <sz val="9"/>
    </font>
    <font>
      <name val="Playfair Display"/>
      <charset val="1"/>
      <b val="1"/>
      <color rgb="FFECDFCE"/>
      <sz val="13"/>
    </font>
    <font>
      <name val="Playfair Display"/>
      <charset val="1"/>
      <b val="1"/>
      <color rgb="FFC19C81"/>
      <sz val="12"/>
    </font>
    <font>
      <name val="Playfair Display"/>
      <charset val="1"/>
      <b val="1"/>
      <color rgb="FF464543"/>
      <sz val="12"/>
    </font>
    <font>
      <name val="Playfair Display"/>
      <charset val="1"/>
      <b val="1"/>
      <sz val="10"/>
    </font>
    <font>
      <name val="Playfair Display"/>
      <charset val="1"/>
      <b val="1"/>
      <color rgb="FFC19C81"/>
      <sz val="10"/>
    </font>
    <font>
      <name val="Playfair Display"/>
      <charset val="1"/>
      <i val="1"/>
      <color rgb="FF846E60"/>
      <sz val="9"/>
    </font>
    <font>
      <name val="Playfair Display"/>
      <b val="1"/>
      <color rgb="FF464543"/>
      <sz val="10"/>
    </font>
    <font>
      <name val="Playfair Display"/>
      <b val="1"/>
      <color rgb="FF846E60"/>
      <sz val="10"/>
    </font>
    <font>
      <name val="Playfair Display"/>
      <b val="1"/>
      <color rgb="FFECDFCE"/>
      <sz val="10"/>
    </font>
    <font>
      <name val="Playfair Display"/>
      <color rgb="FF464543"/>
      <sz val="10"/>
    </font>
    <font>
      <name val="Playfair Display"/>
      <color rgb="FFA9AEB4"/>
      <sz val="9"/>
    </font>
    <font>
      <name val="Playfair Display"/>
      <color rgb="FFA9AEB4"/>
      <sz val="8"/>
    </font>
    <font>
      <name val="Playfair Display"/>
      <b val="1"/>
      <color rgb="FF846E60"/>
      <sz val="11"/>
    </font>
    <font>
      <name val="Playfair Display"/>
      <b val="1"/>
      <color rgb="FFC19C81"/>
      <sz val="10"/>
    </font>
    <font>
      <name val="Playfair Display"/>
      <color rgb="FF846E60"/>
      <sz val="10"/>
    </font>
    <font>
      <name val="Calibri"/>
      <family val="2"/>
      <sz val="11"/>
    </font>
    <font>
      <name val="Playfair Display"/>
      <i val="1"/>
      <color rgb="FF846E60"/>
      <sz val="9"/>
    </font>
    <font>
      <name val="Playfair Display"/>
      <b val="1"/>
      <color rgb="FF464543"/>
      <sz val="9"/>
    </font>
    <font>
      <name val="Playfair Display"/>
      <color rgb="FF464543"/>
      <sz val="9"/>
    </font>
  </fonts>
  <fills count="23">
    <fill>
      <patternFill/>
    </fill>
    <fill>
      <patternFill patternType="gray125"/>
    </fill>
    <fill>
      <patternFill patternType="solid">
        <fgColor rgb="FF464543"/>
        <bgColor rgb="FF333300"/>
      </patternFill>
    </fill>
    <fill>
      <patternFill patternType="solid">
        <fgColor rgb="FF846E60"/>
        <bgColor rgb="FF666699"/>
      </patternFill>
    </fill>
    <fill>
      <patternFill patternType="solid">
        <fgColor rgb="FFFAF6F3"/>
        <bgColor rgb="FFFFF8F0"/>
      </patternFill>
    </fill>
    <fill>
      <patternFill patternType="solid">
        <fgColor rgb="FFFFF8F0"/>
        <bgColor rgb="FFFAF6F3"/>
      </patternFill>
    </fill>
    <fill>
      <patternFill patternType="solid">
        <fgColor rgb="FFF5F0EB"/>
        <bgColor rgb="FFF2F0ED"/>
      </patternFill>
    </fill>
    <fill>
      <patternFill patternType="solid">
        <fgColor rgb="FFFFFFFF"/>
        <bgColor rgb="FFFFF8F0"/>
      </patternFill>
    </fill>
    <fill>
      <patternFill patternType="solid">
        <fgColor rgb="FFC19C81"/>
        <bgColor rgb="FFA9AEB4"/>
      </patternFill>
    </fill>
    <fill>
      <patternFill patternType="solid">
        <fgColor rgb="FFFFF3CD"/>
        <bgColor rgb="FFFDF5E6"/>
      </patternFill>
    </fill>
    <fill>
      <patternFill patternType="solid">
        <fgColor rgb="FFE8D9C8"/>
        <bgColor rgb="FFECDFCE"/>
      </patternFill>
    </fill>
    <fill>
      <patternFill patternType="solid">
        <fgColor rgb="FFDDD0C2"/>
        <bgColor rgb="FFE8D9C8"/>
      </patternFill>
    </fill>
    <fill>
      <patternFill patternType="solid">
        <fgColor rgb="FFF2F0ED"/>
        <bgColor rgb="FFF5F0EB"/>
      </patternFill>
    </fill>
    <fill>
      <patternFill patternType="solid">
        <fgColor rgb="FFFDF5E6"/>
        <bgColor rgb="FFFFF8F0"/>
      </patternFill>
    </fill>
    <fill>
      <patternFill patternType="solid">
        <fgColor rgb="FFF0E8DD"/>
        <bgColor rgb="FFF5F0EB"/>
      </patternFill>
    </fill>
    <fill>
      <patternFill patternType="solid">
        <fgColor rgb="FFFAF6F3"/>
      </patternFill>
    </fill>
    <fill>
      <patternFill patternType="solid">
        <fgColor rgb="FFFFF8F0"/>
      </patternFill>
    </fill>
    <fill>
      <patternFill patternType="solid">
        <fgColor rgb="FFC19C81"/>
      </patternFill>
    </fill>
    <fill>
      <patternFill patternType="solid">
        <fgColor rgb="FFE8D9C8"/>
      </patternFill>
    </fill>
    <fill>
      <patternFill patternType="solid">
        <fgColor rgb="FFF5F0EB"/>
      </patternFill>
    </fill>
    <fill>
      <patternFill patternType="solid">
        <fgColor rgb="FFFFFFFF"/>
      </patternFill>
    </fill>
    <fill>
      <patternFill patternType="solid">
        <fgColor rgb="FFECDFCE"/>
      </patternFill>
    </fill>
    <fill>
      <patternFill patternType="solid">
        <fgColor rgb="FFD6EAF8"/>
      </patternFill>
    </fill>
  </fills>
  <borders count="21">
    <border>
      <left/>
      <right/>
      <top/>
      <bottom/>
      <diagonal/>
    </border>
    <border>
      <left style="thin">
        <color rgb="FFECDFCE"/>
      </left>
      <right style="thin">
        <color rgb="FFECDFCE"/>
      </right>
      <top style="thin">
        <color rgb="FFECDFCE"/>
      </top>
      <bottom style="thin">
        <color rgb="FFECDFCE"/>
      </bottom>
      <diagonal/>
    </border>
    <border>
      <left style="thin">
        <color rgb="FFECDFCE"/>
      </left>
      <right style="thin">
        <color rgb="FFECDFCE"/>
      </right>
      <top/>
      <bottom style="medium">
        <color rgb="FFC19C81"/>
      </bottom>
      <diagonal/>
    </border>
    <border>
      <left/>
      <right/>
      <top style="medium">
        <color rgb="FF464543"/>
      </top>
      <bottom/>
      <diagonal/>
    </border>
    <border>
      <left style="thin">
        <color rgb="FFECDFCE"/>
      </left>
      <right style="thin">
        <color rgb="FFECDFCE"/>
      </right>
      <top style="thin">
        <color rgb="FFECDFCE"/>
      </top>
      <bottom style="medium">
        <color rgb="FFC19C81"/>
      </bottom>
      <diagonal/>
    </border>
    <border>
      <left/>
      <right/>
      <top/>
      <bottom style="medium">
        <color rgb="FF464543"/>
      </bottom>
      <diagonal/>
    </border>
    <border>
      <left style="thin">
        <color rgb="FFECDFCE"/>
      </left>
      <right style="thin">
        <color rgb="FFECDFCE"/>
      </right>
      <top/>
      <bottom style="thin">
        <color rgb="FFC19C81"/>
      </bottom>
      <diagonal/>
    </border>
    <border>
      <left/>
      <right/>
      <top style="thin">
        <color rgb="FFECDFCE"/>
      </top>
      <bottom style="thin">
        <color rgb="FFECDFCE"/>
      </bottom>
      <diagonal/>
    </border>
    <border>
      <left/>
      <right style="thin">
        <color rgb="FFECDFCE"/>
      </right>
      <top style="thin">
        <color rgb="FFECDFCE"/>
      </top>
      <bottom style="thin">
        <color rgb="FFECDFCE"/>
      </bottom>
      <diagonal/>
    </border>
    <border>
      <left/>
      <right/>
      <top/>
      <bottom style="thin">
        <color rgb="FFD4C5B0"/>
      </bottom>
      <diagonal/>
    </border>
    <border>
      <left/>
      <right/>
      <top/>
      <bottom/>
      <diagonal/>
    </border>
    <border>
      <left style="thin">
        <color indexed="64"/>
      </left>
      <right style="thin">
        <color indexed="64"/>
      </right>
      <top style="thin">
        <color indexed="64"/>
      </top>
      <bottom style="thin">
        <color indexed="64"/>
      </bottom>
      <diagonal/>
    </border>
    <border>
      <left/>
      <right/>
      <top style="thin">
        <color rgb="FFECDFCE"/>
      </top>
      <bottom/>
      <diagonal/>
    </border>
    <border>
      <left/>
      <right style="thin">
        <color rgb="FFECDFCE"/>
      </right>
      <top style="thin">
        <color rgb="FFECDFCE"/>
      </top>
      <bottom/>
      <diagonal/>
    </border>
    <border>
      <left style="thin">
        <color rgb="FFD4C5B0"/>
      </left>
      <right style="thin">
        <color rgb="FFD4C5B0"/>
      </right>
      <top style="thin">
        <color rgb="FFD4C5B0"/>
      </top>
      <bottom style="thin">
        <color rgb="FFD4C5B0"/>
      </bottom>
    </border>
    <border>
      <left/>
      <right/>
      <top style="thin">
        <color rgb="FFD4C5B0"/>
      </top>
      <bottom/>
      <diagonal/>
    </border>
    <border>
      <left/>
      <right style="thin">
        <color rgb="FFD4C5B0"/>
      </right>
      <top style="thin">
        <color rgb="FFD4C5B0"/>
      </top>
      <bottom/>
      <diagonal/>
    </border>
    <border>
      <left/>
      <right style="thin">
        <color rgb="FFD4C5B0"/>
      </right>
      <top style="thin">
        <color rgb="FFD4C5B0"/>
      </top>
      <bottom style="thin">
        <color rgb="FFD4C5B0"/>
      </bottom>
      <diagonal/>
    </border>
    <border>
      <left/>
      <right/>
      <top style="thin">
        <color rgb="FFD4C5B0"/>
      </top>
      <bottom style="thin">
        <color rgb="FFD4C5B0"/>
      </bottom>
      <diagonal/>
    </border>
    <border>
      <left style="thin">
        <color rgb="FFECDFCE"/>
      </left>
      <right style="thin">
        <color rgb="FFECDFCE"/>
      </right>
      <top style="thin">
        <color rgb="FFECDFCE"/>
      </top>
      <bottom style="thin">
        <color rgb="FFECDFCE"/>
      </bottom>
    </border>
    <border>
      <left style="thin">
        <color rgb="FFECDFCE"/>
      </left>
      <right style="thin">
        <color rgb="FFECDFCE"/>
      </right>
      <top style="thin">
        <color rgb="FFECDFCE"/>
      </top>
      <bottom style="medium">
        <color rgb="FF464543"/>
      </bottom>
    </border>
  </borders>
  <cellStyleXfs count="1">
    <xf numFmtId="0" fontId="0" fillId="0" borderId="10"/>
  </cellStyleXfs>
  <cellXfs count="249">
    <xf numFmtId="0" fontId="0" fillId="0" borderId="0" pivotButton="0" quotePrefix="0" xfId="0"/>
    <xf numFmtId="0" fontId="1" fillId="0" borderId="0" pivotButton="0" quotePrefix="0" xfId="0"/>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1" fillId="4" borderId="1" pivotButton="0" quotePrefix="0" xfId="0"/>
    <xf numFmtId="3" fontId="5" fillId="5" borderId="1" applyAlignment="1" pivotButton="0" quotePrefix="0" xfId="0">
      <alignment horizontal="center" vertical="center"/>
    </xf>
    <xf numFmtId="0" fontId="6" fillId="4" borderId="1" pivotButton="0" quotePrefix="0" xfId="0"/>
    <xf numFmtId="0" fontId="7" fillId="4" borderId="1" applyAlignment="1" pivotButton="0" quotePrefix="0" xfId="0">
      <alignment horizontal="left" vertical="center"/>
    </xf>
    <xf numFmtId="10" fontId="4" fillId="6" borderId="1" applyAlignment="1" pivotButton="0" quotePrefix="0" xfId="0">
      <alignment horizontal="center" vertical="center"/>
    </xf>
    <xf numFmtId="9" fontId="5" fillId="5" borderId="1" applyAlignment="1" pivotButton="0" quotePrefix="0" xfId="0">
      <alignment horizontal="center" vertical="center"/>
    </xf>
    <xf numFmtId="164" fontId="5" fillId="5" borderId="1" applyAlignment="1" pivotButton="0" quotePrefix="0" xfId="0">
      <alignment horizontal="center" vertical="center"/>
    </xf>
    <xf numFmtId="0" fontId="8" fillId="0" borderId="0" pivotButton="0" quotePrefix="0" xfId="0"/>
    <xf numFmtId="0" fontId="9" fillId="0" borderId="0" pivotButton="0" quotePrefix="0" xfId="0"/>
    <xf numFmtId="165" fontId="9" fillId="0" borderId="0" pivotButton="0" quotePrefix="0" xfId="0"/>
    <xf numFmtId="0" fontId="10" fillId="4" borderId="1" applyAlignment="1" pivotButton="0" quotePrefix="0" xfId="0">
      <alignment horizontal="left" vertical="center"/>
    </xf>
    <xf numFmtId="0" fontId="11" fillId="0" borderId="0" pivotButton="0" quotePrefix="0" xfId="0"/>
    <xf numFmtId="166" fontId="5" fillId="5" borderId="1" applyAlignment="1" pivotButton="0" quotePrefix="0" xfId="0">
      <alignment horizontal="center" vertical="center"/>
    </xf>
    <xf numFmtId="0" fontId="13" fillId="4" borderId="1" applyAlignment="1" pivotButton="0" quotePrefix="0" xfId="0">
      <alignment horizontal="left" vertical="center"/>
    </xf>
    <xf numFmtId="0" fontId="14" fillId="4" borderId="1" applyAlignment="1" pivotButton="0" quotePrefix="0" xfId="0">
      <alignment horizontal="right" vertical="center"/>
    </xf>
    <xf numFmtId="0" fontId="14" fillId="4" borderId="1" applyAlignment="1" pivotButton="0" quotePrefix="0" xfId="0">
      <alignment horizontal="left" vertical="center"/>
    </xf>
    <xf numFmtId="0" fontId="16" fillId="8" borderId="1" applyAlignment="1" pivotButton="0" quotePrefix="0" xfId="0">
      <alignment horizontal="left" vertical="center"/>
    </xf>
    <xf numFmtId="0" fontId="16" fillId="8" borderId="1" applyAlignment="1" pivotButton="0" quotePrefix="0" xfId="0">
      <alignment horizontal="center" vertical="center"/>
    </xf>
    <xf numFmtId="167" fontId="14" fillId="4" borderId="1" applyAlignment="1" pivotButton="0" quotePrefix="0" xfId="0">
      <alignment horizontal="right" vertical="center"/>
    </xf>
    <xf numFmtId="167" fontId="4" fillId="6" borderId="1" applyAlignment="1" pivotButton="0" quotePrefix="0" xfId="0">
      <alignment horizontal="right" vertical="center"/>
    </xf>
    <xf numFmtId="0" fontId="17" fillId="9" borderId="1" applyAlignment="1" pivotButton="0" quotePrefix="0" xfId="0">
      <alignment horizontal="center" vertical="center"/>
    </xf>
    <xf numFmtId="0" fontId="11" fillId="4" borderId="2" pivotButton="0" quotePrefix="0" xfId="0"/>
    <xf numFmtId="0" fontId="4" fillId="10" borderId="1" applyAlignment="1" pivotButton="0" quotePrefix="0" xfId="0">
      <alignment horizontal="left" vertical="center"/>
    </xf>
    <xf numFmtId="167" fontId="18" fillId="4" borderId="1" applyAlignment="1" pivotButton="0" quotePrefix="0" xfId="0">
      <alignment horizontal="right" vertical="center"/>
    </xf>
    <xf numFmtId="0" fontId="7" fillId="7" borderId="1" applyAlignment="1" pivotButton="0" quotePrefix="0" xfId="0">
      <alignment horizontal="left" vertical="center"/>
    </xf>
    <xf numFmtId="3" fontId="7" fillId="6" borderId="1" applyAlignment="1" pivotButton="0" quotePrefix="0" xfId="0">
      <alignment horizontal="center" vertical="center"/>
    </xf>
    <xf numFmtId="166" fontId="7" fillId="6" borderId="1" applyAlignment="1" pivotButton="0" quotePrefix="0" xfId="0">
      <alignment horizontal="right" vertical="center"/>
    </xf>
    <xf numFmtId="10" fontId="7" fillId="6" borderId="1" applyAlignment="1" pivotButton="0" quotePrefix="0" xfId="0">
      <alignment horizontal="center" vertical="center"/>
    </xf>
    <xf numFmtId="0" fontId="6" fillId="7" borderId="1" pivotButton="0" quotePrefix="0" xfId="0"/>
    <xf numFmtId="3" fontId="19" fillId="4" borderId="1" applyAlignment="1" pivotButton="0" quotePrefix="0" xfId="0">
      <alignment horizontal="right" vertical="center"/>
    </xf>
    <xf numFmtId="0" fontId="11" fillId="4" borderId="1" pivotButton="0" quotePrefix="0" xfId="0"/>
    <xf numFmtId="0" fontId="11" fillId="4" borderId="3" pivotButton="0" quotePrefix="0" xfId="0"/>
    <xf numFmtId="0" fontId="20" fillId="10" borderId="1" applyAlignment="1" pivotButton="0" quotePrefix="0" xfId="0">
      <alignment horizontal="left" vertical="center" wrapText="1"/>
    </xf>
    <xf numFmtId="0" fontId="6" fillId="7" borderId="1" applyAlignment="1" pivotButton="0" quotePrefix="0" xfId="0">
      <alignment horizontal="left" vertical="center" wrapText="1"/>
    </xf>
    <xf numFmtId="0" fontId="4" fillId="11" borderId="1" applyAlignment="1" pivotButton="0" quotePrefix="0" xfId="0">
      <alignment horizontal="left" vertical="center"/>
    </xf>
    <xf numFmtId="0" fontId="7" fillId="12" borderId="1" applyAlignment="1" pivotButton="0" quotePrefix="0" xfId="0">
      <alignment horizontal="left" vertical="center"/>
    </xf>
    <xf numFmtId="0" fontId="11" fillId="12" borderId="1" pivotButton="0" quotePrefix="0" xfId="0"/>
    <xf numFmtId="166" fontId="7" fillId="12" borderId="1" applyAlignment="1" pivotButton="0" quotePrefix="0" xfId="0">
      <alignment horizontal="right" vertical="center"/>
    </xf>
    <xf numFmtId="0" fontId="4" fillId="10" borderId="4" applyAlignment="1" pivotButton="0" quotePrefix="0" xfId="0">
      <alignment horizontal="left" vertical="center"/>
    </xf>
    <xf numFmtId="166" fontId="4" fillId="10" borderId="4" applyAlignment="1" pivotButton="0" quotePrefix="0" xfId="0">
      <alignment horizontal="right" vertical="center"/>
    </xf>
    <xf numFmtId="0" fontId="11" fillId="10" borderId="4" pivotButton="0" quotePrefix="0" xfId="0"/>
    <xf numFmtId="0" fontId="21" fillId="2" borderId="5" applyAlignment="1" pivotButton="0" quotePrefix="0" xfId="0">
      <alignment horizontal="left" vertical="center"/>
    </xf>
    <xf numFmtId="166" fontId="22" fillId="2" borderId="5" applyAlignment="1" pivotButton="0" quotePrefix="0" xfId="0">
      <alignment horizontal="right" vertical="center"/>
    </xf>
    <xf numFmtId="0" fontId="11" fillId="2" borderId="5" pivotButton="0" quotePrefix="0" xfId="0"/>
    <xf numFmtId="167" fontId="23" fillId="4" borderId="1" applyAlignment="1" pivotButton="0" quotePrefix="0" xfId="0">
      <alignment horizontal="center" vertical="center"/>
    </xf>
    <xf numFmtId="166" fontId="23" fillId="4" borderId="1" applyAlignment="1" pivotButton="0" quotePrefix="0" xfId="0">
      <alignment horizontal="center" vertical="center"/>
    </xf>
    <xf numFmtId="0" fontId="24" fillId="4" borderId="1" applyAlignment="1" pivotButton="0" quotePrefix="0" xfId="0">
      <alignment horizontal="left" vertical="center"/>
    </xf>
    <xf numFmtId="0" fontId="11" fillId="7" borderId="1" pivotButton="0" quotePrefix="0" xfId="0"/>
    <xf numFmtId="164" fontId="7" fillId="7" borderId="1" applyAlignment="1" pivotButton="0" quotePrefix="0" xfId="0">
      <alignment horizontal="right" vertical="center"/>
    </xf>
    <xf numFmtId="0" fontId="25" fillId="13" borderId="1" applyAlignment="1" pivotButton="0" quotePrefix="0" xfId="0">
      <alignment horizontal="left" vertical="center"/>
    </xf>
    <xf numFmtId="0" fontId="7" fillId="7" borderId="1" pivotButton="0" quotePrefix="0" xfId="0"/>
    <xf numFmtId="0" fontId="26" fillId="7" borderId="1" pivotButton="0" quotePrefix="0" xfId="0"/>
    <xf numFmtId="0" fontId="1" fillId="4" borderId="2" pivotButton="0" quotePrefix="0" xfId="0"/>
    <xf numFmtId="0" fontId="1" fillId="4" borderId="3" pivotButton="0" quotePrefix="0" xfId="0"/>
    <xf numFmtId="0" fontId="1" fillId="7" borderId="1" pivotButton="0" quotePrefix="0" xfId="0"/>
    <xf numFmtId="0" fontId="5" fillId="14" borderId="1" applyAlignment="1" pivotButton="0" quotePrefix="0" xfId="0">
      <alignment horizontal="left" vertical="center"/>
    </xf>
    <xf numFmtId="167" fontId="5" fillId="14" borderId="1" applyAlignment="1" pivotButton="0" quotePrefix="0" xfId="0">
      <alignment horizontal="right" vertical="center"/>
    </xf>
    <xf numFmtId="0" fontId="1" fillId="10" borderId="4" pivotButton="0" quotePrefix="0" xfId="0"/>
    <xf numFmtId="0" fontId="1" fillId="4" borderId="6" pivotButton="0" quotePrefix="0" xfId="0"/>
    <xf numFmtId="0" fontId="1" fillId="12" borderId="1" pivotButton="0" quotePrefix="0" xfId="0"/>
    <xf numFmtId="0" fontId="1" fillId="2" borderId="5" pivotButton="0" quotePrefix="0" xfId="0"/>
    <xf numFmtId="0" fontId="27" fillId="15" borderId="0" applyAlignment="1" pivotButton="0" quotePrefix="0" xfId="0">
      <alignment horizontal="left" vertical="center"/>
    </xf>
    <xf numFmtId="0" fontId="0" fillId="15" borderId="0" pivotButton="0" quotePrefix="0" xfId="0"/>
    <xf numFmtId="0" fontId="29" fillId="17" borderId="1" applyAlignment="1" pivotButton="0" quotePrefix="0" xfId="0">
      <alignment horizontal="left" vertical="center"/>
    </xf>
    <xf numFmtId="0" fontId="29" fillId="17" borderId="1" applyAlignment="1" pivotButton="0" quotePrefix="0" xfId="0">
      <alignment horizontal="center" vertical="center"/>
    </xf>
    <xf numFmtId="9" fontId="29" fillId="17" borderId="1" applyAlignment="1" pivotButton="0" quotePrefix="0" xfId="0">
      <alignment horizontal="left" vertical="center"/>
    </xf>
    <xf numFmtId="0" fontId="6" fillId="17" borderId="1" applyAlignment="1" pivotButton="0" quotePrefix="0" xfId="0">
      <alignment horizontal="left" vertical="center"/>
    </xf>
    <xf numFmtId="0" fontId="0" fillId="17" borderId="0" pivotButton="0" quotePrefix="0" xfId="0"/>
    <xf numFmtId="0" fontId="30" fillId="15" borderId="0" applyAlignment="1" pivotButton="0" quotePrefix="0" xfId="0">
      <alignment horizontal="left" vertical="center"/>
    </xf>
    <xf numFmtId="9" fontId="28" fillId="16" borderId="0" applyAlignment="1" pivotButton="0" quotePrefix="0" xfId="0">
      <alignment horizontal="center" vertical="center"/>
    </xf>
    <xf numFmtId="0" fontId="31" fillId="15" borderId="0" applyAlignment="1" pivotButton="0" quotePrefix="0" xfId="0">
      <alignment horizontal="left" vertical="center"/>
    </xf>
    <xf numFmtId="0" fontId="27" fillId="18" borderId="0" applyAlignment="1" pivotButton="0" quotePrefix="0" xfId="0">
      <alignment horizontal="left" vertical="center"/>
    </xf>
    <xf numFmtId="0" fontId="0" fillId="18" borderId="0" pivotButton="0" quotePrefix="0" xfId="0"/>
    <xf numFmtId="0" fontId="31" fillId="18" borderId="0" applyAlignment="1" pivotButton="0" quotePrefix="0" xfId="0">
      <alignment horizontal="left" vertical="center"/>
    </xf>
    <xf numFmtId="0" fontId="30" fillId="19" borderId="0" applyAlignment="1" pivotButton="0" quotePrefix="0" xfId="0">
      <alignment horizontal="left" vertical="center"/>
    </xf>
    <xf numFmtId="0" fontId="32" fillId="16" borderId="1" applyAlignment="1" pivotButton="0" quotePrefix="0" xfId="0">
      <alignment horizontal="left" vertical="center"/>
    </xf>
    <xf numFmtId="0" fontId="30" fillId="20" borderId="0" applyAlignment="1" pivotButton="0" quotePrefix="0" xfId="0">
      <alignment horizontal="left" vertical="center"/>
    </xf>
    <xf numFmtId="0" fontId="11" fillId="20" borderId="0" pivotButton="0" quotePrefix="0" xfId="0"/>
    <xf numFmtId="3" fontId="28" fillId="16" borderId="0" applyAlignment="1" pivotButton="0" quotePrefix="0" xfId="0">
      <alignment horizontal="center" vertical="center"/>
    </xf>
    <xf numFmtId="0" fontId="1" fillId="20" borderId="0" pivotButton="0" quotePrefix="0" xfId="0"/>
    <xf numFmtId="0" fontId="1" fillId="18" borderId="0" pivotButton="0" quotePrefix="0" xfId="0"/>
    <xf numFmtId="0" fontId="29" fillId="17" borderId="0" applyAlignment="1" pivotButton="0" quotePrefix="0" xfId="0">
      <alignment horizontal="left" vertical="center"/>
    </xf>
    <xf numFmtId="0" fontId="32" fillId="16" borderId="0" applyAlignment="1" pivotButton="0" quotePrefix="0" xfId="0">
      <alignment horizontal="left" vertical="center"/>
    </xf>
    <xf numFmtId="49" fontId="30" fillId="19" borderId="0" applyAlignment="1" pivotButton="0" quotePrefix="0" xfId="0">
      <alignment horizontal="center" vertical="center"/>
    </xf>
    <xf numFmtId="0" fontId="1" fillId="15" borderId="0" pivotButton="0" quotePrefix="0" xfId="0"/>
    <xf numFmtId="0" fontId="30" fillId="4" borderId="1" applyAlignment="1" pivotButton="0" quotePrefix="0" xfId="0">
      <alignment horizontal="left" vertical="center"/>
    </xf>
    <xf numFmtId="49" fontId="30" fillId="19" borderId="1" applyAlignment="1" pivotButton="0" quotePrefix="0" xfId="0">
      <alignment horizontal="center" vertical="center"/>
    </xf>
    <xf numFmtId="0" fontId="33" fillId="21" borderId="0" pivotButton="0" quotePrefix="0" xfId="0"/>
    <xf numFmtId="0" fontId="34" fillId="18" borderId="0" applyAlignment="1" pivotButton="0" quotePrefix="0" xfId="0">
      <alignment horizontal="center" vertical="center"/>
    </xf>
    <xf numFmtId="167" fontId="28" fillId="16" borderId="0" applyAlignment="1" pivotButton="0" quotePrefix="0" xfId="0">
      <alignment horizontal="center" vertical="center"/>
    </xf>
    <xf numFmtId="0" fontId="35" fillId="19" borderId="0" applyAlignment="1" pivotButton="0" quotePrefix="0" xfId="0">
      <alignment horizontal="center" vertical="center"/>
    </xf>
    <xf numFmtId="167" fontId="35" fillId="19" borderId="0" applyAlignment="1" pivotButton="0" quotePrefix="0" xfId="0">
      <alignment horizontal="center" vertical="center"/>
    </xf>
    <xf numFmtId="0" fontId="27" fillId="15" borderId="9" applyAlignment="1" pivotButton="0" quotePrefix="0" xfId="0">
      <alignment horizontal="left" vertical="center"/>
    </xf>
    <xf numFmtId="167" fontId="28" fillId="19" borderId="9" applyAlignment="1" pivotButton="0" quotePrefix="0" xfId="0">
      <alignment horizontal="center" vertical="center"/>
    </xf>
    <xf numFmtId="0" fontId="33" fillId="21" borderId="1" applyAlignment="1" pivotButton="0" quotePrefix="0" xfId="0">
      <alignment horizontal="left" vertical="center"/>
    </xf>
    <xf numFmtId="0" fontId="30" fillId="15" borderId="1" applyAlignment="1" pivotButton="0" quotePrefix="0" xfId="0">
      <alignment horizontal="left" vertical="center"/>
    </xf>
    <xf numFmtId="9" fontId="7" fillId="7" borderId="1" applyAlignment="1" pivotButton="0" quotePrefix="0" xfId="0">
      <alignment horizontal="right" vertical="center"/>
    </xf>
    <xf numFmtId="167" fontId="35" fillId="19" borderId="1" applyAlignment="1" pivotButton="0" quotePrefix="0" xfId="0">
      <alignment horizontal="center" vertical="center"/>
    </xf>
    <xf numFmtId="0" fontId="27" fillId="15" borderId="1" applyAlignment="1" pivotButton="0" quotePrefix="0" xfId="0">
      <alignment horizontal="left" vertical="center"/>
    </xf>
    <xf numFmtId="0" fontId="30" fillId="15" borderId="4" applyAlignment="1" pivotButton="0" quotePrefix="0" xfId="0">
      <alignment horizontal="left" vertical="center"/>
    </xf>
    <xf numFmtId="164" fontId="35" fillId="19" borderId="4" applyAlignment="1" pivotButton="0" quotePrefix="0" xfId="0">
      <alignment horizontal="center" vertical="center"/>
    </xf>
    <xf numFmtId="164" fontId="35" fillId="19" borderId="0" applyAlignment="1" pivotButton="0" quotePrefix="0" xfId="0">
      <alignment horizontal="center" vertical="center"/>
    </xf>
    <xf numFmtId="0" fontId="36" fillId="0" borderId="0" pivotButton="0" quotePrefix="0" xfId="0"/>
    <xf numFmtId="0" fontId="34" fillId="18" borderId="0" pivotButton="0" quotePrefix="0" xfId="0"/>
    <xf numFmtId="0" fontId="30" fillId="15" borderId="0" pivotButton="0" quotePrefix="0" xfId="0"/>
    <xf numFmtId="0" fontId="34" fillId="18" borderId="0" applyAlignment="1" pivotButton="0" quotePrefix="0" xfId="0">
      <alignment horizontal="left" vertical="center"/>
    </xf>
    <xf numFmtId="0" fontId="37" fillId="15" borderId="0" applyAlignment="1" pivotButton="0" quotePrefix="0" xfId="0">
      <alignment horizontal="left" vertical="center"/>
    </xf>
    <xf numFmtId="0" fontId="37" fillId="15" borderId="0" applyAlignment="1" pivotButton="0" quotePrefix="0" xfId="0">
      <alignment horizontal="left" vertical="center" wrapText="1"/>
    </xf>
    <xf numFmtId="0" fontId="37" fillId="19" borderId="0" applyAlignment="1" pivotButton="0" quotePrefix="0" xfId="0">
      <alignment horizontal="center" vertical="center"/>
    </xf>
    <xf numFmtId="0" fontId="28" fillId="19" borderId="0" applyAlignment="1" pivotButton="0" quotePrefix="0" xfId="0">
      <alignment horizontal="center" vertical="center"/>
    </xf>
    <xf numFmtId="0" fontId="36" fillId="0" borderId="10" pivotButton="0" quotePrefix="0" xfId="0"/>
    <xf numFmtId="0" fontId="33" fillId="21" borderId="10" pivotButton="0" quotePrefix="0" xfId="0"/>
    <xf numFmtId="0" fontId="33" fillId="21" borderId="10" applyAlignment="1" pivotButton="0" quotePrefix="0" xfId="0">
      <alignment horizontal="center" vertical="center"/>
    </xf>
    <xf numFmtId="0" fontId="30" fillId="15" borderId="10" applyAlignment="1" pivotButton="0" quotePrefix="0" xfId="0">
      <alignment horizontal="left" vertical="center"/>
    </xf>
    <xf numFmtId="0" fontId="28" fillId="16" borderId="10" applyAlignment="1" pivotButton="0" quotePrefix="0" xfId="0">
      <alignment horizontal="center" vertical="center"/>
    </xf>
    <xf numFmtId="167" fontId="28" fillId="16" borderId="10" applyAlignment="1" pivotButton="0" quotePrefix="0" xfId="0">
      <alignment horizontal="center" vertical="center"/>
    </xf>
    <xf numFmtId="167" fontId="35" fillId="19" borderId="10" applyAlignment="1" pivotButton="0" quotePrefix="0" xfId="0">
      <alignment horizontal="center" vertical="center"/>
    </xf>
    <xf numFmtId="0" fontId="27" fillId="18" borderId="10" applyAlignment="1" pivotButton="0" quotePrefix="0" xfId="0">
      <alignment horizontal="left" vertical="center"/>
    </xf>
    <xf numFmtId="0" fontId="36" fillId="18" borderId="10" pivotButton="0" quotePrefix="0" xfId="0"/>
    <xf numFmtId="167" fontId="28" fillId="18" borderId="10" applyAlignment="1" pivotButton="0" quotePrefix="0" xfId="0">
      <alignment horizontal="center" vertical="center"/>
    </xf>
    <xf numFmtId="9" fontId="36" fillId="0" borderId="10" pivotButton="0" quotePrefix="0" xfId="0"/>
    <xf numFmtId="164" fontId="36" fillId="0" borderId="10" pivotButton="0" quotePrefix="0" xfId="0"/>
    <xf numFmtId="0" fontId="27" fillId="15" borderId="10" applyAlignment="1" pivotButton="0" quotePrefix="0" xfId="0">
      <alignment horizontal="left" vertical="center"/>
    </xf>
    <xf numFmtId="164" fontId="35" fillId="19" borderId="10" applyAlignment="1" pivotButton="0" quotePrefix="0" xfId="0">
      <alignment horizontal="center" vertical="center"/>
    </xf>
    <xf numFmtId="0" fontId="35" fillId="19" borderId="10" applyAlignment="1" pivotButton="0" quotePrefix="0" xfId="0">
      <alignment horizontal="center" vertical="center"/>
    </xf>
    <xf numFmtId="0" fontId="30" fillId="0" borderId="10" pivotButton="0" quotePrefix="0" xfId="0"/>
    <xf numFmtId="3" fontId="5" fillId="5" borderId="1" applyAlignment="1" pivotButton="0" quotePrefix="0" xfId="0">
      <alignment horizontal="center" vertical="center"/>
    </xf>
    <xf numFmtId="0" fontId="0" fillId="0" borderId="8" pivotButton="0" quotePrefix="0" xfId="0"/>
    <xf numFmtId="0" fontId="3" fillId="3" borderId="1" applyAlignment="1" pivotButton="0" quotePrefix="0" xfId="0">
      <alignment horizontal="left" vertical="center"/>
    </xf>
    <xf numFmtId="0" fontId="0" fillId="0" borderId="7" pivotButton="0" quotePrefix="0" xfId="0"/>
    <xf numFmtId="0" fontId="6" fillId="4" borderId="1" applyAlignment="1" pivotButton="0" quotePrefix="0" xfId="0">
      <alignment horizontal="left" vertical="center"/>
    </xf>
    <xf numFmtId="0" fontId="28" fillId="16" borderId="0" applyAlignment="1" pivotButton="0" quotePrefix="0" xfId="0">
      <alignment horizontal="center" vertical="center"/>
    </xf>
    <xf numFmtId="0" fontId="0" fillId="0" borderId="0" pivotButton="0" quotePrefix="0" xfId="0"/>
    <xf numFmtId="0" fontId="7" fillId="7" borderId="1" applyAlignment="1" pivotButton="0" quotePrefix="0" xfId="0">
      <alignment horizontal="left" vertical="center" wrapText="1"/>
    </xf>
    <xf numFmtId="0" fontId="5" fillId="5" borderId="1" applyAlignment="1" pivotButton="0" quotePrefix="0" xfId="0">
      <alignment horizontal="center" vertical="center"/>
    </xf>
    <xf numFmtId="0" fontId="1" fillId="2" borderId="1" pivotButton="0" quotePrefix="0" xfId="0"/>
    <xf numFmtId="49" fontId="28" fillId="16" borderId="1" applyAlignment="1" pivotButton="0" quotePrefix="0" xfId="0">
      <alignment horizontal="center" vertical="center"/>
    </xf>
    <xf numFmtId="168" fontId="5" fillId="5" borderId="1" applyAlignment="1" pivotButton="0" quotePrefix="0" xfId="0">
      <alignment horizontal="center" vertical="center"/>
    </xf>
    <xf numFmtId="0" fontId="2" fillId="2" borderId="1" applyAlignment="1" pivotButton="0" quotePrefix="0" xfId="0">
      <alignment horizontal="left" vertical="center"/>
    </xf>
    <xf numFmtId="166" fontId="5" fillId="5" borderId="1" applyAlignment="1" pivotButton="0" quotePrefix="0" xfId="0">
      <alignment horizontal="center" vertical="center"/>
    </xf>
    <xf numFmtId="0" fontId="15" fillId="4" borderId="1" applyAlignment="1" pivotButton="0" quotePrefix="0" xfId="0">
      <alignment horizontal="center" vertical="center"/>
    </xf>
    <xf numFmtId="0" fontId="10" fillId="4" borderId="1" applyAlignment="1" pivotButton="0" quotePrefix="0" xfId="0">
      <alignment horizontal="left" vertical="center"/>
    </xf>
    <xf numFmtId="3" fontId="15" fillId="4" borderId="1" applyAlignment="1" pivotButton="0" quotePrefix="0" xfId="0">
      <alignment horizontal="center" vertical="center"/>
    </xf>
    <xf numFmtId="0" fontId="13" fillId="4" borderId="1" applyAlignment="1" pivotButton="0" quotePrefix="0" xfId="0">
      <alignment horizontal="left" vertical="center"/>
    </xf>
    <xf numFmtId="0" fontId="14" fillId="4" borderId="1" applyAlignment="1" pivotButton="0" quotePrefix="0" xfId="0">
      <alignment horizontal="left" vertical="center"/>
    </xf>
    <xf numFmtId="0" fontId="12" fillId="2" borderId="1" applyAlignment="1" pivotButton="0" quotePrefix="0" xfId="0">
      <alignment horizontal="center" vertical="center"/>
    </xf>
    <xf numFmtId="168" fontId="15" fillId="4" borderId="1" applyAlignment="1" pivotButton="0" quotePrefix="0" xfId="0">
      <alignment horizontal="center" vertical="center"/>
    </xf>
    <xf numFmtId="0" fontId="30" fillId="15" borderId="11" applyAlignment="1" pivotButton="0" quotePrefix="0" xfId="0">
      <alignment horizontal="left" vertical="center"/>
    </xf>
    <xf numFmtId="0" fontId="28" fillId="16" borderId="11" applyAlignment="1" pivotButton="0" quotePrefix="0" xfId="0">
      <alignment horizontal="center" vertical="center"/>
    </xf>
    <xf numFmtId="167" fontId="28" fillId="16" borderId="11" applyAlignment="1" pivotButton="0" quotePrefix="0" xfId="0">
      <alignment horizontal="center" vertical="center"/>
    </xf>
    <xf numFmtId="168" fontId="5" fillId="5" borderId="1" applyAlignment="1" pivotButton="0" quotePrefix="0" xfId="0">
      <alignment horizontal="center" vertical="center"/>
    </xf>
    <xf numFmtId="164" fontId="5" fillId="5" borderId="1" applyAlignment="1" pivotButton="0" quotePrefix="0" xfId="0">
      <alignment horizontal="center" vertical="center"/>
    </xf>
    <xf numFmtId="167" fontId="28" fillId="16" borderId="0" applyAlignment="1" pivotButton="0" quotePrefix="0" xfId="0">
      <alignment horizontal="center" vertical="center"/>
    </xf>
    <xf numFmtId="167" fontId="35" fillId="19" borderId="0" applyAlignment="1" pivotButton="0" quotePrefix="0" xfId="0">
      <alignment horizontal="center" vertical="center"/>
    </xf>
    <xf numFmtId="165" fontId="9" fillId="0" borderId="0" pivotButton="0" quotePrefix="0" xfId="0"/>
    <xf numFmtId="166" fontId="5" fillId="5" borderId="1" applyAlignment="1" pivotButton="0" quotePrefix="0" xfId="0">
      <alignment horizontal="center" vertical="center"/>
    </xf>
    <xf numFmtId="167" fontId="14" fillId="4" borderId="1" applyAlignment="1" pivotButton="0" quotePrefix="0" xfId="0">
      <alignment horizontal="right" vertical="center"/>
    </xf>
    <xf numFmtId="167" fontId="4" fillId="6" borderId="1" applyAlignment="1" pivotButton="0" quotePrefix="0" xfId="0">
      <alignment horizontal="right" vertical="center"/>
    </xf>
    <xf numFmtId="167" fontId="18" fillId="4" borderId="1" applyAlignment="1" pivotButton="0" quotePrefix="0" xfId="0">
      <alignment horizontal="right" vertical="center"/>
    </xf>
    <xf numFmtId="166" fontId="7" fillId="6" borderId="1" applyAlignment="1" pivotButton="0" quotePrefix="0" xfId="0">
      <alignment horizontal="right" vertical="center"/>
    </xf>
    <xf numFmtId="166" fontId="7" fillId="12" borderId="1" applyAlignment="1" pivotButton="0" quotePrefix="0" xfId="0">
      <alignment horizontal="right" vertical="center"/>
    </xf>
    <xf numFmtId="166" fontId="4" fillId="10" borderId="4" applyAlignment="1" pivotButton="0" quotePrefix="0" xfId="0">
      <alignment horizontal="right" vertical="center"/>
    </xf>
    <xf numFmtId="166" fontId="22" fillId="2" borderId="5" applyAlignment="1" pivotButton="0" quotePrefix="0" xfId="0">
      <alignment horizontal="right" vertical="center"/>
    </xf>
    <xf numFmtId="167" fontId="23" fillId="4" borderId="1" applyAlignment="1" pivotButton="0" quotePrefix="0" xfId="0">
      <alignment horizontal="center" vertical="center"/>
    </xf>
    <xf numFmtId="166" fontId="23" fillId="4" borderId="1" applyAlignment="1" pivotButton="0" quotePrefix="0" xfId="0">
      <alignment horizontal="center" vertical="center"/>
    </xf>
    <xf numFmtId="167" fontId="28" fillId="16" borderId="11" applyAlignment="1" pivotButton="0" quotePrefix="0" xfId="0">
      <alignment horizontal="center" vertical="center"/>
    </xf>
    <xf numFmtId="167" fontId="35" fillId="19" borderId="10" applyAlignment="1" pivotButton="0" quotePrefix="0" xfId="0">
      <alignment horizontal="center" vertical="center"/>
    </xf>
    <xf numFmtId="167" fontId="28" fillId="19" borderId="9" applyAlignment="1" pivotButton="0" quotePrefix="0" xfId="0">
      <alignment horizontal="center" vertical="center"/>
    </xf>
    <xf numFmtId="167" fontId="28" fillId="18" borderId="10" applyAlignment="1" pivotButton="0" quotePrefix="0" xfId="0">
      <alignment horizontal="center" vertical="center"/>
    </xf>
    <xf numFmtId="167" fontId="35" fillId="19" borderId="1" applyAlignment="1" pivotButton="0" quotePrefix="0" xfId="0">
      <alignment horizontal="center" vertical="center"/>
    </xf>
    <xf numFmtId="164" fontId="7" fillId="7" borderId="1" applyAlignment="1" pivotButton="0" quotePrefix="0" xfId="0">
      <alignment horizontal="right" vertical="center"/>
    </xf>
    <xf numFmtId="164" fontId="35" fillId="19" borderId="4" applyAlignment="1" pivotButton="0" quotePrefix="0" xfId="0">
      <alignment horizontal="center" vertical="center"/>
    </xf>
    <xf numFmtId="164" fontId="35" fillId="19" borderId="0" applyAlignment="1" pivotButton="0" quotePrefix="0" xfId="0">
      <alignment horizontal="center" vertical="center"/>
    </xf>
    <xf numFmtId="168" fontId="15" fillId="4" borderId="1" applyAlignment="1" pivotButton="0" quotePrefix="0" xfId="0">
      <alignment horizontal="center" vertical="center"/>
    </xf>
    <xf numFmtId="167" fontId="5" fillId="14" borderId="1" applyAlignment="1" pivotButton="0" quotePrefix="0" xfId="0">
      <alignment horizontal="right" vertical="center"/>
    </xf>
    <xf numFmtId="167" fontId="28" fillId="16" borderId="10" applyAlignment="1" pivotButton="0" quotePrefix="0" xfId="0">
      <alignment horizontal="center" vertical="center"/>
    </xf>
    <xf numFmtId="164" fontId="36" fillId="0" borderId="10" pivotButton="0" quotePrefix="0" xfId="0"/>
    <xf numFmtId="164" fontId="35" fillId="19" borderId="10" applyAlignment="1" pivotButton="0" quotePrefix="0" xfId="0">
      <alignment horizontal="center" vertical="center"/>
    </xf>
    <xf numFmtId="0" fontId="27" fillId="15" borderId="14" applyAlignment="1" pivotButton="0" quotePrefix="0" xfId="0">
      <alignment horizontal="left" vertical="center"/>
    </xf>
    <xf numFmtId="0" fontId="28" fillId="16" borderId="14" applyAlignment="1" pivotButton="0" quotePrefix="0" xfId="0">
      <alignment horizontal="center" vertical="center"/>
    </xf>
    <xf numFmtId="0" fontId="30" fillId="15" borderId="14" applyAlignment="1" pivotButton="0" quotePrefix="0" xfId="0">
      <alignment horizontal="left" vertical="center"/>
    </xf>
    <xf numFmtId="9" fontId="28" fillId="16" borderId="14" applyAlignment="1" pivotButton="0" quotePrefix="0" xfId="0">
      <alignment horizontal="center" vertical="center"/>
    </xf>
    <xf numFmtId="0" fontId="31" fillId="15" borderId="14" applyAlignment="1" pivotButton="0" quotePrefix="0" xfId="0">
      <alignment horizontal="left" vertical="center"/>
    </xf>
    <xf numFmtId="0" fontId="0" fillId="15" borderId="14" pivotButton="0" quotePrefix="0" xfId="0"/>
    <xf numFmtId="0" fontId="27" fillId="18" borderId="14" applyAlignment="1" pivotButton="0" quotePrefix="0" xfId="0">
      <alignment horizontal="left" vertical="center"/>
    </xf>
    <xf numFmtId="0" fontId="0" fillId="18" borderId="14" pivotButton="0" quotePrefix="0" xfId="0"/>
    <xf numFmtId="0" fontId="31" fillId="18" borderId="14" applyAlignment="1" pivotButton="0" quotePrefix="0" xfId="0">
      <alignment horizontal="left" vertical="center"/>
    </xf>
    <xf numFmtId="0" fontId="33" fillId="21" borderId="14" pivotButton="0" quotePrefix="0" xfId="0"/>
    <xf numFmtId="0" fontId="34" fillId="18" borderId="14" pivotButton="0" quotePrefix="0" xfId="0"/>
    <xf numFmtId="0" fontId="30" fillId="15" borderId="14" pivotButton="0" quotePrefix="0" xfId="0"/>
    <xf numFmtId="0" fontId="34" fillId="18" borderId="14" applyAlignment="1" pivotButton="0" quotePrefix="0" xfId="0">
      <alignment horizontal="left" vertical="center"/>
    </xf>
    <xf numFmtId="0" fontId="34" fillId="18" borderId="14" applyAlignment="1" pivotButton="0" quotePrefix="0" xfId="0">
      <alignment horizontal="center" vertical="center"/>
    </xf>
    <xf numFmtId="167" fontId="28" fillId="16" borderId="14" applyAlignment="1" pivotButton="0" quotePrefix="0" xfId="0">
      <alignment horizontal="center" vertical="center"/>
    </xf>
    <xf numFmtId="0" fontId="37" fillId="15" borderId="14" applyAlignment="1" pivotButton="0" quotePrefix="0" xfId="0">
      <alignment horizontal="left" vertical="center"/>
    </xf>
    <xf numFmtId="0" fontId="37" fillId="15" borderId="14" applyAlignment="1" pivotButton="0" quotePrefix="0" xfId="0">
      <alignment horizontal="left" vertical="center" wrapText="1"/>
    </xf>
    <xf numFmtId="0" fontId="37" fillId="19" borderId="14" applyAlignment="1" pivotButton="0" quotePrefix="0" xfId="0">
      <alignment horizontal="center" vertical="center"/>
    </xf>
    <xf numFmtId="167" fontId="35" fillId="19" borderId="14" applyAlignment="1" pivotButton="0" quotePrefix="0" xfId="0">
      <alignment horizontal="center" vertical="center"/>
    </xf>
    <xf numFmtId="0" fontId="28" fillId="19" borderId="14" applyAlignment="1" pivotButton="0" quotePrefix="0" xfId="0">
      <alignment horizontal="center" vertical="center"/>
    </xf>
    <xf numFmtId="0" fontId="33" fillId="21" borderId="14" applyAlignment="1" pivotButton="0" quotePrefix="0" xfId="0">
      <alignment horizontal="center" vertical="center"/>
    </xf>
    <xf numFmtId="167" fontId="28" fillId="19" borderId="14" applyAlignment="1" pivotButton="0" quotePrefix="0" xfId="0">
      <alignment horizontal="center" vertical="center"/>
    </xf>
    <xf numFmtId="0" fontId="36" fillId="18" borderId="14" pivotButton="0" quotePrefix="0" xfId="0"/>
    <xf numFmtId="167" fontId="28" fillId="18" borderId="14" applyAlignment="1" pivotButton="0" quotePrefix="0" xfId="0">
      <alignment horizontal="center" vertical="center"/>
    </xf>
    <xf numFmtId="0" fontId="35" fillId="19" borderId="14" applyAlignment="1" pivotButton="0" quotePrefix="0" xfId="0">
      <alignment horizontal="center" vertical="center"/>
    </xf>
    <xf numFmtId="0" fontId="30" fillId="20" borderId="14" applyAlignment="1" pivotButton="0" quotePrefix="0" xfId="0">
      <alignment horizontal="left" vertical="center"/>
    </xf>
    <xf numFmtId="164" fontId="35" fillId="19" borderId="14" applyAlignment="1" pivotButton="0" quotePrefix="0" xfId="0">
      <alignment horizontal="center" vertical="center"/>
    </xf>
    <xf numFmtId="0" fontId="29" fillId="17" borderId="14" applyAlignment="1" pivotButton="0" quotePrefix="0" xfId="0">
      <alignment horizontal="left" vertical="center"/>
    </xf>
    <xf numFmtId="0" fontId="32" fillId="16" borderId="14" applyAlignment="1" pivotButton="0" quotePrefix="0" xfId="0">
      <alignment horizontal="left" vertical="center"/>
    </xf>
    <xf numFmtId="9" fontId="36" fillId="0" borderId="14" pivotButton="0" quotePrefix="0" xfId="0"/>
    <xf numFmtId="164" fontId="36" fillId="0" borderId="14" pivotButton="0" quotePrefix="0" xfId="0"/>
    <xf numFmtId="0" fontId="30" fillId="0" borderId="14" pivotButton="0" quotePrefix="0" xfId="0"/>
    <xf numFmtId="0" fontId="38" fillId="0" borderId="14" applyAlignment="1" pivotButton="0" quotePrefix="0" xfId="0">
      <alignment horizontal="center" vertical="center"/>
    </xf>
    <xf numFmtId="0" fontId="38" fillId="0" borderId="14" applyAlignment="1" pivotButton="0" quotePrefix="0" xfId="0">
      <alignment horizontal="left" vertical="center"/>
    </xf>
    <xf numFmtId="0" fontId="1" fillId="22" borderId="14" pivotButton="0" quotePrefix="0" xfId="0"/>
    <xf numFmtId="0" fontId="39" fillId="0" borderId="14" applyAlignment="1" pivotButton="0" quotePrefix="0" xfId="0">
      <alignment horizontal="left" vertical="center"/>
    </xf>
    <xf numFmtId="0" fontId="1" fillId="20" borderId="14" pivotButton="0" quotePrefix="0" xfId="0"/>
    <xf numFmtId="0" fontId="5" fillId="22" borderId="1" applyAlignment="1" pivotButton="0" quotePrefix="0" xfId="0">
      <alignment horizontal="center" vertical="center"/>
    </xf>
    <xf numFmtId="0" fontId="0" fillId="0" borderId="17" pivotButton="0" quotePrefix="0" xfId="0"/>
    <xf numFmtId="0" fontId="0" fillId="22" borderId="0" pivotButton="0" quotePrefix="0" xfId="0"/>
    <xf numFmtId="9" fontId="29" fillId="22" borderId="1" applyAlignment="1" pivotButton="0" quotePrefix="0" xfId="0">
      <alignment horizontal="left" vertical="center"/>
    </xf>
    <xf numFmtId="9" fontId="28" fillId="22" borderId="14" applyAlignment="1" pivotButton="0" quotePrefix="0" xfId="0">
      <alignment horizontal="center" vertical="center"/>
    </xf>
    <xf numFmtId="0" fontId="31" fillId="22" borderId="14" applyAlignment="1" pivotButton="0" quotePrefix="0" xfId="0">
      <alignment horizontal="left" vertical="center"/>
    </xf>
    <xf numFmtId="164" fontId="5" fillId="22" borderId="1" applyAlignment="1" pivotButton="0" quotePrefix="0" xfId="0">
      <alignment horizontal="center" vertical="center"/>
    </xf>
    <xf numFmtId="9" fontId="5" fillId="22" borderId="1" applyAlignment="1" pivotButton="0" quotePrefix="0" xfId="0">
      <alignment horizontal="center" vertical="center"/>
    </xf>
    <xf numFmtId="0" fontId="39" fillId="3" borderId="14" applyAlignment="1" pivotButton="0" quotePrefix="0" xfId="0">
      <alignment horizontal="left" vertical="center"/>
    </xf>
    <xf numFmtId="0" fontId="1" fillId="22" borderId="0" pivotButton="0" quotePrefix="0" xfId="0"/>
    <xf numFmtId="0" fontId="32" fillId="22" borderId="1" applyAlignment="1" pivotButton="0" quotePrefix="0" xfId="0">
      <alignment horizontal="left" vertical="center"/>
    </xf>
    <xf numFmtId="3" fontId="5" fillId="22" borderId="1" applyAlignment="1" pivotButton="0" quotePrefix="0" xfId="0">
      <alignment horizontal="center" vertical="center"/>
    </xf>
    <xf numFmtId="0" fontId="28" fillId="22" borderId="14" applyAlignment="1" pivotButton="0" quotePrefix="0" xfId="0">
      <alignment horizontal="center" vertical="center"/>
    </xf>
    <xf numFmtId="0" fontId="38" fillId="4" borderId="14" applyAlignment="1" pivotButton="0" quotePrefix="0" xfId="0">
      <alignment horizontal="center" vertical="center"/>
    </xf>
    <xf numFmtId="0" fontId="38" fillId="4" borderId="14" applyAlignment="1" pivotButton="0" quotePrefix="0" xfId="0">
      <alignment horizontal="left" vertical="center"/>
    </xf>
    <xf numFmtId="0" fontId="14" fillId="22" borderId="14" applyAlignment="1" pivotButton="0" quotePrefix="0" xfId="0">
      <alignment horizontal="left" vertical="center"/>
    </xf>
    <xf numFmtId="0" fontId="39" fillId="4" borderId="14" applyAlignment="1" pivotButton="0" quotePrefix="0" xfId="0">
      <alignment horizontal="left" vertical="center"/>
    </xf>
    <xf numFmtId="0" fontId="0" fillId="20" borderId="14" pivotButton="0" quotePrefix="0" xfId="0"/>
    <xf numFmtId="0" fontId="32" fillId="22" borderId="14" applyAlignment="1" pivotButton="0" quotePrefix="0" xfId="0">
      <alignment horizontal="left" vertical="center"/>
    </xf>
    <xf numFmtId="0" fontId="0" fillId="0" borderId="18" pivotButton="0" quotePrefix="0" xfId="0"/>
    <xf numFmtId="0" fontId="30" fillId="15" borderId="19" applyAlignment="1" pivotButton="0" quotePrefix="0" xfId="0">
      <alignment horizontal="left" vertical="center"/>
    </xf>
    <xf numFmtId="49" fontId="30" fillId="19" borderId="19" applyAlignment="1" pivotButton="0" quotePrefix="0" xfId="0">
      <alignment horizontal="center" vertical="center"/>
    </xf>
    <xf numFmtId="0" fontId="14" fillId="4" borderId="14" applyAlignment="1" pivotButton="0" quotePrefix="0" xfId="0">
      <alignment horizontal="left" vertical="center"/>
    </xf>
    <xf numFmtId="0" fontId="8" fillId="0" borderId="14" pivotButton="0" quotePrefix="0" xfId="0"/>
    <xf numFmtId="0" fontId="9" fillId="0" borderId="14" pivotButton="0" quotePrefix="0" xfId="0"/>
    <xf numFmtId="165" fontId="9" fillId="0" borderId="14" pivotButton="0" quotePrefix="0" xfId="0"/>
    <xf numFmtId="0" fontId="30" fillId="19" borderId="19" applyAlignment="1" pivotButton="0" quotePrefix="0" xfId="0">
      <alignment horizontal="left" vertical="center"/>
    </xf>
    <xf numFmtId="0" fontId="21" fillId="2" borderId="20" applyAlignment="1" pivotButton="0" quotePrefix="0" xfId="0">
      <alignment horizontal="left" vertical="center"/>
    </xf>
    <xf numFmtId="166" fontId="22" fillId="2" borderId="20" applyAlignment="1" pivotButton="0" quotePrefix="0" xfId="0">
      <alignment horizontal="righ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6404"/>
      <rgbColor rgb="FF800080"/>
      <rgbColor rgb="FF008080"/>
      <rgbColor rgb="FFA9AEB4"/>
      <rgbColor rgb="FF846E60"/>
      <rgbColor rgb="FF9999FF"/>
      <rgbColor rgb="FF993366"/>
      <rgbColor rgb="FFFFF3CD"/>
      <rgbColor rgb="FFF2F0ED"/>
      <rgbColor rgb="FF660066"/>
      <rgbColor rgb="FFFF8080"/>
      <rgbColor rgb="FF0066CC"/>
      <rgbColor rgb="FFDDD0C2"/>
      <rgbColor rgb="FF000080"/>
      <rgbColor rgb="FFFF00FF"/>
      <rgbColor rgb="FFFFFF00"/>
      <rgbColor rgb="FF00FFFF"/>
      <rgbColor rgb="FF800080"/>
      <rgbColor rgb="FF800000"/>
      <rgbColor rgb="FF008080"/>
      <rgbColor rgb="FF0000FF"/>
      <rgbColor rgb="FF00CCFF"/>
      <rgbColor rgb="FFF5F0EB"/>
      <rgbColor rgb="FFF0E8DD"/>
      <rgbColor rgb="FFFDF5E6"/>
      <rgbColor rgb="FFECDFCE"/>
      <rgbColor rgb="FFFAF6F3"/>
      <rgbColor rgb="FFFFF8F0"/>
      <rgbColor rgb="FFE8D9C8"/>
      <rgbColor rgb="FF3366FF"/>
      <rgbColor rgb="FF33CCCC"/>
      <rgbColor rgb="FF99CC00"/>
      <rgbColor rgb="FFFFCC00"/>
      <rgbColor rgb="FFFF9900"/>
      <rgbColor rgb="FFFF6600"/>
      <rgbColor rgb="FF666699"/>
      <rgbColor rgb="FFC19C81"/>
      <rgbColor rgb="FF003366"/>
      <rgbColor rgb="FF339966"/>
      <rgbColor rgb="FF003300"/>
      <rgbColor rgb="FF333300"/>
      <rgbColor rgb="FF993300"/>
      <rgbColor rgb="FF993366"/>
      <rgbColor rgb="FF333399"/>
      <rgbColor rgb="FF46454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64"/>
  <sheetViews>
    <sheetView tabSelected="1" zoomScale="202" zoomScaleNormal="202" workbookViewId="0">
      <selection activeCell="C40" sqref="C40"/>
    </sheetView>
  </sheetViews>
  <sheetFormatPr baseColWidth="10" defaultColWidth="14.5" defaultRowHeight="15"/>
  <cols>
    <col width="36" customWidth="1" style="137" min="1" max="1"/>
    <col width="34.6640625" bestFit="1" customWidth="1" style="137" min="2" max="2"/>
    <col width="18" customWidth="1" style="137" min="3" max="4"/>
    <col width="28" customWidth="1" style="137" min="5" max="5"/>
    <col width="18" customWidth="1" style="137" min="6" max="7"/>
    <col width="8.6640625" customWidth="1" style="137" min="8" max="26"/>
  </cols>
  <sheetData>
    <row r="1" ht="62.25" customHeight="1" s="137">
      <c r="A1" s="140" t="n"/>
      <c r="B1" s="134" t="n"/>
      <c r="C1" s="134" t="n"/>
      <c r="D1" s="134" t="n"/>
      <c r="E1" s="134" t="n"/>
      <c r="F1" s="134" t="n"/>
      <c r="G1" s="132" t="n"/>
      <c r="H1" s="1" t="n"/>
      <c r="I1" s="1" t="n"/>
      <c r="J1" s="1" t="n"/>
      <c r="K1" s="1" t="n"/>
      <c r="L1" s="1" t="n"/>
      <c r="M1" s="1" t="n"/>
      <c r="N1" s="1" t="n"/>
      <c r="O1" s="1" t="n"/>
      <c r="P1" s="1" t="n"/>
      <c r="Q1" s="1" t="n"/>
      <c r="R1" s="1" t="n"/>
      <c r="S1" s="1" t="n"/>
      <c r="T1" s="1" t="n"/>
      <c r="U1" s="1" t="n"/>
      <c r="V1" s="1" t="n"/>
      <c r="W1" s="1" t="n"/>
      <c r="X1" s="1" t="n"/>
      <c r="Y1" s="1" t="n"/>
      <c r="Z1" s="1" t="n"/>
    </row>
    <row r="2" ht="21.75" customHeight="1" s="137">
      <c r="A2" s="143" t="inlineStr">
        <is>
          <t>Client Setup — Complete Once Per Program</t>
        </is>
      </c>
      <c r="B2" s="134" t="n"/>
      <c r="C2" s="134" t="n"/>
      <c r="D2" s="134" t="n"/>
      <c r="E2" s="134" t="n"/>
      <c r="F2" s="134" t="n"/>
      <c r="G2" s="132" t="n"/>
      <c r="H2" s="215" t="inlineStr">
        <is>
          <t>Color</t>
        </is>
      </c>
      <c r="I2" s="216" t="inlineStr">
        <is>
          <t>Meaning</t>
        </is>
      </c>
      <c r="J2" s="1" t="n"/>
      <c r="K2" s="1" t="n"/>
      <c r="L2" s="1" t="n"/>
      <c r="M2" s="1" t="n"/>
      <c r="N2" s="1" t="n"/>
      <c r="O2" s="1" t="n"/>
      <c r="P2" s="1" t="n"/>
      <c r="Q2" s="1" t="n"/>
      <c r="R2" s="1" t="n"/>
      <c r="S2" s="1" t="n"/>
      <c r="T2" s="1" t="n"/>
      <c r="U2" s="1" t="n"/>
      <c r="V2" s="1" t="n"/>
      <c r="W2" s="1" t="n"/>
      <c r="X2" s="1" t="n"/>
      <c r="Y2" s="1" t="n"/>
      <c r="Z2" s="1" t="n"/>
    </row>
    <row r="3" ht="6" customHeight="1" s="137">
      <c r="A3" s="1" t="n"/>
      <c r="B3" s="1" t="n"/>
      <c r="C3" s="1" t="n"/>
      <c r="D3" s="1" t="n"/>
      <c r="E3" s="1" t="n"/>
      <c r="F3" s="1" t="n"/>
      <c r="G3" s="1" t="n"/>
      <c r="H3" s="219" t="n"/>
      <c r="I3" s="218" t="inlineStr">
        <is>
          <t>Dropdown — click to select</t>
        </is>
      </c>
      <c r="J3" s="1" t="n"/>
      <c r="K3" s="1" t="n"/>
      <c r="L3" s="1" t="n"/>
      <c r="M3" s="1" t="n"/>
      <c r="N3" s="1" t="n"/>
      <c r="O3" s="1" t="n"/>
      <c r="P3" s="1" t="n"/>
      <c r="Q3" s="1" t="n"/>
      <c r="R3" s="1" t="n"/>
      <c r="S3" s="1" t="n"/>
      <c r="T3" s="1" t="n"/>
      <c r="U3" s="1" t="n"/>
      <c r="V3" s="1" t="n"/>
      <c r="W3" s="1" t="n"/>
      <c r="X3" s="1" t="n"/>
      <c r="Y3" s="1" t="n"/>
      <c r="Z3" s="1" t="n"/>
    </row>
    <row r="4" ht="27.75" customHeight="1" s="137">
      <c r="A4" s="133" t="inlineStr">
        <is>
          <t>EVENT DETAILS</t>
        </is>
      </c>
      <c r="B4" s="134" t="n"/>
      <c r="C4" s="134" t="n"/>
      <c r="D4" s="134" t="n"/>
      <c r="E4" s="134" t="n"/>
      <c r="F4" s="134" t="n"/>
      <c r="G4" s="132" t="n"/>
      <c r="H4" s="219" t="n"/>
      <c r="I4" s="218" t="inlineStr">
        <is>
          <t>Manual entry or formula</t>
        </is>
      </c>
      <c r="J4" s="1" t="n"/>
      <c r="K4" s="1" t="n"/>
      <c r="L4" s="1" t="n"/>
      <c r="M4" s="1" t="n"/>
      <c r="N4" s="1" t="n"/>
      <c r="O4" s="1" t="n"/>
      <c r="P4" s="1" t="n"/>
      <c r="Q4" s="1" t="n"/>
      <c r="R4" s="1" t="n"/>
      <c r="S4" s="1" t="n"/>
      <c r="T4" s="1" t="n"/>
      <c r="U4" s="1" t="n"/>
      <c r="V4" s="1" t="n"/>
      <c r="W4" s="1" t="n"/>
      <c r="X4" s="1" t="n"/>
      <c r="Y4" s="1" t="n"/>
      <c r="Z4" s="1" t="n"/>
    </row>
    <row r="5" ht="27.75" customHeight="1" s="137">
      <c r="A5" s="3" t="inlineStr">
        <is>
          <t>Client Name:</t>
        </is>
      </c>
      <c r="B5" s="139" t="inlineStr">
        <is>
          <t>Alex Stack</t>
        </is>
      </c>
      <c r="C5" s="132" t="n"/>
      <c r="D5" s="5" t="n"/>
      <c r="E5" s="5" t="n"/>
      <c r="F5" s="5" t="n"/>
      <c r="G5" s="5" t="n"/>
      <c r="H5" s="1" t="n"/>
      <c r="I5" s="1" t="n"/>
      <c r="J5" s="1" t="n"/>
      <c r="K5" s="1" t="n"/>
      <c r="L5" s="1" t="n"/>
      <c r="M5" s="1" t="n"/>
      <c r="N5" s="1" t="n"/>
      <c r="O5" s="1" t="n"/>
      <c r="P5" s="1" t="n"/>
      <c r="Q5" s="1" t="n"/>
      <c r="R5" s="1" t="n"/>
      <c r="S5" s="1" t="n"/>
      <c r="T5" s="1" t="n"/>
      <c r="U5" s="1" t="n"/>
      <c r="V5" s="1" t="n"/>
      <c r="W5" s="1" t="n"/>
      <c r="X5" s="1" t="n"/>
      <c r="Y5" s="1" t="n"/>
      <c r="Z5" s="1" t="n"/>
    </row>
    <row r="6" ht="27.75" customHeight="1" s="137">
      <c r="A6" s="3" t="inlineStr">
        <is>
          <t>Event Date:</t>
        </is>
      </c>
      <c r="B6" s="155" t="n">
        <v>46396</v>
      </c>
      <c r="C6" s="132" t="n"/>
      <c r="D6" s="5" t="n"/>
      <c r="E6" s="5" t="n"/>
      <c r="F6" s="5" t="n"/>
      <c r="G6" s="5" t="n"/>
      <c r="H6" s="1" t="n"/>
      <c r="I6" s="1" t="n"/>
      <c r="J6" s="1" t="n"/>
      <c r="K6" s="1" t="n"/>
      <c r="L6" s="1" t="n"/>
      <c r="M6" s="1" t="n"/>
      <c r="N6" s="1" t="n"/>
      <c r="O6" s="1" t="n"/>
      <c r="P6" s="1" t="n"/>
      <c r="Q6" s="1" t="n"/>
      <c r="R6" s="1" t="n"/>
      <c r="S6" s="1" t="n"/>
      <c r="T6" s="1" t="n"/>
      <c r="U6" s="1" t="n"/>
      <c r="V6" s="1" t="n"/>
      <c r="W6" s="1" t="n"/>
      <c r="X6" s="1" t="n"/>
      <c r="Y6" s="1" t="n"/>
      <c r="Z6" s="1" t="n"/>
    </row>
    <row r="7" ht="27.75" customHeight="1" s="137">
      <c r="A7" s="3" t="inlineStr">
        <is>
          <t>Guest Count:</t>
        </is>
      </c>
      <c r="B7" s="131" t="n">
        <v>60</v>
      </c>
      <c r="C7" s="132" t="n"/>
      <c r="D7" s="5" t="n"/>
      <c r="E7" s="5" t="n"/>
      <c r="F7" s="5" t="n"/>
      <c r="G7" s="5" t="n"/>
      <c r="H7" s="1" t="n"/>
      <c r="I7" s="1" t="n"/>
      <c r="J7" s="1" t="n"/>
      <c r="K7" s="1" t="n"/>
      <c r="L7" s="1" t="n"/>
      <c r="M7" s="1" t="n"/>
      <c r="N7" s="1" t="n"/>
      <c r="O7" s="1" t="n"/>
      <c r="P7" s="1" t="n"/>
      <c r="Q7" s="1" t="n"/>
      <c r="R7" s="1" t="n"/>
      <c r="S7" s="1" t="n"/>
      <c r="T7" s="1" t="n"/>
      <c r="U7" s="1" t="n"/>
      <c r="V7" s="1" t="n"/>
      <c r="W7" s="1" t="n"/>
      <c r="X7" s="1" t="n"/>
      <c r="Y7" s="1" t="n"/>
      <c r="Z7" s="1" t="n"/>
    </row>
    <row r="8" ht="27.75" customHeight="1" s="137">
      <c r="A8" s="3" t="inlineStr">
        <is>
          <t>Service Style:</t>
        </is>
      </c>
      <c r="B8" s="220" t="inlineStr">
        <is>
          <t>Family Style</t>
        </is>
      </c>
      <c r="C8" s="132" t="n"/>
      <c r="D8" s="5" t="n"/>
      <c r="E8" s="5" t="n"/>
      <c r="F8" s="5" t="n"/>
      <c r="G8" s="5" t="n"/>
      <c r="H8" s="1" t="n"/>
      <c r="I8" s="1" t="n"/>
      <c r="J8" s="1" t="n"/>
      <c r="K8" s="1" t="n"/>
      <c r="L8" s="1" t="n"/>
      <c r="M8" s="1" t="n"/>
      <c r="N8" s="1" t="n"/>
      <c r="O8" s="1" t="n"/>
      <c r="P8" s="1" t="n"/>
      <c r="Q8" s="1" t="n"/>
      <c r="R8" s="1" t="n"/>
      <c r="S8" s="1" t="n"/>
      <c r="T8" s="1" t="n"/>
      <c r="U8" s="1" t="n"/>
      <c r="V8" s="1" t="n"/>
      <c r="W8" s="1" t="n"/>
      <c r="X8" s="1" t="n"/>
      <c r="Y8" s="1" t="n"/>
      <c r="Z8" s="1" t="n"/>
    </row>
    <row r="9" ht="27.75" customHeight="1" s="137">
      <c r="A9" s="3" t="inlineStr">
        <is>
          <t>Alcohol:</t>
        </is>
      </c>
      <c r="B9" s="220" t="inlineStr">
        <is>
          <t>Full Bar</t>
        </is>
      </c>
      <c r="C9" s="132" t="n"/>
      <c r="D9" s="5" t="n"/>
      <c r="E9" s="5" t="n"/>
      <c r="F9" s="5" t="n"/>
      <c r="G9" s="5" t="n"/>
      <c r="H9" s="1" t="n"/>
      <c r="I9" s="1" t="n"/>
      <c r="J9" s="1" t="n"/>
      <c r="K9" s="1" t="n"/>
      <c r="L9" s="1" t="n"/>
      <c r="M9" s="1" t="n"/>
      <c r="N9" s="1" t="n"/>
      <c r="O9" s="1" t="n"/>
      <c r="P9" s="1" t="n"/>
      <c r="Q9" s="1" t="n"/>
      <c r="R9" s="1" t="n"/>
      <c r="S9" s="1" t="n"/>
      <c r="T9" s="1" t="n"/>
      <c r="U9" s="1" t="n"/>
      <c r="V9" s="1" t="n"/>
      <c r="W9" s="1" t="n"/>
      <c r="X9" s="1" t="n"/>
      <c r="Y9" s="1" t="n"/>
      <c r="Z9" s="1" t="n"/>
    </row>
    <row r="10" ht="27.75" customHeight="1" s="137">
      <c r="A10" s="3" t="inlineStr">
        <is>
          <t>Event Time:</t>
        </is>
      </c>
      <c r="B10" s="141" t="inlineStr">
        <is>
          <t>6-9</t>
        </is>
      </c>
      <c r="C10" s="132" t="n"/>
      <c r="D10" s="5" t="n"/>
      <c r="E10" s="5" t="n"/>
      <c r="F10" s="5" t="n"/>
      <c r="G10" s="5" t="n"/>
      <c r="H10" s="1" t="n"/>
      <c r="I10" s="1" t="n"/>
      <c r="J10" s="1" t="n"/>
      <c r="K10" s="1" t="n"/>
      <c r="L10" s="1" t="n"/>
      <c r="M10" s="1" t="n"/>
      <c r="N10" s="1" t="n"/>
      <c r="O10" s="1" t="n"/>
      <c r="P10" s="1" t="n"/>
      <c r="Q10" s="1" t="n"/>
      <c r="R10" s="1" t="n"/>
      <c r="S10" s="1" t="n"/>
      <c r="T10" s="1" t="n"/>
      <c r="U10" s="1" t="n"/>
      <c r="V10" s="1" t="n"/>
      <c r="W10" s="1" t="n"/>
      <c r="X10" s="1" t="n"/>
      <c r="Y10" s="1" t="n"/>
      <c r="Z10" s="1" t="n"/>
    </row>
    <row r="11">
      <c r="A11" s="183" t="inlineStr">
        <is>
          <t>Company Name:</t>
        </is>
      </c>
      <c r="B11" s="184" t="inlineStr">
        <is>
          <t>QCED</t>
        </is>
      </c>
      <c r="C11" s="221" t="n"/>
      <c r="D11" s="67" t="n"/>
      <c r="E11" s="67" t="n"/>
      <c r="F11" s="67" t="n"/>
      <c r="G11" s="67" t="n"/>
    </row>
    <row r="12">
      <c r="A12" s="183" t="inlineStr">
        <is>
          <t>Program Name:</t>
        </is>
      </c>
      <c r="B12" s="184" t="inlineStr">
        <is>
          <t xml:space="preserve">Sample Program </t>
        </is>
      </c>
      <c r="C12" s="221" t="n"/>
      <c r="D12" s="67" t="n"/>
      <c r="E12" s="67" t="n"/>
      <c r="F12" s="67" t="n"/>
      <c r="G12" s="67" t="n"/>
    </row>
    <row r="13" ht="27.75" customHeight="1" s="137">
      <c r="A13" s="183" t="inlineStr">
        <is>
          <t>Client Hotel:</t>
        </is>
      </c>
      <c r="B13" s="184" t="n"/>
      <c r="C13" s="221" t="n"/>
      <c r="D13" s="67" t="n"/>
      <c r="E13" s="67" t="n"/>
      <c r="F13" s="67" t="n"/>
      <c r="G13" s="67" t="n"/>
    </row>
    <row r="14" ht="25.5" customHeight="1" s="137">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5.5" customHeight="1" s="137">
      <c r="A15" s="133" t="inlineStr">
        <is>
          <t>LOCATION &amp; TAX RATES</t>
        </is>
      </c>
      <c r="H15" s="1" t="n"/>
      <c r="I15" s="1" t="n"/>
      <c r="J15" s="1" t="n"/>
      <c r="K15" s="1" t="n"/>
      <c r="L15" s="1" t="n"/>
      <c r="M15" s="1" t="n"/>
      <c r="N15" s="1" t="n"/>
      <c r="O15" s="1" t="n"/>
      <c r="P15" s="1" t="n"/>
      <c r="Q15" s="1" t="n"/>
      <c r="R15" s="1" t="n"/>
      <c r="S15" s="1" t="n"/>
      <c r="T15" s="1" t="n"/>
      <c r="U15" s="1" t="n"/>
      <c r="V15" s="1" t="n"/>
      <c r="W15" s="1" t="n"/>
      <c r="X15" s="1" t="n"/>
      <c r="Y15" s="1" t="n"/>
      <c r="Z15" s="1" t="n"/>
    </row>
    <row r="16" ht="25.5" customHeight="1" s="137">
      <c r="A16" s="3" t="inlineStr">
        <is>
          <t>State / Location:</t>
        </is>
      </c>
      <c r="B16" s="220" t="inlineStr">
        <is>
          <t>Wilson NC</t>
        </is>
      </c>
      <c r="D16" s="7" t="inlineStr">
        <is>
          <t>Tax rates auto-populate from location</t>
        </is>
      </c>
      <c r="H16" s="1" t="n"/>
      <c r="I16" s="1" t="n"/>
      <c r="J16" s="1" t="n"/>
      <c r="K16" s="1" t="n"/>
      <c r="L16" s="1" t="n"/>
      <c r="M16" s="1" t="n"/>
      <c r="N16" s="1" t="n"/>
      <c r="O16" s="1" t="n"/>
      <c r="P16" s="1" t="n"/>
      <c r="Q16" s="1" t="n"/>
      <c r="R16" s="1" t="n"/>
      <c r="S16" s="1" t="n"/>
      <c r="T16" s="1" t="n"/>
      <c r="U16" s="1" t="n"/>
      <c r="V16" s="1" t="n"/>
      <c r="W16" s="1" t="n"/>
      <c r="X16" s="1" t="n"/>
      <c r="Y16" s="1" t="n"/>
      <c r="Z16" s="1" t="n"/>
    </row>
    <row r="17" ht="16" customHeight="1" s="137">
      <c r="A17" s="8" t="inlineStr">
        <is>
          <t>Food Tax Rate:</t>
        </is>
      </c>
      <c r="B17" s="9">
        <f>IF(B16="","",VLOOKUP(B16,$A$124:$D$145,2,FALSE))</f>
        <v/>
      </c>
      <c r="C17" s="5" t="n"/>
      <c r="D17" s="7" t="inlineStr">
        <is>
          <t>Tax on food &amp; NA beverages</t>
        </is>
      </c>
      <c r="H17" s="1" t="n"/>
      <c r="I17" s="1" t="n"/>
      <c r="J17" s="1" t="n"/>
      <c r="K17" s="1" t="n"/>
      <c r="L17" s="1" t="n"/>
      <c r="M17" s="1" t="n"/>
      <c r="N17" s="1" t="n"/>
      <c r="O17" s="1" t="n"/>
      <c r="P17" s="1" t="n"/>
      <c r="Q17" s="1" t="n"/>
      <c r="R17" s="1" t="n"/>
      <c r="S17" s="1" t="n"/>
      <c r="T17" s="1" t="n"/>
      <c r="U17" s="1" t="n"/>
      <c r="V17" s="1" t="n"/>
      <c r="W17" s="1" t="n"/>
      <c r="X17" s="1" t="n"/>
      <c r="Y17" s="1" t="n"/>
      <c r="Z17" s="1" t="n"/>
    </row>
    <row r="18" ht="27.75" customHeight="1" s="137">
      <c r="A18" s="8" t="inlineStr">
        <is>
          <t>Alcohol Tax Rate:</t>
        </is>
      </c>
      <c r="B18" s="9">
        <f>IF(B16="","",VLOOKUP(B16,$A$124:$D$145,3,FALSE))</f>
        <v/>
      </c>
      <c r="C18" s="5" t="n"/>
      <c r="D18" s="7" t="inlineStr">
        <is>
          <t>Tax on bar/alcohol</t>
        </is>
      </c>
      <c r="H18" s="1" t="n"/>
      <c r="I18" s="1" t="n"/>
      <c r="J18" s="1" t="n"/>
      <c r="K18" s="1" t="n"/>
      <c r="L18" s="1" t="n"/>
      <c r="M18" s="1" t="n"/>
      <c r="N18" s="1" t="n"/>
      <c r="O18" s="1" t="n"/>
      <c r="P18" s="1" t="n"/>
      <c r="Q18" s="1" t="n"/>
      <c r="R18" s="1" t="n"/>
      <c r="S18" s="1" t="n"/>
      <c r="T18" s="1" t="n"/>
      <c r="U18" s="1" t="n"/>
      <c r="V18" s="1" t="n"/>
      <c r="W18" s="1" t="n"/>
      <c r="X18" s="1" t="n"/>
      <c r="Y18" s="1" t="n"/>
      <c r="Z18" s="1" t="n"/>
    </row>
    <row r="19" ht="25.5" customHeight="1" s="137">
      <c r="A19" s="8" t="inlineStr">
        <is>
          <t>General Sales Tax Rate:</t>
        </is>
      </c>
      <c r="B19" s="9">
        <f>IF(B16="","",VLOOKUP(B16,$A$124:$D$145,4,FALSE))</f>
        <v/>
      </c>
      <c r="C19" s="5" t="n"/>
      <c r="D19" s="7" t="inlineStr">
        <is>
          <t>Tax on equipment, rentals, staffing</t>
        </is>
      </c>
      <c r="H19" s="1" t="n"/>
      <c r="I19" s="1" t="n"/>
      <c r="J19" s="1" t="n"/>
      <c r="K19" s="1" t="n"/>
      <c r="L19" s="1" t="n"/>
      <c r="M19" s="1" t="n"/>
      <c r="N19" s="1" t="n"/>
      <c r="O19" s="1" t="n"/>
      <c r="P19" s="1" t="n"/>
      <c r="Q19" s="1" t="n"/>
      <c r="R19" s="1" t="n"/>
      <c r="S19" s="1" t="n"/>
      <c r="T19" s="1" t="n"/>
      <c r="U19" s="1" t="n"/>
      <c r="V19" s="1" t="n"/>
      <c r="W19" s="1" t="n"/>
      <c r="X19" s="1" t="n"/>
      <c r="Y19" s="1" t="n"/>
      <c r="Z19" s="1" t="n"/>
    </row>
    <row r="20" ht="25.5" customHeight="1" s="137">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5.5" customHeight="1" s="137">
      <c r="A21" s="133" t="inlineStr">
        <is>
          <t>PRICING &amp; COMMISSION</t>
        </is>
      </c>
      <c r="C21" s="222" t="n"/>
      <c r="H21" s="1" t="n"/>
      <c r="I21" s="1" t="n"/>
      <c r="J21" s="1" t="n"/>
      <c r="K21" s="1" t="n"/>
      <c r="L21" s="1" t="n"/>
      <c r="M21" s="1" t="n"/>
      <c r="N21" s="1" t="n"/>
      <c r="O21" s="1" t="n"/>
      <c r="P21" s="1" t="n"/>
      <c r="Q21" s="1" t="n"/>
      <c r="R21" s="1" t="n"/>
      <c r="S21" s="1" t="n"/>
      <c r="T21" s="1" t="n"/>
      <c r="U21" s="1" t="n"/>
      <c r="V21" s="1" t="n"/>
      <c r="W21" s="1" t="n"/>
      <c r="X21" s="1" t="n"/>
      <c r="Y21" s="1" t="n"/>
      <c r="Z21" s="1" t="n"/>
    </row>
    <row r="22" ht="25.5" customHeight="1" s="137">
      <c r="A22" s="68" t="inlineStr">
        <is>
          <t>Category</t>
        </is>
      </c>
      <c r="B22" s="69" t="inlineStr">
        <is>
          <t>Markup %</t>
        </is>
      </c>
      <c r="C22" s="223" t="inlineStr">
        <is>
          <t>Note</t>
        </is>
      </c>
      <c r="D22" s="71" t="n"/>
      <c r="E22" s="72" t="n"/>
      <c r="F22" s="72" t="n"/>
      <c r="G22" s="72" t="n"/>
      <c r="H22" s="1" t="n"/>
      <c r="I22" s="1" t="n"/>
      <c r="J22" s="1" t="n"/>
      <c r="K22" s="1" t="n"/>
      <c r="L22" s="1" t="n"/>
      <c r="M22" s="1" t="n"/>
      <c r="N22" s="1" t="n"/>
      <c r="O22" s="1" t="n"/>
      <c r="P22" s="1" t="n"/>
      <c r="Q22" s="1" t="n"/>
      <c r="R22" s="1" t="n"/>
      <c r="S22" s="1" t="n"/>
      <c r="T22" s="1" t="n"/>
      <c r="U22" s="1" t="n"/>
      <c r="V22" s="1" t="n"/>
      <c r="W22" s="1" t="n"/>
      <c r="X22" s="1" t="n"/>
      <c r="Y22" s="1" t="n"/>
      <c r="Z22" s="1" t="n"/>
    </row>
    <row r="23">
      <c r="A23" s="185" t="inlineStr">
        <is>
          <t>Catering &amp; F&amp;B</t>
        </is>
      </c>
      <c r="B23" s="224" t="n">
        <v>0.54</v>
      </c>
      <c r="C23" s="187" t="inlineStr">
        <is>
          <t>Floor — clients compare per-head pricing</t>
        </is>
      </c>
      <c r="D23" s="188" t="n"/>
      <c r="E23" s="67" t="n"/>
      <c r="F23" s="67" t="n"/>
      <c r="G23" s="67" t="n"/>
    </row>
    <row r="24" ht="27.75" customHeight="1" s="137">
      <c r="A24" s="185" t="inlineStr">
        <is>
          <t>Venues &amp; Room Rentals</t>
        </is>
      </c>
      <c r="B24" s="224" t="n">
        <v>0.6</v>
      </c>
      <c r="C24" s="187" t="inlineStr">
        <is>
          <t>Full venue relationship management</t>
        </is>
      </c>
      <c r="D24" s="188" t="n"/>
      <c r="E24" s="67" t="n"/>
      <c r="F24" s="67" t="n"/>
      <c r="G24" s="67" t="n"/>
    </row>
    <row r="25" ht="25.5" customHeight="1" s="137">
      <c r="A25" s="185" t="inlineStr">
        <is>
          <t>AV &amp; Production</t>
        </is>
      </c>
      <c r="B25" s="224" t="n">
        <v>0.65</v>
      </c>
      <c r="C25" s="225" t="inlineStr">
        <is>
          <t>Technical coordination, hard to price-shop</t>
        </is>
      </c>
      <c r="D25" s="188" t="n"/>
      <c r="E25" s="67" t="n"/>
      <c r="F25" s="67" t="n"/>
      <c r="G25" s="67" t="n"/>
    </row>
    <row r="26" ht="25.5" customHeight="1" s="137">
      <c r="A26" s="185" t="inlineStr">
        <is>
          <t>Décor &amp; Design</t>
        </is>
      </c>
      <c r="B26" s="224" t="n">
        <v>0.85</v>
      </c>
      <c r="C26" s="225" t="inlineStr">
        <is>
          <t>Custom creative — no comparison exists</t>
        </is>
      </c>
      <c r="D26" s="188" t="n"/>
      <c r="E26" s="67" t="n"/>
      <c r="F26" s="67" t="n"/>
      <c r="G26" s="67" t="n"/>
    </row>
    <row r="27" ht="25.5" customHeight="1" s="137">
      <c r="A27" s="185" t="inlineStr">
        <is>
          <t>Entertainment</t>
        </is>
      </c>
      <c r="B27" s="224" t="n">
        <v>0.75</v>
      </c>
      <c r="C27" s="225" t="inlineStr">
        <is>
          <t>Talent sourcing, contracts, riders</t>
        </is>
      </c>
      <c r="D27" s="188" t="n"/>
      <c r="E27" s="67" t="n"/>
      <c r="F27" s="67" t="n"/>
      <c r="G27" s="67" t="n"/>
    </row>
    <row r="28">
      <c r="A28" s="185" t="inlineStr">
        <is>
          <t>Activities &amp; Experiences</t>
        </is>
      </c>
      <c r="B28" s="224" t="n">
        <v>0.75</v>
      </c>
      <c r="C28" s="187" t="inlineStr">
        <is>
          <t>Curation, coordination, permitting</t>
        </is>
      </c>
      <c r="D28" s="188" t="n"/>
      <c r="E28" s="67" t="n"/>
      <c r="F28" s="67" t="n"/>
      <c r="G28" s="67" t="n"/>
    </row>
    <row r="29" ht="27.75" customHeight="1" s="137">
      <c r="A29" s="185" t="inlineStr">
        <is>
          <t>Transportation</t>
        </is>
      </c>
      <c r="B29" s="224" t="n">
        <v>0.75</v>
      </c>
      <c r="C29" s="187" t="inlineStr">
        <is>
          <t>Route planning, high-liability</t>
        </is>
      </c>
      <c r="D29" s="188" t="n"/>
      <c r="E29" s="67" t="n"/>
      <c r="F29" s="67" t="n"/>
      <c r="G29" s="67" t="n"/>
    </row>
    <row r="30" ht="24" customHeight="1" s="137">
      <c r="A30" s="185" t="inlineStr">
        <is>
          <t>Staffing &amp; Labor</t>
        </is>
      </c>
      <c r="B30" s="224" t="n">
        <v>0.9</v>
      </c>
      <c r="C30" s="187" t="inlineStr">
        <is>
          <t>Recruitment, scheduling, management</t>
        </is>
      </c>
      <c r="D30" s="188" t="n"/>
      <c r="E30" s="67" t="n"/>
      <c r="F30" s="67" t="n"/>
      <c r="G30" s="67" t="n"/>
    </row>
    <row r="31" ht="24" customHeight="1" s="137">
      <c r="A31" s="185" t="inlineStr">
        <is>
          <t>Purchased / Sourced Items</t>
        </is>
      </c>
      <c r="B31" s="224" t="n">
        <v>2</v>
      </c>
      <c r="C31" s="187" t="inlineStr">
        <is>
          <t>Small items, disproportionate time (3×)</t>
        </is>
      </c>
      <c r="D31" s="188" t="n"/>
      <c r="E31" s="67" t="n"/>
      <c r="F31" s="67" t="n"/>
      <c r="G31" s="67" t="n"/>
    </row>
    <row r="32" ht="24" customHeight="1" s="137">
      <c r="A32" s="185" t="inlineStr">
        <is>
          <t>Delivery &amp; Logistics</t>
        </is>
      </c>
      <c r="B32" s="224" t="n">
        <v>0.85</v>
      </c>
      <c r="C32" s="187" t="inlineStr">
        <is>
          <t>Timing risk, damage liability</t>
        </is>
      </c>
      <c r="D32" s="188" t="n"/>
      <c r="E32" s="67" t="n"/>
      <c r="F32" s="67" t="n"/>
      <c r="G32" s="67" t="n"/>
    </row>
    <row r="33" ht="24" customHeight="1" s="137">
      <c r="A33" s="185" t="inlineStr">
        <is>
          <t>Tours &amp; Guided Experiences</t>
        </is>
      </c>
      <c r="B33" s="224" t="n">
        <v>0.65</v>
      </c>
      <c r="C33" s="187" t="inlineStr">
        <is>
          <t>Guide sourcing, route design</t>
        </is>
      </c>
      <c r="D33" s="188" t="n"/>
      <c r="E33" s="67" t="n"/>
      <c r="F33" s="67" t="n"/>
      <c r="G33" s="67" t="n"/>
    </row>
    <row r="34" ht="24" customHeight="1" s="137">
      <c r="A34" s="189" t="inlineStr">
        <is>
          <t>Absolute Floor: 54%</t>
        </is>
      </c>
      <c r="B34" s="190" t="n"/>
      <c r="C34" s="191" t="inlineStr">
        <is>
          <t>No exceptions without owner approval</t>
        </is>
      </c>
      <c r="D34" s="190" t="n"/>
      <c r="E34" s="77" t="n"/>
      <c r="F34" s="77" t="n"/>
      <c r="G34" s="77" t="n"/>
    </row>
    <row r="35" ht="24" customHeight="1" s="137">
      <c r="A35" s="8" t="inlineStr">
        <is>
          <t>CC Processing Fee %:</t>
        </is>
      </c>
      <c r="B35" s="5" t="n"/>
      <c r="C35" s="226" t="n">
        <v>0.035</v>
      </c>
      <c r="D35" s="135" t="inlineStr">
        <is>
          <t>Applied to subtotal</t>
        </is>
      </c>
      <c r="E35" s="134" t="n"/>
      <c r="F35" s="134" t="n"/>
      <c r="G35" s="132"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137">
      <c r="A36" s="8" t="inlineStr">
        <is>
          <t>Third-Party Commission:</t>
        </is>
      </c>
      <c r="B36" s="5" t="n"/>
      <c r="C36" s="227" t="n">
        <v>0.05</v>
      </c>
      <c r="D36" s="135" t="inlineStr">
        <is>
          <t>Select commission rate</t>
        </is>
      </c>
      <c r="E36" s="134" t="n"/>
      <c r="F36" s="134" t="n"/>
      <c r="G36" s="132"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137">
      <c r="A37" s="8" t="inlineStr">
        <is>
          <t>Global DMC (6.5%):</t>
        </is>
      </c>
      <c r="B37" s="5" t="n"/>
      <c r="C37" s="220" t="inlineStr">
        <is>
          <t>Yes</t>
        </is>
      </c>
      <c r="D37" s="135" t="inlineStr">
        <is>
          <t>Yes = 6.5% applied</t>
        </is>
      </c>
      <c r="E37" s="134" t="n"/>
      <c r="F37" s="134" t="n"/>
      <c r="G37" s="132"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137">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137">
      <c r="A39" s="133" t="inlineStr">
        <is>
          <t>RESTAURANT FEE DEFAULTS (can be overridden per venue)</t>
        </is>
      </c>
      <c r="B39" s="134" t="n"/>
      <c r="C39" s="134" t="n"/>
      <c r="D39" s="134" t="n"/>
      <c r="E39" s="134" t="n"/>
      <c r="F39" s="134" t="n"/>
      <c r="G39" s="132"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137">
      <c r="A40" s="8" t="inlineStr">
        <is>
          <t>Service Charge:</t>
        </is>
      </c>
      <c r="B40" s="5" t="n"/>
      <c r="C40" s="220" t="inlineStr">
        <is>
          <t>20%</t>
        </is>
      </c>
      <c r="D40" s="135" t="inlineStr">
        <is>
          <t>20%, 21.5%, or None</t>
        </is>
      </c>
      <c r="E40" s="134" t="n"/>
      <c r="F40" s="134" t="n"/>
      <c r="G40" s="132"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137">
      <c r="A41" s="8" t="inlineStr">
        <is>
          <t>Gratuity:</t>
        </is>
      </c>
      <c r="B41" s="5" t="n"/>
      <c r="C41" s="220" t="inlineStr">
        <is>
          <t>20%</t>
        </is>
      </c>
      <c r="D41" s="135" t="inlineStr">
        <is>
          <t>20% or None</t>
        </is>
      </c>
      <c r="E41" s="134" t="n"/>
      <c r="F41" s="134" t="n"/>
      <c r="G41" s="132"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137">
      <c r="A42" s="8" t="inlineStr">
        <is>
          <t>Admin Fee:</t>
        </is>
      </c>
      <c r="B42" s="5" t="n"/>
      <c r="C42" s="220" t="inlineStr">
        <is>
          <t>5%</t>
        </is>
      </c>
      <c r="D42" s="135" t="inlineStr">
        <is>
          <t>5% or None</t>
        </is>
      </c>
      <c r="E42" s="134" t="n"/>
      <c r="F42" s="134" t="n"/>
      <c r="G42" s="132"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137">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137">
      <c r="A44" s="133" t="inlineStr">
        <is>
          <t>HOW TO USE</t>
        </is>
      </c>
      <c r="B44" s="134" t="n"/>
      <c r="C44" s="134" t="n"/>
      <c r="D44" s="134" t="n"/>
      <c r="E44" s="134" t="n"/>
      <c r="F44" s="134" t="n"/>
      <c r="G44" s="132"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137">
      <c r="A45" s="138" t="inlineStr">
        <is>
          <t>1.  Fill out all fields above — this information feeds into every estimate tab.</t>
        </is>
      </c>
      <c r="B45" s="134" t="n"/>
      <c r="C45" s="134" t="n"/>
      <c r="D45" s="134" t="n"/>
      <c r="E45" s="134" t="n"/>
      <c r="F45" s="134" t="n"/>
      <c r="G45" s="132"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137">
      <c r="A46" s="138" t="inlineStr">
        <is>
          <t>2.  Right-click the 'Venue Estimate' tab → 'Move or Copy' → check 'Create a copy'.</t>
        </is>
      </c>
      <c r="B46" s="134" t="n"/>
      <c r="C46" s="134" t="n"/>
      <c r="D46" s="134" t="n"/>
      <c r="E46" s="134" t="n"/>
      <c r="F46" s="134" t="n"/>
      <c r="G46" s="132"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137">
      <c r="A47" s="138" t="inlineStr">
        <is>
          <t>3.  Rename the copied tab to the restaurant/venue name.</t>
        </is>
      </c>
      <c r="B47" s="134" t="n"/>
      <c r="C47" s="134" t="n"/>
      <c r="D47" s="134" t="n"/>
      <c r="E47" s="134" t="n"/>
      <c r="F47" s="134" t="n"/>
      <c r="G47" s="132"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137">
      <c r="A48" s="138" t="inlineStr">
        <is>
          <t>4.  On the new tab, enter venue name, F&amp;B minimum, and line item pricing.</t>
        </is>
      </c>
      <c r="B48" s="134" t="n"/>
      <c r="C48" s="134" t="n"/>
      <c r="D48" s="134" t="n"/>
      <c r="E48" s="134" t="n"/>
      <c r="F48" s="134" t="n"/>
      <c r="G48" s="132"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137">
      <c r="A49" s="138" t="inlineStr">
        <is>
          <t>5.  Fee structure defaults from this tab but can be overridden per venue (yellow fields).</t>
        </is>
      </c>
      <c r="B49" s="134" t="n"/>
      <c r="C49" s="134" t="n"/>
      <c r="D49" s="134" t="n"/>
      <c r="E49" s="134" t="n"/>
      <c r="F49" s="134" t="n"/>
      <c r="G49" s="132"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137">
      <c r="A50" s="138" t="inlineStr">
        <is>
          <t>6.  The Client-Ready Table auto-generates rounded numbers for Canva export.</t>
        </is>
      </c>
      <c r="B50" s="134" t="n"/>
      <c r="C50" s="134" t="n"/>
      <c r="D50" s="134" t="n"/>
      <c r="E50" s="134" t="n"/>
      <c r="F50" s="134" t="n"/>
      <c r="G50" s="132"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137">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137">
      <c r="A52" s="192" t="inlineStr">
        <is>
          <t>QC TRAVEL RATE TABLES</t>
        </is>
      </c>
      <c r="B52" s="192" t="n"/>
      <c r="C52" s="192" t="n"/>
      <c r="D52" s="192" t="n"/>
      <c r="E52" s="192" t="n"/>
      <c r="F52" s="192" t="n"/>
      <c r="G52" s="192" t="n"/>
      <c r="H52" s="107" t="n"/>
      <c r="I52" s="193" t="inlineStr">
        <is>
          <t>Origins</t>
        </is>
      </c>
      <c r="J52" s="1" t="n"/>
      <c r="K52" s="1" t="n"/>
      <c r="L52" s="1" t="n"/>
      <c r="M52" s="1" t="n"/>
      <c r="N52" s="1" t="n"/>
      <c r="O52" s="1" t="n"/>
      <c r="P52" s="1" t="n"/>
      <c r="Q52" s="1" t="n"/>
      <c r="R52" s="1" t="n"/>
      <c r="S52" s="1" t="n"/>
      <c r="T52" s="1" t="n"/>
      <c r="U52" s="1" t="n"/>
      <c r="V52" s="1" t="n"/>
      <c r="W52" s="1" t="n"/>
      <c r="X52" s="1" t="n"/>
      <c r="Y52" s="1" t="n"/>
      <c r="Z52" s="1" t="n"/>
    </row>
    <row r="53" ht="15.75" customHeight="1" s="137">
      <c r="A53" s="107" t="n"/>
      <c r="B53" s="107" t="n"/>
      <c r="C53" s="107" t="n"/>
      <c r="D53" s="107" t="n"/>
      <c r="E53" s="107" t="n"/>
      <c r="F53" s="107" t="n"/>
      <c r="G53" s="107" t="n"/>
      <c r="H53" s="107" t="n"/>
      <c r="I53" s="194" t="inlineStr">
        <is>
          <t>Charlotte</t>
        </is>
      </c>
      <c r="J53" s="1" t="n"/>
      <c r="K53" s="1" t="n"/>
      <c r="L53" s="1" t="n"/>
      <c r="M53" s="1" t="n"/>
      <c r="N53" s="1" t="n"/>
      <c r="O53" s="1" t="n"/>
      <c r="P53" s="1" t="n"/>
      <c r="Q53" s="1" t="n"/>
      <c r="R53" s="1" t="n"/>
      <c r="S53" s="1" t="n"/>
      <c r="T53" s="1" t="n"/>
      <c r="U53" s="1" t="n"/>
      <c r="V53" s="1" t="n"/>
      <c r="W53" s="1" t="n"/>
      <c r="X53" s="1" t="n"/>
      <c r="Y53" s="1" t="n"/>
      <c r="Z53" s="1" t="n"/>
    </row>
    <row r="54" ht="15.75" customHeight="1" s="137">
      <c r="A54" s="192" t="inlineStr">
        <is>
          <t>TRANSPORTATION RATES</t>
        </is>
      </c>
      <c r="B54" s="92" t="n"/>
      <c r="C54" s="92" t="n"/>
      <c r="D54" s="107" t="n"/>
      <c r="E54" s="107" t="n"/>
      <c r="F54" s="107" t="n"/>
      <c r="G54" s="107" t="n"/>
      <c r="H54" s="107" t="n"/>
      <c r="I54" s="194" t="inlineStr">
        <is>
          <t>DC</t>
        </is>
      </c>
      <c r="J54" s="1" t="n"/>
      <c r="K54" s="1" t="n"/>
      <c r="L54" s="1" t="n"/>
      <c r="M54" s="1" t="n"/>
      <c r="N54" s="1" t="n"/>
      <c r="O54" s="1" t="n"/>
      <c r="P54" s="1" t="n"/>
      <c r="Q54" s="1" t="n"/>
      <c r="R54" s="1" t="n"/>
      <c r="S54" s="1" t="n"/>
      <c r="T54" s="1" t="n"/>
      <c r="U54" s="1" t="n"/>
      <c r="V54" s="1" t="n"/>
      <c r="W54" s="1" t="n"/>
      <c r="X54" s="1" t="n"/>
      <c r="Y54" s="1" t="n"/>
      <c r="Z54" s="1" t="n"/>
    </row>
    <row r="55" ht="15.75" customHeight="1" s="137">
      <c r="A55" s="195" t="inlineStr">
        <is>
          <t>Drive Costs (round trip per trip, based on $0.725/mile + parking/tolls)</t>
        </is>
      </c>
      <c r="B55" s="110" t="n"/>
      <c r="C55" s="107" t="n"/>
      <c r="D55" s="107" t="n"/>
      <c r="E55" s="107" t="n"/>
      <c r="F55" s="107" t="n"/>
      <c r="G55" s="107" t="n"/>
      <c r="H55" s="107" t="n"/>
      <c r="I55" s="194" t="inlineStr">
        <is>
          <t>Philadelphia</t>
        </is>
      </c>
      <c r="J55" s="1" t="n"/>
      <c r="K55" s="1" t="n"/>
      <c r="L55" s="1" t="n"/>
      <c r="M55" s="1" t="n"/>
      <c r="N55" s="1" t="n"/>
      <c r="O55" s="1" t="n"/>
      <c r="P55" s="1" t="n"/>
      <c r="Q55" s="1" t="n"/>
      <c r="R55" s="1" t="n"/>
      <c r="S55" s="1" t="n"/>
      <c r="T55" s="1" t="n"/>
      <c r="U55" s="1" t="n"/>
      <c r="V55" s="1" t="n"/>
      <c r="W55" s="1" t="n"/>
      <c r="X55" s="1" t="n"/>
      <c r="Y55" s="1" t="n"/>
      <c r="Z55" s="1" t="n"/>
    </row>
    <row r="56" ht="15.75" customHeight="1" s="137">
      <c r="A56" s="196" t="inlineStr">
        <is>
          <t>Route</t>
        </is>
      </c>
      <c r="B56" s="196" t="inlineStr">
        <is>
          <t>Cost</t>
        </is>
      </c>
      <c r="C56" s="107" t="n"/>
      <c r="D56" s="107" t="n"/>
      <c r="E56" s="107" t="n"/>
      <c r="F56" s="107" t="n"/>
      <c r="G56" s="107" t="n"/>
      <c r="H56" s="107" t="n"/>
      <c r="I56" s="194" t="inlineStr">
        <is>
          <t>NYC</t>
        </is>
      </c>
      <c r="J56" s="1" t="n"/>
      <c r="K56" s="1" t="n"/>
      <c r="L56" s="1" t="n"/>
      <c r="M56" s="1" t="n"/>
      <c r="N56" s="1" t="n"/>
      <c r="O56" s="1" t="n"/>
      <c r="P56" s="1" t="n"/>
      <c r="Q56" s="1" t="n"/>
      <c r="R56" s="1" t="n"/>
      <c r="S56" s="1" t="n"/>
      <c r="T56" s="1" t="n"/>
      <c r="U56" s="1" t="n"/>
      <c r="V56" s="1" t="n"/>
      <c r="W56" s="1" t="n"/>
      <c r="X56" s="1" t="n"/>
      <c r="Y56" s="1" t="n"/>
      <c r="Z56" s="1" t="n"/>
    </row>
    <row r="57" ht="15.75" customHeight="1" s="137">
      <c r="A57" s="185" t="inlineStr">
        <is>
          <t>DC to Richmond VA</t>
        </is>
      </c>
      <c r="B57" s="197" t="n">
        <v>205</v>
      </c>
      <c r="C57" s="107" t="n"/>
      <c r="D57" s="107" t="n"/>
      <c r="E57" s="107" t="n"/>
      <c r="F57" s="107" t="n"/>
      <c r="G57" s="107" t="n"/>
      <c r="H57" s="107" t="n"/>
      <c r="I57" s="194" t="inlineStr">
        <is>
          <t>Atlanta</t>
        </is>
      </c>
      <c r="J57" s="1" t="n"/>
      <c r="K57" s="1" t="n"/>
      <c r="L57" s="1" t="n"/>
      <c r="M57" s="1" t="n"/>
      <c r="N57" s="1" t="n"/>
      <c r="O57" s="1" t="n"/>
      <c r="P57" s="1" t="n"/>
      <c r="Q57" s="1" t="n"/>
      <c r="R57" s="1" t="n"/>
      <c r="S57" s="1" t="n"/>
      <c r="T57" s="1" t="n"/>
      <c r="U57" s="1" t="n"/>
      <c r="V57" s="1" t="n"/>
      <c r="W57" s="1" t="n"/>
      <c r="X57" s="1" t="n"/>
      <c r="Y57" s="1" t="n"/>
      <c r="Z57" s="1" t="n"/>
    </row>
    <row r="58" ht="15.75" customHeight="1" s="137">
      <c r="A58" s="185" t="inlineStr">
        <is>
          <t>Charlotte to Raleigh NC</t>
        </is>
      </c>
      <c r="B58" s="197" t="n">
        <v>230</v>
      </c>
      <c r="C58" s="107" t="n"/>
      <c r="D58" s="107" t="n"/>
      <c r="E58" s="107" t="n"/>
      <c r="F58" s="107" t="n"/>
      <c r="G58" s="107" t="n"/>
      <c r="H58" s="107" t="n"/>
      <c r="I58" s="194" t="inlineStr">
        <is>
          <t>Other</t>
        </is>
      </c>
      <c r="J58" s="1" t="n"/>
      <c r="K58" s="1" t="n"/>
      <c r="L58" s="1" t="n"/>
      <c r="M58" s="1" t="n"/>
      <c r="N58" s="1" t="n"/>
      <c r="O58" s="1" t="n"/>
      <c r="P58" s="1" t="n"/>
      <c r="Q58" s="1" t="n"/>
      <c r="R58" s="1" t="n"/>
      <c r="S58" s="1" t="n"/>
      <c r="T58" s="1" t="n"/>
      <c r="U58" s="1" t="n"/>
      <c r="V58" s="1" t="n"/>
      <c r="W58" s="1" t="n"/>
      <c r="X58" s="1" t="n"/>
      <c r="Y58" s="1" t="n"/>
      <c r="Z58" s="1" t="n"/>
    </row>
    <row r="59" ht="15" customHeight="1" s="137">
      <c r="A59" s="185" t="inlineStr">
        <is>
          <t>Charlotte to Asheville NC</t>
        </is>
      </c>
      <c r="B59" s="197" t="n">
        <v>190</v>
      </c>
      <c r="C59" s="107" t="n"/>
      <c r="D59" s="107" t="n"/>
      <c r="E59" s="107" t="n"/>
      <c r="F59" s="107" t="n"/>
      <c r="G59" s="107" t="n"/>
      <c r="H59" s="107" t="n"/>
      <c r="I59" s="107" t="n"/>
      <c r="J59" s="1" t="n"/>
      <c r="K59" s="1" t="n"/>
      <c r="L59" s="1" t="n"/>
      <c r="M59" s="1" t="n"/>
      <c r="N59" s="1" t="n"/>
      <c r="O59" s="1" t="n"/>
      <c r="P59" s="1" t="n"/>
      <c r="Q59" s="1" t="n"/>
      <c r="R59" s="1" t="n"/>
      <c r="S59" s="1" t="n"/>
      <c r="T59" s="1" t="n"/>
      <c r="U59" s="1" t="n"/>
      <c r="V59" s="1" t="n"/>
      <c r="W59" s="1" t="n"/>
      <c r="X59" s="1" t="n"/>
      <c r="Y59" s="1" t="n"/>
      <c r="Z59" s="1" t="n"/>
    </row>
    <row r="60" ht="15" customHeight="1" s="137">
      <c r="A60" s="185" t="inlineStr">
        <is>
          <t>Charlotte to Charleston SC</t>
        </is>
      </c>
      <c r="B60" s="197" t="n">
        <v>300</v>
      </c>
      <c r="C60" s="107" t="n"/>
      <c r="D60" s="107" t="n"/>
      <c r="E60" s="107" t="n"/>
      <c r="F60" s="107" t="n"/>
      <c r="G60" s="107" t="n"/>
      <c r="H60" s="107" t="n"/>
      <c r="I60" s="193" t="inlineStr">
        <is>
          <t>Destinations</t>
        </is>
      </c>
      <c r="J60" s="1" t="n"/>
      <c r="K60" s="1" t="n"/>
      <c r="L60" s="1" t="n"/>
      <c r="M60" s="1" t="n"/>
      <c r="N60" s="1" t="n"/>
      <c r="O60" s="1" t="n"/>
      <c r="P60" s="1" t="n"/>
      <c r="Q60" s="1" t="n"/>
      <c r="R60" s="1" t="n"/>
      <c r="S60" s="1" t="n"/>
      <c r="T60" s="1" t="n"/>
      <c r="U60" s="1" t="n"/>
      <c r="V60" s="1" t="n"/>
      <c r="W60" s="1" t="n"/>
      <c r="X60" s="1" t="n"/>
      <c r="Y60" s="1" t="n"/>
      <c r="Z60" s="1" t="n"/>
    </row>
    <row r="61" ht="15" customHeight="1" s="137">
      <c r="A61" s="185" t="inlineStr">
        <is>
          <t>Charlotte to Atlanta</t>
        </is>
      </c>
      <c r="B61" s="197" t="n">
        <v>360</v>
      </c>
      <c r="C61" s="107" t="n"/>
      <c r="D61" s="107" t="n"/>
      <c r="E61" s="107" t="n"/>
      <c r="F61" s="107" t="n"/>
      <c r="G61" s="107" t="n"/>
      <c r="H61" s="107" t="n"/>
      <c r="I61" s="194" t="inlineStr">
        <is>
          <t>NYC</t>
        </is>
      </c>
      <c r="J61" s="1" t="n"/>
      <c r="K61" s="1" t="n"/>
      <c r="L61" s="1" t="n"/>
      <c r="M61" s="1" t="n"/>
      <c r="N61" s="1" t="n"/>
      <c r="O61" s="1" t="n"/>
      <c r="P61" s="1" t="n"/>
      <c r="Q61" s="1" t="n"/>
      <c r="R61" s="1" t="n"/>
      <c r="S61" s="1" t="n"/>
      <c r="T61" s="1" t="n"/>
      <c r="U61" s="1" t="n"/>
      <c r="V61" s="1" t="n"/>
      <c r="W61" s="1" t="n"/>
      <c r="X61" s="1" t="n"/>
      <c r="Y61" s="1" t="n"/>
      <c r="Z61" s="1" t="n"/>
    </row>
    <row r="62" ht="15" customHeight="1" s="137">
      <c r="A62" s="185" t="inlineStr">
        <is>
          <t>DC to Virginia Secondary</t>
        </is>
      </c>
      <c r="B62" s="197" t="n">
        <v>215</v>
      </c>
      <c r="C62" s="107" t="n"/>
      <c r="D62" s="107" t="n"/>
      <c r="E62" s="107" t="n"/>
      <c r="F62" s="107" t="n"/>
      <c r="G62" s="107" t="n"/>
      <c r="H62" s="107" t="n"/>
      <c r="I62" s="194" t="inlineStr">
        <is>
          <t>DC</t>
        </is>
      </c>
      <c r="J62" s="1" t="n"/>
      <c r="K62" s="1" t="n"/>
      <c r="L62" s="1" t="n"/>
      <c r="M62" s="1" t="n"/>
      <c r="N62" s="1" t="n"/>
      <c r="O62" s="1" t="n"/>
      <c r="P62" s="1" t="n"/>
      <c r="Q62" s="1" t="n"/>
      <c r="R62" s="1" t="n"/>
      <c r="S62" s="1" t="n"/>
      <c r="T62" s="1" t="n"/>
      <c r="U62" s="1" t="n"/>
      <c r="V62" s="1" t="n"/>
      <c r="W62" s="1" t="n"/>
      <c r="X62" s="1" t="n"/>
      <c r="Y62" s="1" t="n"/>
      <c r="Z62" s="1" t="n"/>
    </row>
    <row r="63" ht="15" customHeight="1" s="137">
      <c r="A63" s="185" t="inlineStr">
        <is>
          <t>DC to Philadelphia</t>
        </is>
      </c>
      <c r="B63" s="197" t="n">
        <v>190</v>
      </c>
      <c r="C63" s="107" t="n"/>
      <c r="D63" s="107" t="n"/>
      <c r="E63" s="107" t="n"/>
      <c r="F63" s="107" t="n"/>
      <c r="G63" s="107" t="n"/>
      <c r="H63" s="107" t="n"/>
      <c r="I63" s="194" t="inlineStr">
        <is>
          <t>Philadelphia</t>
        </is>
      </c>
      <c r="J63" s="1" t="n"/>
      <c r="K63" s="1" t="n"/>
      <c r="L63" s="1" t="n"/>
      <c r="M63" s="1" t="n"/>
      <c r="N63" s="1" t="n"/>
      <c r="O63" s="1" t="n"/>
      <c r="P63" s="1" t="n"/>
      <c r="Q63" s="1" t="n"/>
      <c r="R63" s="1" t="n"/>
      <c r="S63" s="1" t="n"/>
      <c r="T63" s="1" t="n"/>
      <c r="U63" s="1" t="n"/>
      <c r="V63" s="1" t="n"/>
      <c r="W63" s="1" t="n"/>
      <c r="X63" s="1" t="n"/>
      <c r="Y63" s="1" t="n"/>
      <c r="Z63" s="1" t="n"/>
    </row>
    <row r="64" ht="15" customHeight="1" s="137">
      <c r="A64" s="185" t="inlineStr">
        <is>
          <t>DC to NYC</t>
        </is>
      </c>
      <c r="B64" s="197" t="n">
        <v>325</v>
      </c>
      <c r="C64" s="107" t="n"/>
      <c r="D64" s="107" t="n"/>
      <c r="E64" s="107" t="n"/>
      <c r="F64" s="107" t="n"/>
      <c r="G64" s="107" t="n"/>
      <c r="H64" s="107" t="n"/>
      <c r="I64" s="194" t="inlineStr">
        <is>
          <t>Charlotte</t>
        </is>
      </c>
      <c r="J64" s="1" t="n"/>
      <c r="K64" s="1" t="n"/>
      <c r="L64" s="1" t="n"/>
      <c r="M64" s="1" t="n"/>
      <c r="N64" s="1" t="n"/>
      <c r="O64" s="1" t="n"/>
      <c r="P64" s="1" t="n"/>
      <c r="Q64" s="1" t="n"/>
      <c r="R64" s="1" t="n"/>
      <c r="S64" s="1" t="n"/>
      <c r="T64" s="1" t="n"/>
      <c r="U64" s="1" t="n"/>
      <c r="V64" s="1" t="n"/>
      <c r="W64" s="1" t="n"/>
      <c r="X64" s="1" t="n"/>
      <c r="Y64" s="1" t="n"/>
      <c r="Z64" s="1" t="n"/>
    </row>
    <row r="65" ht="15" customHeight="1" s="137">
      <c r="A65" s="185" t="inlineStr">
        <is>
          <t>Charlotte to DC</t>
        </is>
      </c>
      <c r="B65" s="197" t="n">
        <v>270</v>
      </c>
      <c r="C65" s="107" t="n"/>
      <c r="D65" s="107" t="n"/>
      <c r="E65" s="107" t="n"/>
      <c r="F65" s="107" t="n"/>
      <c r="G65" s="107" t="n"/>
      <c r="H65" s="107" t="n"/>
      <c r="I65" s="194" t="inlineStr">
        <is>
          <t>Atlanta</t>
        </is>
      </c>
      <c r="J65" s="1" t="n"/>
      <c r="K65" s="1" t="n"/>
      <c r="L65" s="1" t="n"/>
      <c r="M65" s="1" t="n"/>
      <c r="N65" s="1" t="n"/>
      <c r="O65" s="1" t="n"/>
      <c r="P65" s="1" t="n"/>
      <c r="Q65" s="1" t="n"/>
      <c r="R65" s="1" t="n"/>
      <c r="S65" s="1" t="n"/>
      <c r="T65" s="1" t="n"/>
      <c r="U65" s="1" t="n"/>
      <c r="V65" s="1" t="n"/>
      <c r="W65" s="1" t="n"/>
      <c r="X65" s="1" t="n"/>
      <c r="Y65" s="1" t="n"/>
      <c r="Z65" s="1" t="n"/>
    </row>
    <row r="66" ht="15" customHeight="1" s="137">
      <c r="A66" s="107" t="n"/>
      <c r="B66" s="107" t="n"/>
      <c r="C66" s="107" t="n"/>
      <c r="D66" s="107" t="n"/>
      <c r="E66" s="107" t="n"/>
      <c r="F66" s="107" t="n"/>
      <c r="G66" s="107" t="n"/>
      <c r="H66" s="107" t="n"/>
      <c r="I66" s="194" t="inlineStr">
        <is>
          <t>Richmond VA</t>
        </is>
      </c>
      <c r="J66" s="1" t="n"/>
      <c r="K66" s="1" t="n"/>
      <c r="L66" s="1" t="n"/>
      <c r="M66" s="1" t="n"/>
      <c r="N66" s="1" t="n"/>
      <c r="O66" s="1" t="n"/>
      <c r="P66" s="1" t="n"/>
      <c r="Q66" s="1" t="n"/>
      <c r="R66" s="1" t="n"/>
      <c r="S66" s="1" t="n"/>
      <c r="T66" s="1" t="n"/>
      <c r="U66" s="1" t="n"/>
      <c r="V66" s="1" t="n"/>
      <c r="W66" s="1" t="n"/>
      <c r="X66" s="1" t="n"/>
      <c r="Y66" s="1" t="n"/>
      <c r="Z66" s="1" t="n"/>
    </row>
    <row r="67" ht="15" customHeight="1" s="137">
      <c r="A67" s="195" t="inlineStr">
        <is>
          <t>Train Costs (round trip, per person)</t>
        </is>
      </c>
      <c r="B67" s="110" t="n"/>
      <c r="C67" s="110" t="n"/>
      <c r="D67" s="107" t="n"/>
      <c r="E67" s="107" t="n"/>
      <c r="F67" s="107" t="n"/>
      <c r="G67" s="107" t="n"/>
      <c r="H67" s="107" t="n"/>
      <c r="I67" s="194" t="inlineStr">
        <is>
          <t>Charleston SC</t>
        </is>
      </c>
      <c r="J67" s="1" t="n"/>
      <c r="K67" s="1" t="n"/>
      <c r="L67" s="1" t="n"/>
      <c r="M67" s="1" t="n"/>
      <c r="N67" s="1" t="n"/>
      <c r="O67" s="1" t="n"/>
      <c r="P67" s="1" t="n"/>
      <c r="Q67" s="1" t="n"/>
      <c r="R67" s="1" t="n"/>
      <c r="S67" s="1" t="n"/>
      <c r="T67" s="1" t="n"/>
      <c r="U67" s="1" t="n"/>
      <c r="V67" s="1" t="n"/>
      <c r="W67" s="1" t="n"/>
      <c r="X67" s="1" t="n"/>
      <c r="Y67" s="1" t="n"/>
      <c r="Z67" s="1" t="n"/>
    </row>
    <row r="68" ht="15" customHeight="1" s="137">
      <c r="A68" s="196" t="inlineStr">
        <is>
          <t>Route</t>
        </is>
      </c>
      <c r="B68" s="196" t="inlineStr">
        <is>
          <t>Low</t>
        </is>
      </c>
      <c r="C68" s="196" t="inlineStr">
        <is>
          <t>High</t>
        </is>
      </c>
      <c r="D68" s="107" t="n"/>
      <c r="E68" s="107" t="n"/>
      <c r="F68" s="107" t="n"/>
      <c r="G68" s="107" t="n"/>
      <c r="H68" s="107" t="n"/>
      <c r="I68" s="194" t="inlineStr">
        <is>
          <t>Raleigh NC</t>
        </is>
      </c>
      <c r="J68" s="1" t="n"/>
      <c r="K68" s="1" t="n"/>
      <c r="L68" s="1" t="n"/>
      <c r="M68" s="1" t="n"/>
      <c r="N68" s="1" t="n"/>
      <c r="O68" s="1" t="n"/>
      <c r="P68" s="1" t="n"/>
      <c r="Q68" s="1" t="n"/>
      <c r="R68" s="1" t="n"/>
      <c r="S68" s="1" t="n"/>
      <c r="T68" s="1" t="n"/>
      <c r="U68" s="1" t="n"/>
      <c r="V68" s="1" t="n"/>
      <c r="W68" s="1" t="n"/>
      <c r="X68" s="1" t="n"/>
      <c r="Y68" s="1" t="n"/>
      <c r="Z68" s="1" t="n"/>
    </row>
    <row r="69" ht="15" customHeight="1" s="137">
      <c r="A69" s="185" t="inlineStr">
        <is>
          <t>DC to NYC</t>
        </is>
      </c>
      <c r="B69" s="197" t="n">
        <v>180</v>
      </c>
      <c r="C69" s="197" t="n">
        <v>300</v>
      </c>
      <c r="D69" s="107" t="n"/>
      <c r="E69" s="107" t="n"/>
      <c r="F69" s="107" t="n"/>
      <c r="G69" s="107" t="n"/>
      <c r="H69" s="107" t="n"/>
      <c r="I69" s="194" t="inlineStr">
        <is>
          <t>Asheville NC</t>
        </is>
      </c>
      <c r="J69" s="1" t="n"/>
      <c r="K69" s="1" t="n"/>
      <c r="L69" s="1" t="n"/>
      <c r="M69" s="1" t="n"/>
      <c r="N69" s="1" t="n"/>
      <c r="O69" s="1" t="n"/>
      <c r="P69" s="1" t="n"/>
      <c r="Q69" s="1" t="n"/>
      <c r="R69" s="1" t="n"/>
      <c r="S69" s="1" t="n"/>
      <c r="T69" s="1" t="n"/>
      <c r="U69" s="1" t="n"/>
      <c r="V69" s="1" t="n"/>
      <c r="W69" s="1" t="n"/>
      <c r="X69" s="1" t="n"/>
      <c r="Y69" s="1" t="n"/>
      <c r="Z69" s="1" t="n"/>
    </row>
    <row r="70" ht="15" customHeight="1" s="137">
      <c r="A70" s="185" t="inlineStr">
        <is>
          <t>Philadelphia to NYC</t>
        </is>
      </c>
      <c r="B70" s="197" t="n">
        <v>120</v>
      </c>
      <c r="C70" s="197" t="n">
        <v>220</v>
      </c>
      <c r="D70" s="107" t="n"/>
      <c r="E70" s="107" t="n"/>
      <c r="F70" s="107" t="n"/>
      <c r="G70" s="107" t="n"/>
      <c r="H70" s="107" t="n"/>
      <c r="I70" s="194" t="inlineStr">
        <is>
          <t>Virginia Secondary</t>
        </is>
      </c>
      <c r="J70" s="1" t="n"/>
      <c r="K70" s="1" t="n"/>
      <c r="L70" s="1" t="n"/>
      <c r="M70" s="1" t="n"/>
      <c r="N70" s="1" t="n"/>
      <c r="O70" s="1" t="n"/>
      <c r="P70" s="1" t="n"/>
      <c r="Q70" s="1" t="n"/>
      <c r="R70" s="1" t="n"/>
      <c r="S70" s="1" t="n"/>
      <c r="T70" s="1" t="n"/>
      <c r="U70" s="1" t="n"/>
      <c r="V70" s="1" t="n"/>
      <c r="W70" s="1" t="n"/>
      <c r="X70" s="1" t="n"/>
      <c r="Y70" s="1" t="n"/>
      <c r="Z70" s="1" t="n"/>
    </row>
    <row r="71" ht="15" customHeight="1" s="137">
      <c r="A71" s="185" t="inlineStr">
        <is>
          <t>DC to Philadelphia</t>
        </is>
      </c>
      <c r="B71" s="197" t="n">
        <v>120</v>
      </c>
      <c r="C71" s="197" t="n">
        <v>200</v>
      </c>
      <c r="D71" s="107" t="n"/>
      <c r="E71" s="107" t="n"/>
      <c r="F71" s="107" t="n"/>
      <c r="G71" s="107" t="n"/>
      <c r="H71" s="107" t="n"/>
      <c r="I71" s="194" t="inlineStr">
        <is>
          <t>Other</t>
        </is>
      </c>
      <c r="J71" s="1" t="n"/>
      <c r="K71" s="1" t="n"/>
      <c r="L71" s="1" t="n"/>
      <c r="M71" s="1" t="n"/>
      <c r="N71" s="1" t="n"/>
      <c r="O71" s="1" t="n"/>
      <c r="P71" s="1" t="n"/>
      <c r="Q71" s="1" t="n"/>
      <c r="R71" s="1" t="n"/>
      <c r="S71" s="1" t="n"/>
      <c r="T71" s="1" t="n"/>
      <c r="U71" s="1" t="n"/>
      <c r="V71" s="1" t="n"/>
      <c r="W71" s="1" t="n"/>
      <c r="X71" s="1" t="n"/>
      <c r="Y71" s="1" t="n"/>
      <c r="Z71" s="1" t="n"/>
    </row>
    <row r="72" ht="15" customHeight="1" s="137">
      <c r="A72" s="107" t="n"/>
      <c r="B72" s="107" t="n"/>
      <c r="C72" s="107" t="n"/>
      <c r="D72" s="107" t="n"/>
      <c r="E72" s="107" t="n"/>
      <c r="F72" s="107" t="n"/>
      <c r="G72" s="107" t="n"/>
      <c r="H72" s="107" t="n"/>
      <c r="I72" s="107" t="n"/>
      <c r="J72" s="1" t="n"/>
      <c r="K72" s="1" t="n"/>
      <c r="L72" s="1" t="n"/>
      <c r="M72" s="1" t="n"/>
      <c r="N72" s="1" t="n"/>
      <c r="O72" s="1" t="n"/>
      <c r="P72" s="1" t="n"/>
      <c r="Q72" s="1" t="n"/>
      <c r="R72" s="1" t="n"/>
      <c r="S72" s="1" t="n"/>
      <c r="T72" s="1" t="n"/>
      <c r="U72" s="1" t="n"/>
      <c r="V72" s="1" t="n"/>
      <c r="W72" s="1" t="n"/>
      <c r="X72" s="1" t="n"/>
      <c r="Y72" s="1" t="n"/>
      <c r="Z72" s="1" t="n"/>
    </row>
    <row r="73" ht="15" customHeight="1" s="137">
      <c r="A73" s="195" t="inlineStr">
        <is>
          <t>Flight Costs (round trip, per person)</t>
        </is>
      </c>
      <c r="B73" s="110" t="n"/>
      <c r="C73" s="110" t="n"/>
    </row>
    <row r="74" ht="15" customHeight="1" s="137">
      <c r="A74" s="196" t="inlineStr">
        <is>
          <t>Route Type</t>
        </is>
      </c>
      <c r="B74" s="196" t="inlineStr">
        <is>
          <t>Low</t>
        </is>
      </c>
      <c r="C74" s="196" t="inlineStr">
        <is>
          <t>High</t>
        </is>
      </c>
    </row>
    <row r="75" ht="15" customHeight="1" s="137">
      <c r="A75" s="185" t="inlineStr">
        <is>
          <t>Short Haul</t>
        </is>
      </c>
      <c r="B75" s="197" t="n">
        <v>300</v>
      </c>
      <c r="C75" s="197" t="n">
        <v>450</v>
      </c>
    </row>
    <row r="76" ht="15" customHeight="1" s="137">
      <c r="A76" s="185" t="inlineStr">
        <is>
          <t>Medium Haul</t>
        </is>
      </c>
      <c r="B76" s="197" t="n">
        <v>400</v>
      </c>
      <c r="C76" s="197" t="n">
        <v>600</v>
      </c>
    </row>
    <row r="77" ht="15" customHeight="1" s="137">
      <c r="A77" s="185" t="inlineStr">
        <is>
          <t>Major Market to NYC</t>
        </is>
      </c>
      <c r="B77" s="197" t="n">
        <v>450</v>
      </c>
      <c r="C77" s="197" t="n">
        <v>650</v>
      </c>
    </row>
    <row r="78" ht="15" customHeight="1" s="137">
      <c r="A78" s="198" t="inlineStr">
        <is>
          <t>Last Minute Booking Buffer: +$150 per person</t>
        </is>
      </c>
    </row>
    <row r="79" ht="15" customHeight="1" s="137"/>
    <row r="80" ht="15" customHeight="1" s="137">
      <c r="A80" s="192" t="inlineStr">
        <is>
          <t>HOTEL RATES (Per Night, Per Person)</t>
        </is>
      </c>
      <c r="B80" s="192" t="n"/>
      <c r="C80" s="192" t="n"/>
    </row>
    <row r="81" ht="15" customHeight="1" s="137">
      <c r="A81" s="196" t="inlineStr">
        <is>
          <t>Market</t>
        </is>
      </c>
      <c r="B81" s="196" t="inlineStr">
        <is>
          <t>Low</t>
        </is>
      </c>
      <c r="C81" s="196" t="inlineStr">
        <is>
          <t>High</t>
        </is>
      </c>
    </row>
    <row r="82" ht="15.75" customHeight="1" s="137">
      <c r="A82" s="185" t="inlineStr">
        <is>
          <t>NYC</t>
        </is>
      </c>
      <c r="B82" s="197" t="n">
        <v>450</v>
      </c>
      <c r="C82" s="197" t="n">
        <v>650</v>
      </c>
    </row>
    <row r="83" ht="15.75" customHeight="1" s="137">
      <c r="A83" s="185" t="inlineStr">
        <is>
          <t>DC</t>
        </is>
      </c>
      <c r="B83" s="197" t="n">
        <v>350</v>
      </c>
      <c r="C83" s="197" t="n">
        <v>550</v>
      </c>
    </row>
    <row r="84" ht="15.75" customHeight="1" s="137">
      <c r="A84" s="185" t="inlineStr">
        <is>
          <t>Charleston SC</t>
        </is>
      </c>
      <c r="B84" s="197" t="n">
        <v>350</v>
      </c>
      <c r="C84" s="197" t="n">
        <v>550</v>
      </c>
    </row>
    <row r="85" ht="15.75" customHeight="1" s="137">
      <c r="A85" s="185" t="inlineStr">
        <is>
          <t>Atlanta</t>
        </is>
      </c>
      <c r="B85" s="197" t="n">
        <v>275</v>
      </c>
      <c r="C85" s="197" t="n">
        <v>450</v>
      </c>
    </row>
    <row r="86" ht="15.75" customHeight="1" s="137">
      <c r="A86" s="185" t="inlineStr">
        <is>
          <t>Charlotte</t>
        </is>
      </c>
      <c r="B86" s="197" t="n">
        <v>250</v>
      </c>
      <c r="C86" s="197" t="n">
        <v>400</v>
      </c>
    </row>
    <row r="87" ht="15.75" customHeight="1" s="137">
      <c r="A87" s="185" t="inlineStr">
        <is>
          <t>Asheville NC</t>
        </is>
      </c>
      <c r="B87" s="197" t="n">
        <v>300</v>
      </c>
      <c r="C87" s="197" t="n">
        <v>500</v>
      </c>
    </row>
    <row r="88" ht="15.75" customHeight="1" s="137">
      <c r="A88" s="185" t="inlineStr">
        <is>
          <t>Raleigh NC</t>
        </is>
      </c>
      <c r="B88" s="197" t="n">
        <v>250</v>
      </c>
      <c r="C88" s="197" t="n">
        <v>400</v>
      </c>
    </row>
    <row r="89" ht="15.75" customHeight="1" s="137">
      <c r="A89" s="185" t="inlineStr">
        <is>
          <t>Philadelphia</t>
        </is>
      </c>
      <c r="B89" s="197" t="n">
        <v>350</v>
      </c>
      <c r="C89" s="197" t="n">
        <v>550</v>
      </c>
    </row>
    <row r="90" ht="15.75" customHeight="1" s="137">
      <c r="A90" s="185" t="inlineStr">
        <is>
          <t>Virginia Secondary</t>
        </is>
      </c>
      <c r="B90" s="197" t="n">
        <v>200</v>
      </c>
      <c r="C90" s="197" t="n">
        <v>350</v>
      </c>
    </row>
    <row r="91" ht="15.75" customHeight="1" s="137"/>
    <row r="92" ht="15.75" customHeight="1" s="137">
      <c r="A92" s="192" t="inlineStr">
        <is>
          <t>PER DIEM RATES</t>
        </is>
      </c>
      <c r="B92" s="92" t="n"/>
      <c r="C92" s="92" t="n"/>
      <c r="D92" s="92" t="n"/>
    </row>
    <row r="93" ht="15.75" customHeight="1" s="137">
      <c r="A93" s="196" t="inlineStr">
        <is>
          <t>Market</t>
        </is>
      </c>
      <c r="B93" s="196" t="inlineStr">
        <is>
          <t>Full Day</t>
        </is>
      </c>
      <c r="C93" s="196" t="inlineStr">
        <is>
          <t>Half Day</t>
        </is>
      </c>
      <c r="D93" s="196" t="inlineStr">
        <is>
          <t>Notes</t>
        </is>
      </c>
    </row>
    <row r="94" ht="15.75" customHeight="1" s="137">
      <c r="A94" s="185" t="inlineStr">
        <is>
          <t>Standard (all except NYC)</t>
        </is>
      </c>
      <c r="B94" s="197" t="n">
        <v>68</v>
      </c>
      <c r="C94" s="197" t="n">
        <v>34</v>
      </c>
      <c r="D94" s="199" t="inlineStr">
        <is>
          <t>Full = breakfast, lunch, dinner. Half = dinner only</t>
        </is>
      </c>
    </row>
    <row r="95" ht="15.75" customHeight="1" s="137">
      <c r="A95" s="185" t="inlineStr">
        <is>
          <t>NYC</t>
        </is>
      </c>
      <c r="B95" s="197" t="n">
        <v>92</v>
      </c>
      <c r="C95" s="197" t="n">
        <v>46</v>
      </c>
      <c r="D95" s="199" t="inlineStr">
        <is>
          <t>Full = breakfast, lunch, dinner. Half = dinner only</t>
        </is>
      </c>
    </row>
    <row r="96" ht="15.75" customHeight="1" s="137"/>
    <row r="97" ht="15.75" customHeight="1" s="137">
      <c r="A97" s="195" t="inlineStr">
        <is>
          <t>Per Diem by Trip Length (auto-calculated reference)</t>
        </is>
      </c>
      <c r="B97" s="110" t="n"/>
      <c r="C97" s="110" t="n"/>
      <c r="D97" s="110" t="n"/>
    </row>
    <row r="98" ht="15.75" customHeight="1" s="137">
      <c r="A98" s="196" t="inlineStr">
        <is>
          <t>Trip Length</t>
        </is>
      </c>
      <c r="B98" s="196" t="inlineStr">
        <is>
          <t>Calculation</t>
        </is>
      </c>
      <c r="C98" s="196" t="inlineStr">
        <is>
          <t>Standard Total</t>
        </is>
      </c>
      <c r="D98" s="196" t="inlineStr">
        <is>
          <t>NYC Total</t>
        </is>
      </c>
    </row>
    <row r="99" ht="15.75" customHeight="1" s="137">
      <c r="A99" s="185" t="inlineStr">
        <is>
          <t>1 Night</t>
        </is>
      </c>
      <c r="B99" s="200" t="inlineStr">
        <is>
          <t>Half + Full</t>
        </is>
      </c>
      <c r="C99" s="201">
        <f>C94+B94</f>
        <v/>
      </c>
      <c r="D99" s="201">
        <f>C95+B95</f>
        <v/>
      </c>
    </row>
    <row r="100" ht="15.75" customHeight="1" s="137">
      <c r="A100" s="185" t="inlineStr">
        <is>
          <t>2 Nights</t>
        </is>
      </c>
      <c r="B100" s="200" t="inlineStr">
        <is>
          <t>Half + Full + Half</t>
        </is>
      </c>
      <c r="C100" s="201">
        <f>2*C94+B94</f>
        <v/>
      </c>
      <c r="D100" s="201">
        <f>2*C95+B95</f>
        <v/>
      </c>
    </row>
    <row r="101" ht="15.75" customHeight="1" s="137">
      <c r="A101" s="185" t="inlineStr">
        <is>
          <t>3 Nights</t>
        </is>
      </c>
      <c r="B101" s="200" t="inlineStr">
        <is>
          <t>Half + 2 Full + Half</t>
        </is>
      </c>
      <c r="C101" s="201">
        <f>2*C94+2*B94</f>
        <v/>
      </c>
      <c r="D101" s="201">
        <f>2*C95+2*B95</f>
        <v/>
      </c>
    </row>
    <row r="102" ht="15.75" customHeight="1" s="137"/>
    <row r="103" ht="15.75" customHeight="1" s="137">
      <c r="A103" s="192" t="inlineStr">
        <is>
          <t>SITE VISIT VEHICLE RATES</t>
        </is>
      </c>
      <c r="B103" s="192" t="n"/>
      <c r="C103" s="192" t="n"/>
      <c r="D103" s="192" t="n"/>
      <c r="E103" s="192" t="n"/>
      <c r="F103" s="192" t="n"/>
      <c r="G103" s="192" t="n"/>
    </row>
    <row r="104" ht="15.75" customHeight="1" s="137">
      <c r="A104" s="196" t="inlineStr">
        <is>
          <t>Market</t>
        </is>
      </c>
      <c r="B104" s="196" t="inlineStr">
        <is>
          <t>Sedan Hourly</t>
        </is>
      </c>
      <c r="C104" s="196" t="inlineStr">
        <is>
          <t>Sedan Airport Transfer</t>
        </is>
      </c>
      <c r="D104" s="196" t="inlineStr">
        <is>
          <t>SUV Hourly</t>
        </is>
      </c>
      <c r="E104" s="196" t="inlineStr">
        <is>
          <t>SUV Airport Transfer</t>
        </is>
      </c>
      <c r="F104" s="196" t="inlineStr">
        <is>
          <t>Sprinter Hourly</t>
        </is>
      </c>
      <c r="G104" s="196" t="inlineStr">
        <is>
          <t>Sprinter Airport Transfer</t>
        </is>
      </c>
    </row>
    <row r="105" ht="15.75" customHeight="1" s="137">
      <c r="A105" s="185" t="inlineStr">
        <is>
          <t>NYC</t>
        </is>
      </c>
      <c r="B105" s="197" t="n">
        <v>85</v>
      </c>
      <c r="C105" s="197" t="n">
        <v>250</v>
      </c>
      <c r="D105" s="197" t="n">
        <v>125</v>
      </c>
      <c r="E105" s="197" t="n">
        <v>350</v>
      </c>
      <c r="F105" s="197" t="n">
        <v>175</v>
      </c>
      <c r="G105" s="197" t="n">
        <v>500</v>
      </c>
    </row>
    <row r="106" ht="15.75" customHeight="1" s="137">
      <c r="A106" s="185" t="inlineStr">
        <is>
          <t>DC</t>
        </is>
      </c>
      <c r="B106" s="197" t="n">
        <v>75</v>
      </c>
      <c r="C106" s="197" t="n">
        <v>200</v>
      </c>
      <c r="D106" s="197" t="n">
        <v>100</v>
      </c>
      <c r="E106" s="197" t="n">
        <v>275</v>
      </c>
      <c r="F106" s="197" t="n">
        <v>150</v>
      </c>
      <c r="G106" s="197" t="n">
        <v>400</v>
      </c>
    </row>
    <row r="107" ht="15.75" customHeight="1" s="137">
      <c r="A107" s="185" t="inlineStr">
        <is>
          <t>Philadelphia</t>
        </is>
      </c>
      <c r="B107" s="197" t="n">
        <v>70</v>
      </c>
      <c r="C107" s="197" t="n">
        <v>175</v>
      </c>
      <c r="D107" s="197" t="n">
        <v>95</v>
      </c>
      <c r="E107" s="197" t="n">
        <v>250</v>
      </c>
      <c r="F107" s="197" t="n">
        <v>140</v>
      </c>
      <c r="G107" s="197" t="n">
        <v>375</v>
      </c>
    </row>
    <row r="108" ht="15.75" customHeight="1" s="137">
      <c r="A108" s="185" t="inlineStr">
        <is>
          <t>Charlotte</t>
        </is>
      </c>
      <c r="B108" s="197" t="n">
        <v>60</v>
      </c>
      <c r="C108" s="197" t="n">
        <v>150</v>
      </c>
      <c r="D108" s="197" t="n">
        <v>85</v>
      </c>
      <c r="E108" s="197" t="n">
        <v>200</v>
      </c>
      <c r="F108" s="197" t="n">
        <v>125</v>
      </c>
      <c r="G108" s="197" t="n">
        <v>325</v>
      </c>
    </row>
    <row r="109" ht="15.75" customHeight="1" s="137">
      <c r="A109" s="185" t="inlineStr">
        <is>
          <t>Raleigh NC</t>
        </is>
      </c>
      <c r="B109" s="197" t="n">
        <v>60</v>
      </c>
      <c r="C109" s="197" t="n">
        <v>150</v>
      </c>
      <c r="D109" s="197" t="n">
        <v>85</v>
      </c>
      <c r="E109" s="197" t="n">
        <v>200</v>
      </c>
      <c r="F109" s="197" t="n">
        <v>125</v>
      </c>
      <c r="G109" s="197" t="n">
        <v>325</v>
      </c>
    </row>
    <row r="110" ht="15.75" customHeight="1" s="137">
      <c r="A110" s="185" t="inlineStr">
        <is>
          <t>Asheville NC</t>
        </is>
      </c>
      <c r="B110" s="197" t="n">
        <v>65</v>
      </c>
      <c r="C110" s="197" t="n">
        <v>175</v>
      </c>
      <c r="D110" s="197" t="n">
        <v>90</v>
      </c>
      <c r="E110" s="197" t="n">
        <v>225</v>
      </c>
      <c r="F110" s="197" t="n">
        <v>130</v>
      </c>
      <c r="G110" s="197" t="n">
        <v>350</v>
      </c>
    </row>
    <row r="111" ht="15.75" customHeight="1" s="137">
      <c r="A111" s="185" t="inlineStr">
        <is>
          <t>Charleston SC</t>
        </is>
      </c>
      <c r="B111" s="197" t="n">
        <v>60</v>
      </c>
      <c r="C111" s="197" t="n">
        <v>150</v>
      </c>
      <c r="D111" s="197" t="n">
        <v>85</v>
      </c>
      <c r="E111" s="197" t="n">
        <v>200</v>
      </c>
      <c r="F111" s="197" t="n">
        <v>125</v>
      </c>
      <c r="G111" s="197" t="n">
        <v>325</v>
      </c>
    </row>
    <row r="112" ht="15.75" customHeight="1" s="137">
      <c r="A112" s="185" t="inlineStr">
        <is>
          <t>Atlanta</t>
        </is>
      </c>
      <c r="B112" s="197" t="n">
        <v>65</v>
      </c>
      <c r="C112" s="197" t="n">
        <v>175</v>
      </c>
      <c r="D112" s="197" t="n">
        <v>95</v>
      </c>
      <c r="E112" s="197" t="n">
        <v>250</v>
      </c>
      <c r="F112" s="197" t="n">
        <v>140</v>
      </c>
      <c r="G112" s="197" t="n">
        <v>375</v>
      </c>
    </row>
    <row r="113" ht="15.75" customHeight="1" s="137">
      <c r="A113" s="185" t="inlineStr">
        <is>
          <t>Virginia Secondary</t>
        </is>
      </c>
      <c r="B113" s="197" t="n">
        <v>55</v>
      </c>
      <c r="C113" s="197" t="n">
        <v>125</v>
      </c>
      <c r="D113" s="197" t="n">
        <v>75</v>
      </c>
      <c r="E113" s="197" t="n">
        <v>175</v>
      </c>
      <c r="F113" s="197" t="n">
        <v>110</v>
      </c>
      <c r="G113" s="197" t="n">
        <v>300</v>
      </c>
    </row>
    <row r="114" ht="15.75" customHeight="1" s="137">
      <c r="A114" s="185" t="inlineStr">
        <is>
          <t>Other</t>
        </is>
      </c>
      <c r="B114" s="197" t="n">
        <v>65</v>
      </c>
      <c r="C114" s="197" t="n">
        <v>175</v>
      </c>
      <c r="D114" s="197" t="n">
        <v>90</v>
      </c>
      <c r="E114" s="197" t="n">
        <v>225</v>
      </c>
      <c r="F114" s="197" t="n">
        <v>135</v>
      </c>
      <c r="G114" s="197" t="n">
        <v>350</v>
      </c>
    </row>
    <row r="115" ht="15.75" customHeight="1" s="137"/>
    <row r="116" ht="15.75" customHeight="1" s="137">
      <c r="A116" s="192" t="inlineStr">
        <is>
          <t>QUICK BUDGET REFERENCE</t>
        </is>
      </c>
      <c r="B116" s="192" t="n"/>
    </row>
    <row r="117" ht="15.75" customHeight="1" s="137">
      <c r="A117" s="196" t="inlineStr">
        <is>
          <t>Travel Type</t>
        </is>
      </c>
      <c r="B117" s="196" t="inlineStr">
        <is>
          <t>Estimated Total Per Person (2-night event)</t>
        </is>
      </c>
    </row>
    <row r="118" ht="15.75" customHeight="1" s="137">
      <c r="A118" s="185" t="inlineStr">
        <is>
          <t>Local Drive Market</t>
        </is>
      </c>
      <c r="B118" s="202" t="inlineStr">
        <is>
          <t>$400–$750</t>
        </is>
      </c>
    </row>
    <row r="119" ht="15.75" customHeight="1" s="137">
      <c r="A119" s="185" t="inlineStr">
        <is>
          <t>Regional Flight Market</t>
        </is>
      </c>
      <c r="B119" s="202" t="inlineStr">
        <is>
          <t>$1,200–$1,800</t>
        </is>
      </c>
    </row>
    <row r="120" ht="15.75" customHeight="1" s="137">
      <c r="A120" s="185" t="inlineStr">
        <is>
          <t>NYC Full Travel</t>
        </is>
      </c>
      <c r="B120" s="202" t="inlineStr">
        <is>
          <t>$2,000–$2,800</t>
        </is>
      </c>
    </row>
    <row r="121" ht="15.75" customHeight="1" s="137"/>
    <row r="122" ht="15.75" customHeight="1" s="13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37">
      <c r="A123" s="243" t="inlineStr">
        <is>
          <t>LOCATION</t>
        </is>
      </c>
      <c r="B123" s="243" t="inlineStr">
        <is>
          <t>FOOD TAX</t>
        </is>
      </c>
      <c r="C123" s="243" t="inlineStr">
        <is>
          <t>ALCOHOL TAX</t>
        </is>
      </c>
      <c r="D123" s="243" t="inlineStr">
        <is>
          <t>GENERAL TAX</t>
        </is>
      </c>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37">
      <c r="A124" s="244" t="inlineStr">
        <is>
          <t>Mecklenburg County NC (Charlotte)</t>
        </is>
      </c>
      <c r="B124" s="245" t="n">
        <v>0.0725</v>
      </c>
      <c r="C124" s="245" t="n">
        <v>0.0725</v>
      </c>
      <c r="D124" s="245" t="n">
        <v>0.0725</v>
      </c>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37">
      <c r="A125" s="244" t="inlineStr">
        <is>
          <t>Wake County NC (Raleigh)</t>
        </is>
      </c>
      <c r="B125" s="245" t="n">
        <v>0.0725</v>
      </c>
      <c r="C125" s="245" t="n">
        <v>0.0725</v>
      </c>
      <c r="D125" s="245" t="n">
        <v>0.0725</v>
      </c>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37">
      <c r="A126" s="244" t="inlineStr">
        <is>
          <t>Durham County NC</t>
        </is>
      </c>
      <c r="B126" s="245" t="n">
        <v>0.075</v>
      </c>
      <c r="C126" s="245" t="n">
        <v>0.075</v>
      </c>
      <c r="D126" s="245" t="n">
        <v>0.075</v>
      </c>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37">
      <c r="A127" s="244" t="inlineStr">
        <is>
          <t>Cabarrus County NC (Concord)</t>
        </is>
      </c>
      <c r="B127" s="245" t="n">
        <v>0.07000000000000001</v>
      </c>
      <c r="C127" s="245" t="n">
        <v>0.07000000000000001</v>
      </c>
      <c r="D127" s="245" t="n">
        <v>0.07000000000000001</v>
      </c>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37">
      <c r="A128" s="244" t="inlineStr">
        <is>
          <t>Buncombe County NC (Asheville)</t>
        </is>
      </c>
      <c r="B128" s="245" t="n">
        <v>0.07000000000000001</v>
      </c>
      <c r="C128" s="245" t="n">
        <v>0.07000000000000001</v>
      </c>
      <c r="D128" s="245" t="n">
        <v>0.07000000000000001</v>
      </c>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37">
      <c r="A129" s="244" t="inlineStr">
        <is>
          <t>Wilson NC</t>
        </is>
      </c>
      <c r="B129" s="245" t="n">
        <v>0.0675</v>
      </c>
      <c r="C129" s="245" t="n">
        <v>0.0675</v>
      </c>
      <c r="D129" s="245" t="n">
        <v>0.0675</v>
      </c>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37">
      <c r="A130" s="244" t="inlineStr">
        <is>
          <t>DC</t>
        </is>
      </c>
      <c r="B130" s="245" t="n">
        <v>0.1</v>
      </c>
      <c r="C130" s="245" t="n">
        <v>0.1025</v>
      </c>
      <c r="D130" s="245" t="n">
        <v>0.06</v>
      </c>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37">
      <c r="A131" s="244" t="inlineStr">
        <is>
          <t>Maryland</t>
        </is>
      </c>
      <c r="B131" s="245" t="n">
        <v>0.06</v>
      </c>
      <c r="C131" s="245" t="n">
        <v>0.09</v>
      </c>
      <c r="D131" s="245" t="n">
        <v>0.06</v>
      </c>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37">
      <c r="A132" s="244" t="inlineStr">
        <is>
          <t>Richmond VA</t>
        </is>
      </c>
      <c r="B132" s="245" t="n">
        <v>0.075</v>
      </c>
      <c r="C132" s="245" t="n">
        <v>0.075</v>
      </c>
      <c r="D132" s="245" t="n">
        <v>0.06</v>
      </c>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37">
      <c r="A133" s="244" t="inlineStr">
        <is>
          <t>Leesburg VA</t>
        </is>
      </c>
      <c r="B133" s="245" t="n">
        <v>0.06</v>
      </c>
      <c r="C133" s="245" t="n">
        <v>0.06</v>
      </c>
      <c r="D133" s="245" t="n">
        <v>0.06</v>
      </c>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37">
      <c r="A134" s="244" t="inlineStr">
        <is>
          <t>Atlanta GA</t>
        </is>
      </c>
      <c r="B134" s="245" t="n">
        <v>0.089</v>
      </c>
      <c r="C134" s="245" t="n">
        <v>0.089</v>
      </c>
      <c r="D134" s="245" t="n">
        <v>0.089</v>
      </c>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37">
      <c r="A135" s="244" t="inlineStr">
        <is>
          <t>Cobb County GA</t>
        </is>
      </c>
      <c r="B135" s="245" t="n">
        <v>0.06</v>
      </c>
      <c r="C135" s="245" t="n">
        <v>0.06</v>
      </c>
      <c r="D135" s="245" t="n">
        <v>0.06</v>
      </c>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37">
      <c r="A136" s="244" t="inlineStr">
        <is>
          <t>DeKalb County GA</t>
        </is>
      </c>
      <c r="B136" s="245" t="n">
        <v>0.08</v>
      </c>
      <c r="C136" s="245" t="n">
        <v>0.08</v>
      </c>
      <c r="D136" s="245" t="n">
        <v>0.08</v>
      </c>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37">
      <c r="A137" s="244" t="inlineStr">
        <is>
          <t>Chatham County GA (Savannah)</t>
        </is>
      </c>
      <c r="B137" s="245" t="n">
        <v>0.07000000000000001</v>
      </c>
      <c r="C137" s="245" t="n">
        <v>0.07000000000000001</v>
      </c>
      <c r="D137" s="245" t="n">
        <v>0.07000000000000001</v>
      </c>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37">
      <c r="A138" s="244" t="inlineStr">
        <is>
          <t>Greene County GA (Greensboro)</t>
        </is>
      </c>
      <c r="B138" s="245" t="n">
        <v>0.08</v>
      </c>
      <c r="C138" s="245" t="n">
        <v>0.08</v>
      </c>
      <c r="D138" s="245" t="n">
        <v>0.08</v>
      </c>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37">
      <c r="A139" s="244" t="inlineStr">
        <is>
          <t>Philadelphia PA</t>
        </is>
      </c>
      <c r="B139" s="245" t="n">
        <v>0.08</v>
      </c>
      <c r="C139" s="245" t="n">
        <v>0.08</v>
      </c>
      <c r="D139" s="245" t="n">
        <v>0.08</v>
      </c>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37">
      <c r="A140" s="244" t="inlineStr">
        <is>
          <t>NYC</t>
        </is>
      </c>
      <c r="B140" s="245" t="n">
        <v>0.08875</v>
      </c>
      <c r="C140" s="245" t="n">
        <v>0.08875</v>
      </c>
      <c r="D140" s="245" t="n">
        <v>0.08875</v>
      </c>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37">
      <c r="A141" s="244" t="inlineStr">
        <is>
          <t>Charleston SC</t>
        </is>
      </c>
      <c r="B141" s="245" t="n">
        <v>0.08</v>
      </c>
      <c r="C141" s="245" t="n">
        <v>0.08</v>
      </c>
      <c r="D141" s="245" t="n">
        <v>0.08</v>
      </c>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37">
      <c r="A142" s="244" t="inlineStr">
        <is>
          <t>Union SC</t>
        </is>
      </c>
      <c r="B142" s="245" t="n">
        <v>0.07000000000000001</v>
      </c>
      <c r="C142" s="245" t="n">
        <v>0.07000000000000001</v>
      </c>
      <c r="D142" s="245" t="n">
        <v>0.07000000000000001</v>
      </c>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37">
      <c r="A143" s="244" t="inlineStr">
        <is>
          <t>York SC</t>
        </is>
      </c>
      <c r="B143" s="245" t="n">
        <v>0.07000000000000001</v>
      </c>
      <c r="C143" s="245" t="n">
        <v>0.07000000000000001</v>
      </c>
      <c r="D143" s="245" t="n">
        <v>0.07000000000000001</v>
      </c>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37">
      <c r="A144" s="244" t="inlineStr">
        <is>
          <t>Greenville SC</t>
        </is>
      </c>
      <c r="B144" s="245" t="n">
        <v>0.06</v>
      </c>
      <c r="C144" s="245" t="n">
        <v>0.06</v>
      </c>
      <c r="D144" s="245" t="n">
        <v>0.06</v>
      </c>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37">
      <c r="A145" s="244" t="inlineStr">
        <is>
          <t>New Jersey</t>
        </is>
      </c>
      <c r="B145" s="245" t="n">
        <v>0.06625</v>
      </c>
      <c r="C145" s="245" t="n">
        <v>0.06625</v>
      </c>
      <c r="D145" s="245" t="n">
        <v>0.06625</v>
      </c>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3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3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3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3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3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3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3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3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3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3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3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3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3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3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3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3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3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3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3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3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3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3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3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3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3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3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3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3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3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3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3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3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3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3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3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3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3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3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3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3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3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3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3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3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3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3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3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3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3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3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3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3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3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3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3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3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3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3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3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3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3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3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3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3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3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3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3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3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3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3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3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3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3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3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3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3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3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3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3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3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3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3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3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3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3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3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3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3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3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3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3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3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3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3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3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3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3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3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3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3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3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3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3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3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3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3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3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3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3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3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3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3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3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3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3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3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3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3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3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3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3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3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3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3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3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3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3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3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3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3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3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3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3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3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3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3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3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3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3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3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3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3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3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3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3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3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3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3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3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3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3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3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3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3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3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3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3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3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3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3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3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3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3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3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3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3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3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3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3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3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3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3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3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3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3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3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3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3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3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3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3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3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3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3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3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3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3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3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3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3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3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3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3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3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3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3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3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3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3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3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3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3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3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3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3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3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3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3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3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3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3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3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3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3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3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3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3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3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3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3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3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3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3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3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3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3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3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3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3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3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3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3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3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3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3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3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3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3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3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3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3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3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3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3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3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3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3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3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3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3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3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3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3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3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3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3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3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3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3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3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3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3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3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3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3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3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3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3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3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3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3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3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3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3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3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3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3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3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3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3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3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3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3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3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3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3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3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3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3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3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3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3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3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3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3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3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3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3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3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3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3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3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3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3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3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3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3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3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3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3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3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3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3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3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3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3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3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3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3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3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3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3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3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3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3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3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3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3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3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3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3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3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3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3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3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3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3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3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3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3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3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3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3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3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3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3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3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3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3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3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3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3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3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3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3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3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3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3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3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3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3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3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3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3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3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3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3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3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3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3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3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3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3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3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3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3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3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3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3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3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3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3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3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3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3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3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3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3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3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3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3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3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3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3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3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3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3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3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3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3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3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3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3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3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3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3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3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3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3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3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3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3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3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3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3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3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3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3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3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3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3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3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3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3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3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3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3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3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3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3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3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3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3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3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3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3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3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3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3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3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3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3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3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3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3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3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3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3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3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3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3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3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3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3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3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3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3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3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3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3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3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3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3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3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3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3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3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3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3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3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3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3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3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3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3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3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3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3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3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3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3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3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3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3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3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3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3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3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3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3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3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3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3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3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3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3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3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3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3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3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3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3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3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3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3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3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3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3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3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3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3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3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3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3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3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3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3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3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3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3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3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3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3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3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3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3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3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3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3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3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3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3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3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3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3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3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3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3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3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3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3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3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3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3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3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3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3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3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3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3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3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3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3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3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3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3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3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3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3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3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3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3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3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3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3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3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3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3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3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3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3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3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3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3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3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3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3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3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3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3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3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3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3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3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3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3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3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3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3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3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3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3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3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3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3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3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3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3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3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3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3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3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3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3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3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3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3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3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3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3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3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3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3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3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3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3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3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3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3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3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3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3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3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3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3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3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3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3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3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3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3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3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3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3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3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3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3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3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3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3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3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3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3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3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3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3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3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3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3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3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3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3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3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3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3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3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3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3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3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3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3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3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3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3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3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3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3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3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3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3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3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3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3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3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3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3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3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3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3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3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3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3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3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3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3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3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3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3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3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3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3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3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3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3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3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3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3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3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3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3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3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3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3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3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3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3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3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3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3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3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3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3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3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3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3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3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3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3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3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3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3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3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3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3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3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3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3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3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3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3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3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3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3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3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3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3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3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3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3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3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3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3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3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3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3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3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3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3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3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3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3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3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3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3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3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3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3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3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3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3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3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3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3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3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3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3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3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3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3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3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3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3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3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3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3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3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3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3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3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3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3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3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3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3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3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3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3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3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3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3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3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3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3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3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3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3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3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3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3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3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3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3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3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3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3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3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3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3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3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3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3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3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3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3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3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3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3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3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3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3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3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3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3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3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3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3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3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3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3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3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3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3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3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3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3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3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3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3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3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3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3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3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3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3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3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3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3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6" customHeight="1" s="137">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6" customHeight="1" s="137">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6" customHeight="1" s="137">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6" customHeight="1" s="137">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6" customHeight="1" s="137">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6" customHeight="1" s="137">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6" customHeight="1" s="13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6" customHeight="1" s="137">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6" customHeight="1" s="137">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6" customHeight="1" s="137">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6" customHeight="1" s="137">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6" customHeight="1" s="137">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6" customHeight="1" s="137">
      <c r="A1013" s="1" t="n"/>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6" customHeight="1" s="137">
      <c r="A1014" s="1" t="n"/>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6" customHeight="1" s="137">
      <c r="A1015" s="1" t="n"/>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6" customHeight="1" s="137">
      <c r="A1016" s="1" t="n"/>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6" customHeight="1" s="137">
      <c r="A1017" s="1" t="n"/>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6" customHeight="1" s="137">
      <c r="A1018" s="1" t="n"/>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6" customHeight="1" s="137">
      <c r="A1019" s="1" t="n"/>
      <c r="B1019" s="1" t="n"/>
      <c r="C1019" s="1"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6" customHeight="1" s="137">
      <c r="A1020" s="1" t="n"/>
      <c r="B1020" s="1" t="n"/>
      <c r="C1020" s="1"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6" customHeight="1" s="137">
      <c r="A1021" s="1" t="n"/>
      <c r="B1021" s="1" t="n"/>
      <c r="C1021" s="1"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6" customHeight="1" s="137">
      <c r="A1022" s="1" t="n"/>
      <c r="B1022" s="1" t="n"/>
      <c r="C1022" s="1" t="n"/>
      <c r="D1022" s="1" t="n"/>
      <c r="E1022" s="1" t="n"/>
      <c r="F1022" s="1" t="n"/>
      <c r="G1022" s="1" t="n"/>
      <c r="H1022" s="1" t="n"/>
      <c r="I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6" customHeight="1" s="137">
      <c r="A1023" s="1" t="n"/>
      <c r="B1023" s="1" t="n"/>
      <c r="C1023" s="1" t="n"/>
      <c r="D1023" s="1" t="n"/>
      <c r="E1023" s="1" t="n"/>
      <c r="F1023" s="1" t="n"/>
      <c r="G1023" s="1" t="n"/>
      <c r="H1023" s="1" t="n"/>
      <c r="I1023" s="1" t="n"/>
      <c r="J1023" s="1" t="n"/>
      <c r="K1023" s="1" t="n"/>
      <c r="L1023" s="1" t="n"/>
      <c r="M1023" s="1" t="n"/>
      <c r="N1023" s="1" t="n"/>
      <c r="O1023" s="1" t="n"/>
      <c r="P1023" s="1" t="n"/>
      <c r="Q1023" s="1" t="n"/>
      <c r="R1023" s="1" t="n"/>
      <c r="S1023" s="1" t="n"/>
      <c r="T1023" s="1" t="n"/>
      <c r="U1023" s="1" t="n"/>
      <c r="V1023" s="1" t="n"/>
      <c r="W1023" s="1" t="n"/>
      <c r="X1023" s="1" t="n"/>
      <c r="Y1023" s="1" t="n"/>
      <c r="Z1023" s="1" t="n"/>
    </row>
    <row r="1024" ht="16" customHeight="1" s="137">
      <c r="A1024" s="1" t="n"/>
      <c r="B1024" s="1" t="n"/>
      <c r="C1024" s="1" t="n"/>
      <c r="D1024" s="1" t="n"/>
      <c r="E1024" s="1" t="n"/>
      <c r="F1024" s="1" t="n"/>
      <c r="G1024" s="1" t="n"/>
      <c r="H1024" s="1" t="n"/>
      <c r="I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6" customHeight="1" s="137">
      <c r="A1025" s="1" t="n"/>
      <c r="B1025" s="1" t="n"/>
      <c r="C1025" s="1" t="n"/>
      <c r="D1025" s="1" t="n"/>
      <c r="E1025" s="1" t="n"/>
      <c r="F1025" s="1" t="n"/>
      <c r="G1025" s="1" t="n"/>
      <c r="H1025" s="1" t="n"/>
      <c r="I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6" customHeight="1" s="137">
      <c r="A1026" s="1" t="n"/>
      <c r="B1026" s="1" t="n"/>
      <c r="C1026" s="1" t="n"/>
      <c r="D1026" s="1" t="n"/>
      <c r="E1026" s="1" t="n"/>
      <c r="F1026" s="1" t="n"/>
      <c r="G1026" s="1" t="n"/>
      <c r="H1026" s="1" t="n"/>
      <c r="I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6" customHeight="1" s="137">
      <c r="A1027" s="1" t="n"/>
      <c r="B1027" s="1" t="n"/>
      <c r="C1027" s="1" t="n"/>
      <c r="D1027" s="1" t="n"/>
      <c r="E1027" s="1" t="n"/>
      <c r="F1027" s="1" t="n"/>
      <c r="G1027" s="1" t="n"/>
      <c r="H1027" s="1" t="n"/>
      <c r="I1027" s="1" t="n"/>
      <c r="J1027" s="1" t="n"/>
      <c r="K1027" s="1" t="n"/>
      <c r="L1027" s="1" t="n"/>
      <c r="M1027" s="1" t="n"/>
      <c r="N1027" s="1" t="n"/>
      <c r="O1027" s="1" t="n"/>
      <c r="P1027" s="1" t="n"/>
      <c r="Q1027" s="1" t="n"/>
      <c r="R1027" s="1" t="n"/>
      <c r="S1027" s="1" t="n"/>
      <c r="T1027" s="1" t="n"/>
      <c r="U1027" s="1" t="n"/>
      <c r="V1027" s="1" t="n"/>
      <c r="W1027" s="1" t="n"/>
      <c r="X1027" s="1" t="n"/>
      <c r="Y1027" s="1" t="n"/>
      <c r="Z1027" s="1" t="n"/>
    </row>
    <row r="1028" ht="16" customHeight="1" s="137">
      <c r="A1028" s="1" t="n"/>
      <c r="B1028" s="1" t="n"/>
      <c r="C1028" s="1" t="n"/>
      <c r="D1028" s="1" t="n"/>
      <c r="E1028" s="1" t="n"/>
      <c r="F1028" s="1" t="n"/>
      <c r="G1028" s="1" t="n"/>
      <c r="H1028" s="1" t="n"/>
      <c r="I1028" s="1" t="n"/>
      <c r="J1028" s="1" t="n"/>
      <c r="K1028" s="1" t="n"/>
      <c r="L1028" s="1" t="n"/>
      <c r="M1028" s="1" t="n"/>
      <c r="N1028" s="1" t="n"/>
      <c r="O1028" s="1" t="n"/>
      <c r="P1028" s="1" t="n"/>
      <c r="Q1028" s="1" t="n"/>
      <c r="R1028" s="1" t="n"/>
      <c r="S1028" s="1" t="n"/>
      <c r="T1028" s="1" t="n"/>
      <c r="U1028" s="1" t="n"/>
      <c r="V1028" s="1" t="n"/>
      <c r="W1028" s="1" t="n"/>
      <c r="X1028" s="1" t="n"/>
      <c r="Y1028" s="1" t="n"/>
      <c r="Z1028" s="1" t="n"/>
    </row>
    <row r="1029" ht="16" customHeight="1" s="137">
      <c r="A1029" s="1" t="n"/>
      <c r="B1029" s="1" t="n"/>
      <c r="C1029" s="1" t="n"/>
      <c r="D1029" s="1" t="n"/>
      <c r="E1029" s="1" t="n"/>
      <c r="F1029" s="1" t="n"/>
      <c r="G1029" s="1" t="n"/>
      <c r="H1029" s="1" t="n"/>
      <c r="I1029" s="1" t="n"/>
      <c r="J1029" s="1" t="n"/>
      <c r="K1029" s="1" t="n"/>
      <c r="L1029" s="1" t="n"/>
      <c r="M1029" s="1" t="n"/>
      <c r="N1029" s="1" t="n"/>
      <c r="O1029" s="1" t="n"/>
      <c r="P1029" s="1" t="n"/>
      <c r="Q1029" s="1" t="n"/>
      <c r="R1029" s="1" t="n"/>
      <c r="S1029" s="1" t="n"/>
      <c r="T1029" s="1" t="n"/>
      <c r="U1029" s="1" t="n"/>
      <c r="V1029" s="1" t="n"/>
      <c r="W1029" s="1" t="n"/>
      <c r="X1029" s="1" t="n"/>
      <c r="Y1029" s="1" t="n"/>
      <c r="Z1029" s="1" t="n"/>
    </row>
    <row r="1030" ht="16" customHeight="1" s="137">
      <c r="A1030" s="1" t="n"/>
      <c r="B1030" s="1" t="n"/>
      <c r="C1030" s="1" t="n"/>
      <c r="D1030" s="1" t="n"/>
      <c r="E1030" s="1" t="n"/>
      <c r="F1030" s="1" t="n"/>
      <c r="G1030" s="1" t="n"/>
      <c r="H1030" s="1" t="n"/>
      <c r="I1030" s="1" t="n"/>
      <c r="J1030" s="1" t="n"/>
      <c r="K1030" s="1" t="n"/>
      <c r="L1030" s="1" t="n"/>
      <c r="M1030" s="1" t="n"/>
      <c r="N1030" s="1" t="n"/>
      <c r="O1030" s="1" t="n"/>
      <c r="P1030" s="1" t="n"/>
      <c r="Q1030" s="1" t="n"/>
      <c r="R1030" s="1" t="n"/>
      <c r="S1030" s="1" t="n"/>
      <c r="T1030" s="1" t="n"/>
      <c r="U1030" s="1" t="n"/>
      <c r="V1030" s="1" t="n"/>
      <c r="W1030" s="1" t="n"/>
      <c r="X1030" s="1" t="n"/>
      <c r="Y1030" s="1" t="n"/>
      <c r="Z1030" s="1" t="n"/>
    </row>
    <row r="1031" ht="16" customHeight="1" s="137">
      <c r="A1031" s="1" t="n"/>
      <c r="B1031" s="1" t="n"/>
      <c r="C1031" s="1" t="n"/>
      <c r="D1031" s="1" t="n"/>
      <c r="E1031" s="1" t="n"/>
      <c r="F1031" s="1" t="n"/>
      <c r="G1031" s="1" t="n"/>
      <c r="H1031" s="1" t="n"/>
      <c r="I1031" s="1" t="n"/>
      <c r="J1031" s="1" t="n"/>
      <c r="K1031" s="1" t="n"/>
      <c r="L1031" s="1" t="n"/>
      <c r="M1031" s="1" t="n"/>
      <c r="N1031" s="1" t="n"/>
      <c r="O1031" s="1" t="n"/>
      <c r="P1031" s="1" t="n"/>
      <c r="Q1031" s="1" t="n"/>
      <c r="R1031" s="1" t="n"/>
      <c r="S1031" s="1" t="n"/>
      <c r="T1031" s="1" t="n"/>
      <c r="U1031" s="1" t="n"/>
      <c r="V1031" s="1" t="n"/>
      <c r="W1031" s="1" t="n"/>
      <c r="X1031" s="1" t="n"/>
      <c r="Y1031" s="1" t="n"/>
      <c r="Z1031" s="1" t="n"/>
    </row>
    <row r="1032" ht="16" customHeight="1" s="137">
      <c r="A1032" s="1" t="n"/>
      <c r="B1032" s="1" t="n"/>
      <c r="C1032" s="1" t="n"/>
      <c r="D1032" s="1" t="n"/>
      <c r="E1032" s="1" t="n"/>
      <c r="F1032" s="1" t="n"/>
      <c r="G1032" s="1" t="n"/>
      <c r="H1032" s="1" t="n"/>
      <c r="I1032" s="1" t="n"/>
      <c r="J1032" s="1" t="n"/>
      <c r="K1032" s="1" t="n"/>
      <c r="L1032" s="1" t="n"/>
      <c r="M1032" s="1" t="n"/>
      <c r="N1032" s="1" t="n"/>
      <c r="O1032" s="1" t="n"/>
      <c r="P1032" s="1" t="n"/>
      <c r="Q1032" s="1" t="n"/>
      <c r="R1032" s="1" t="n"/>
      <c r="S1032" s="1" t="n"/>
      <c r="T1032" s="1" t="n"/>
      <c r="U1032" s="1" t="n"/>
      <c r="V1032" s="1" t="n"/>
      <c r="W1032" s="1" t="n"/>
      <c r="X1032" s="1" t="n"/>
      <c r="Y1032" s="1" t="n"/>
      <c r="Z1032" s="1" t="n"/>
    </row>
    <row r="1033" ht="16" customHeight="1" s="137">
      <c r="A1033" s="1" t="n"/>
      <c r="B1033" s="1" t="n"/>
      <c r="C1033" s="1" t="n"/>
      <c r="D1033" s="1" t="n"/>
      <c r="E1033" s="1" t="n"/>
      <c r="F1033" s="1" t="n"/>
      <c r="G1033" s="1" t="n"/>
      <c r="H1033" s="1" t="n"/>
      <c r="I1033" s="1" t="n"/>
      <c r="J1033" s="1" t="n"/>
      <c r="K1033" s="1" t="n"/>
      <c r="L1033" s="1" t="n"/>
      <c r="M1033" s="1" t="n"/>
      <c r="N1033" s="1" t="n"/>
      <c r="O1033" s="1" t="n"/>
      <c r="P1033" s="1" t="n"/>
      <c r="Q1033" s="1" t="n"/>
      <c r="R1033" s="1" t="n"/>
      <c r="S1033" s="1" t="n"/>
      <c r="T1033" s="1" t="n"/>
      <c r="U1033" s="1" t="n"/>
      <c r="V1033" s="1" t="n"/>
      <c r="W1033" s="1" t="n"/>
      <c r="X1033" s="1" t="n"/>
      <c r="Y1033" s="1" t="n"/>
      <c r="Z1033" s="1" t="n"/>
    </row>
    <row r="1034" ht="16" customHeight="1" s="137">
      <c r="A1034" s="1" t="n"/>
      <c r="B1034" s="1" t="n"/>
      <c r="C1034" s="1" t="n"/>
      <c r="D1034" s="1" t="n"/>
      <c r="E1034" s="1" t="n"/>
      <c r="F1034" s="1" t="n"/>
      <c r="G1034" s="1" t="n"/>
      <c r="H1034" s="1" t="n"/>
      <c r="I1034" s="1" t="n"/>
      <c r="J1034" s="1" t="n"/>
      <c r="K1034" s="1" t="n"/>
      <c r="L1034" s="1" t="n"/>
      <c r="M1034" s="1" t="n"/>
      <c r="N1034" s="1" t="n"/>
      <c r="O1034" s="1" t="n"/>
      <c r="P1034" s="1" t="n"/>
      <c r="Q1034" s="1" t="n"/>
      <c r="R1034" s="1" t="n"/>
      <c r="S1034" s="1" t="n"/>
      <c r="T1034" s="1" t="n"/>
      <c r="U1034" s="1" t="n"/>
      <c r="V1034" s="1" t="n"/>
      <c r="W1034" s="1" t="n"/>
      <c r="X1034" s="1" t="n"/>
      <c r="Y1034" s="1" t="n"/>
      <c r="Z1034" s="1" t="n"/>
    </row>
    <row r="1035" ht="16" customHeight="1" s="137">
      <c r="A1035" s="1" t="n"/>
      <c r="B1035" s="1" t="n"/>
      <c r="C1035" s="1" t="n"/>
      <c r="D1035" s="1" t="n"/>
      <c r="E1035" s="1" t="n"/>
      <c r="F1035" s="1" t="n"/>
      <c r="G1035" s="1" t="n"/>
      <c r="H1035" s="1" t="n"/>
      <c r="I1035" s="1" t="n"/>
      <c r="J1035" s="1" t="n"/>
      <c r="K1035" s="1" t="n"/>
      <c r="L1035" s="1" t="n"/>
      <c r="M1035" s="1" t="n"/>
      <c r="N1035" s="1" t="n"/>
      <c r="O1035" s="1" t="n"/>
      <c r="P1035" s="1" t="n"/>
      <c r="Q1035" s="1" t="n"/>
      <c r="R1035" s="1" t="n"/>
      <c r="S1035" s="1" t="n"/>
      <c r="T1035" s="1" t="n"/>
      <c r="U1035" s="1" t="n"/>
      <c r="V1035" s="1" t="n"/>
      <c r="W1035" s="1" t="n"/>
      <c r="X1035" s="1" t="n"/>
      <c r="Y1035" s="1" t="n"/>
      <c r="Z1035" s="1" t="n"/>
    </row>
    <row r="1036" ht="16" customHeight="1" s="137">
      <c r="A1036" s="1" t="n"/>
      <c r="B1036" s="1" t="n"/>
      <c r="C1036" s="1" t="n"/>
      <c r="D1036" s="1" t="n"/>
      <c r="E1036" s="1" t="n"/>
      <c r="F1036" s="1" t="n"/>
      <c r="G1036" s="1" t="n"/>
      <c r="H1036" s="1" t="n"/>
      <c r="I1036" s="1" t="n"/>
      <c r="J1036" s="1" t="n"/>
      <c r="K1036" s="1" t="n"/>
      <c r="L1036" s="1" t="n"/>
      <c r="M1036" s="1" t="n"/>
      <c r="N1036" s="1" t="n"/>
      <c r="O1036" s="1" t="n"/>
      <c r="P1036" s="1" t="n"/>
      <c r="Q1036" s="1" t="n"/>
      <c r="R1036" s="1" t="n"/>
      <c r="S1036" s="1" t="n"/>
      <c r="T1036" s="1" t="n"/>
      <c r="U1036" s="1" t="n"/>
      <c r="V1036" s="1" t="n"/>
      <c r="W1036" s="1" t="n"/>
      <c r="X1036" s="1" t="n"/>
      <c r="Y1036" s="1" t="n"/>
      <c r="Z1036" s="1" t="n"/>
    </row>
    <row r="1037" ht="16" customHeight="1" s="137">
      <c r="A1037" s="1" t="n"/>
      <c r="B1037" s="1" t="n"/>
      <c r="C1037" s="1" t="n"/>
      <c r="D1037" s="1" t="n"/>
      <c r="E1037" s="1" t="n"/>
      <c r="F1037" s="1" t="n"/>
      <c r="G1037" s="1" t="n"/>
      <c r="H1037" s="1" t="n"/>
      <c r="I1037" s="1" t="n"/>
      <c r="J1037" s="1" t="n"/>
      <c r="K1037" s="1" t="n"/>
      <c r="L1037" s="1" t="n"/>
      <c r="M1037" s="1" t="n"/>
      <c r="N1037" s="1" t="n"/>
      <c r="O1037" s="1" t="n"/>
      <c r="P1037" s="1" t="n"/>
      <c r="Q1037" s="1" t="n"/>
      <c r="R1037" s="1" t="n"/>
      <c r="S1037" s="1" t="n"/>
      <c r="T1037" s="1" t="n"/>
      <c r="U1037" s="1" t="n"/>
      <c r="V1037" s="1" t="n"/>
      <c r="W1037" s="1" t="n"/>
      <c r="X1037" s="1" t="n"/>
      <c r="Y1037" s="1" t="n"/>
      <c r="Z1037" s="1" t="n"/>
    </row>
    <row r="1038" ht="16" customHeight="1" s="137">
      <c r="A1038" s="1" t="n"/>
      <c r="B1038" s="1" t="n"/>
      <c r="C1038" s="1" t="n"/>
      <c r="D1038" s="1" t="n"/>
      <c r="E1038" s="1" t="n"/>
      <c r="F1038" s="1" t="n"/>
      <c r="G1038" s="1" t="n"/>
      <c r="H1038" s="1" t="n"/>
      <c r="I1038" s="1" t="n"/>
      <c r="J1038" s="1" t="n"/>
      <c r="K1038" s="1" t="n"/>
      <c r="L1038" s="1" t="n"/>
      <c r="M1038" s="1" t="n"/>
      <c r="N1038" s="1" t="n"/>
      <c r="O1038" s="1" t="n"/>
      <c r="P1038" s="1" t="n"/>
      <c r="Q1038" s="1" t="n"/>
      <c r="R1038" s="1" t="n"/>
      <c r="S1038" s="1" t="n"/>
      <c r="T1038" s="1" t="n"/>
      <c r="U1038" s="1" t="n"/>
      <c r="V1038" s="1" t="n"/>
      <c r="W1038" s="1" t="n"/>
      <c r="X1038" s="1" t="n"/>
      <c r="Y1038" s="1" t="n"/>
      <c r="Z1038" s="1" t="n"/>
    </row>
    <row r="1039" ht="16" customHeight="1" s="137">
      <c r="A1039" s="1" t="n"/>
      <c r="B1039" s="1" t="n"/>
      <c r="C1039" s="1" t="n"/>
      <c r="D1039" s="1" t="n"/>
      <c r="E1039" s="1" t="n"/>
      <c r="F1039" s="1" t="n"/>
      <c r="G1039" s="1" t="n"/>
      <c r="H1039" s="1" t="n"/>
      <c r="I1039" s="1" t="n"/>
      <c r="J1039" s="1" t="n"/>
      <c r="K1039" s="1" t="n"/>
      <c r="L1039" s="1" t="n"/>
      <c r="M1039" s="1" t="n"/>
      <c r="N1039" s="1" t="n"/>
      <c r="O1039" s="1" t="n"/>
      <c r="P1039" s="1" t="n"/>
      <c r="Q1039" s="1" t="n"/>
      <c r="R1039" s="1" t="n"/>
      <c r="S1039" s="1" t="n"/>
      <c r="T1039" s="1" t="n"/>
      <c r="U1039" s="1" t="n"/>
      <c r="V1039" s="1" t="n"/>
      <c r="W1039" s="1" t="n"/>
      <c r="X1039" s="1" t="n"/>
      <c r="Y1039" s="1" t="n"/>
      <c r="Z1039" s="1" t="n"/>
    </row>
    <row r="1040" ht="16" customHeight="1" s="137">
      <c r="A1040" s="1" t="n"/>
      <c r="B1040" s="1" t="n"/>
      <c r="C1040" s="1" t="n"/>
      <c r="D1040" s="1" t="n"/>
      <c r="E1040" s="1" t="n"/>
      <c r="F1040" s="1" t="n"/>
      <c r="G1040" s="1" t="n"/>
      <c r="H1040" s="1" t="n"/>
      <c r="I1040" s="1" t="n"/>
      <c r="J1040" s="1" t="n"/>
      <c r="K1040" s="1" t="n"/>
      <c r="L1040" s="1" t="n"/>
      <c r="M1040" s="1" t="n"/>
      <c r="N1040" s="1" t="n"/>
      <c r="O1040" s="1" t="n"/>
      <c r="P1040" s="1" t="n"/>
      <c r="Q1040" s="1" t="n"/>
      <c r="R1040" s="1" t="n"/>
      <c r="S1040" s="1" t="n"/>
      <c r="T1040" s="1" t="n"/>
      <c r="U1040" s="1" t="n"/>
      <c r="V1040" s="1" t="n"/>
      <c r="W1040" s="1" t="n"/>
      <c r="X1040" s="1" t="n"/>
      <c r="Y1040" s="1" t="n"/>
      <c r="Z1040" s="1" t="n"/>
    </row>
    <row r="1041" ht="16" customHeight="1" s="137">
      <c r="A1041" s="1" t="n"/>
      <c r="B1041" s="1" t="n"/>
      <c r="C1041" s="1" t="n"/>
      <c r="D1041" s="1" t="n"/>
      <c r="E1041" s="1" t="n"/>
      <c r="F1041" s="1" t="n"/>
      <c r="G1041" s="1" t="n"/>
      <c r="H1041" s="1" t="n"/>
      <c r="I1041" s="1" t="n"/>
      <c r="J1041" s="1" t="n"/>
      <c r="K1041" s="1" t="n"/>
      <c r="L1041" s="1" t="n"/>
      <c r="M1041" s="1" t="n"/>
      <c r="N1041" s="1" t="n"/>
      <c r="O1041" s="1" t="n"/>
      <c r="P1041" s="1" t="n"/>
      <c r="Q1041" s="1" t="n"/>
      <c r="R1041" s="1" t="n"/>
      <c r="S1041" s="1" t="n"/>
      <c r="T1041" s="1" t="n"/>
      <c r="U1041" s="1" t="n"/>
      <c r="V1041" s="1" t="n"/>
      <c r="W1041" s="1" t="n"/>
      <c r="X1041" s="1" t="n"/>
      <c r="Y1041" s="1" t="n"/>
      <c r="Z1041" s="1" t="n"/>
    </row>
    <row r="1042" ht="16" customHeight="1" s="137">
      <c r="A1042" s="1" t="n"/>
      <c r="B1042" s="1" t="n"/>
      <c r="C1042" s="1" t="n"/>
      <c r="D1042" s="1" t="n"/>
      <c r="E1042" s="1" t="n"/>
      <c r="F1042" s="1" t="n"/>
      <c r="G1042" s="1" t="n"/>
      <c r="H1042" s="1" t="n"/>
      <c r="I1042" s="1" t="n"/>
      <c r="J1042" s="1" t="n"/>
      <c r="K1042" s="1" t="n"/>
      <c r="L1042" s="1" t="n"/>
      <c r="M1042" s="1" t="n"/>
      <c r="N1042" s="1" t="n"/>
      <c r="O1042" s="1" t="n"/>
      <c r="P1042" s="1" t="n"/>
      <c r="Q1042" s="1" t="n"/>
      <c r="R1042" s="1" t="n"/>
      <c r="S1042" s="1" t="n"/>
      <c r="T1042" s="1" t="n"/>
      <c r="U1042" s="1" t="n"/>
      <c r="V1042" s="1" t="n"/>
      <c r="W1042" s="1" t="n"/>
      <c r="X1042" s="1" t="n"/>
      <c r="Y1042" s="1" t="n"/>
      <c r="Z1042" s="1" t="n"/>
    </row>
    <row r="1043" ht="16" customHeight="1" s="137">
      <c r="A1043" s="1" t="n"/>
      <c r="B1043" s="1" t="n"/>
      <c r="C1043" s="1" t="n"/>
      <c r="D1043" s="1" t="n"/>
      <c r="E1043" s="1" t="n"/>
      <c r="F1043" s="1" t="n"/>
      <c r="G1043" s="1" t="n"/>
      <c r="H1043" s="1" t="n"/>
      <c r="I1043" s="1" t="n"/>
      <c r="J1043" s="1" t="n"/>
      <c r="K1043" s="1" t="n"/>
      <c r="L1043" s="1" t="n"/>
      <c r="M1043" s="1" t="n"/>
      <c r="N1043" s="1" t="n"/>
      <c r="O1043" s="1" t="n"/>
      <c r="P1043" s="1" t="n"/>
      <c r="Q1043" s="1" t="n"/>
      <c r="R1043" s="1" t="n"/>
      <c r="S1043" s="1" t="n"/>
      <c r="T1043" s="1" t="n"/>
      <c r="U1043" s="1" t="n"/>
      <c r="V1043" s="1" t="n"/>
      <c r="W1043" s="1" t="n"/>
      <c r="X1043" s="1" t="n"/>
      <c r="Y1043" s="1" t="n"/>
      <c r="Z1043" s="1" t="n"/>
    </row>
    <row r="1044" ht="16" customHeight="1" s="137">
      <c r="A1044" s="1" t="n"/>
      <c r="B1044" s="1" t="n"/>
      <c r="C1044" s="1" t="n"/>
      <c r="D1044" s="1" t="n"/>
      <c r="E1044" s="1" t="n"/>
      <c r="F1044" s="1" t="n"/>
      <c r="G1044" s="1" t="n"/>
      <c r="H1044" s="1" t="n"/>
      <c r="I1044" s="1" t="n"/>
      <c r="J1044" s="1" t="n"/>
      <c r="K1044" s="1" t="n"/>
      <c r="L1044" s="1" t="n"/>
      <c r="M1044" s="1" t="n"/>
      <c r="N1044" s="1" t="n"/>
      <c r="O1044" s="1" t="n"/>
      <c r="P1044" s="1" t="n"/>
      <c r="Q1044" s="1" t="n"/>
      <c r="R1044" s="1" t="n"/>
      <c r="S1044" s="1" t="n"/>
      <c r="T1044" s="1" t="n"/>
      <c r="U1044" s="1" t="n"/>
      <c r="V1044" s="1" t="n"/>
      <c r="W1044" s="1" t="n"/>
      <c r="X1044" s="1" t="n"/>
      <c r="Y1044" s="1" t="n"/>
      <c r="Z1044" s="1" t="n"/>
    </row>
    <row r="1045" ht="16" customHeight="1" s="137">
      <c r="A1045" s="1" t="n"/>
      <c r="B1045" s="1" t="n"/>
      <c r="C1045" s="1" t="n"/>
      <c r="D1045" s="1" t="n"/>
      <c r="E1045" s="1" t="n"/>
      <c r="F1045" s="1" t="n"/>
      <c r="G1045" s="1" t="n"/>
      <c r="H1045" s="1" t="n"/>
      <c r="I1045" s="1" t="n"/>
      <c r="J1045" s="1" t="n"/>
      <c r="K1045" s="1" t="n"/>
      <c r="L1045" s="1" t="n"/>
      <c r="M1045" s="1" t="n"/>
      <c r="N1045" s="1" t="n"/>
      <c r="O1045" s="1" t="n"/>
      <c r="P1045" s="1" t="n"/>
      <c r="Q1045" s="1" t="n"/>
      <c r="R1045" s="1" t="n"/>
      <c r="S1045" s="1" t="n"/>
      <c r="T1045" s="1" t="n"/>
      <c r="U1045" s="1" t="n"/>
      <c r="V1045" s="1" t="n"/>
      <c r="W1045" s="1" t="n"/>
      <c r="X1045" s="1" t="n"/>
      <c r="Y1045" s="1" t="n"/>
      <c r="Z1045" s="1" t="n"/>
    </row>
    <row r="1046" ht="16" customHeight="1" s="137">
      <c r="A1046" s="1" t="n"/>
      <c r="B1046" s="1" t="n"/>
      <c r="C1046" s="1" t="n"/>
      <c r="D1046" s="1" t="n"/>
      <c r="E1046" s="1" t="n"/>
      <c r="F1046" s="1" t="n"/>
      <c r="G1046" s="1" t="n"/>
      <c r="H1046" s="1" t="n"/>
      <c r="I1046" s="1" t="n"/>
      <c r="J1046" s="1" t="n"/>
      <c r="K1046" s="1" t="n"/>
      <c r="L1046" s="1" t="n"/>
      <c r="M1046" s="1" t="n"/>
      <c r="N1046" s="1" t="n"/>
      <c r="O1046" s="1" t="n"/>
      <c r="P1046" s="1" t="n"/>
      <c r="Q1046" s="1" t="n"/>
      <c r="R1046" s="1" t="n"/>
      <c r="S1046" s="1" t="n"/>
      <c r="T1046" s="1" t="n"/>
      <c r="U1046" s="1" t="n"/>
      <c r="V1046" s="1" t="n"/>
      <c r="W1046" s="1" t="n"/>
      <c r="X1046" s="1" t="n"/>
      <c r="Y1046" s="1" t="n"/>
      <c r="Z1046" s="1" t="n"/>
    </row>
    <row r="1047" ht="16" customHeight="1" s="137">
      <c r="A1047" s="1" t="n"/>
      <c r="B1047" s="1" t="n"/>
      <c r="C1047" s="1" t="n"/>
      <c r="D1047" s="1" t="n"/>
      <c r="E1047" s="1" t="n"/>
      <c r="F1047" s="1" t="n"/>
      <c r="G1047" s="1" t="n"/>
      <c r="H1047" s="1" t="n"/>
      <c r="I1047" s="1" t="n"/>
      <c r="J1047" s="1" t="n"/>
      <c r="K1047" s="1" t="n"/>
      <c r="L1047" s="1" t="n"/>
      <c r="M1047" s="1" t="n"/>
      <c r="N1047" s="1" t="n"/>
      <c r="O1047" s="1" t="n"/>
      <c r="P1047" s="1" t="n"/>
      <c r="Q1047" s="1" t="n"/>
      <c r="R1047" s="1" t="n"/>
      <c r="S1047" s="1" t="n"/>
      <c r="T1047" s="1" t="n"/>
      <c r="U1047" s="1" t="n"/>
      <c r="V1047" s="1" t="n"/>
      <c r="W1047" s="1" t="n"/>
      <c r="X1047" s="1" t="n"/>
      <c r="Y1047" s="1" t="n"/>
      <c r="Z1047" s="1" t="n"/>
    </row>
    <row r="1048" ht="16" customHeight="1" s="137">
      <c r="A1048" s="1" t="n"/>
      <c r="B1048" s="1" t="n"/>
      <c r="C1048" s="1" t="n"/>
      <c r="D1048" s="1" t="n"/>
      <c r="E1048" s="1" t="n"/>
      <c r="F1048" s="1" t="n"/>
      <c r="G1048" s="1" t="n"/>
      <c r="H1048" s="1" t="n"/>
      <c r="I1048" s="1" t="n"/>
      <c r="J1048" s="1" t="n"/>
      <c r="K1048" s="1" t="n"/>
      <c r="L1048" s="1" t="n"/>
      <c r="M1048" s="1" t="n"/>
      <c r="N1048" s="1" t="n"/>
      <c r="O1048" s="1" t="n"/>
      <c r="P1048" s="1" t="n"/>
      <c r="Q1048" s="1" t="n"/>
      <c r="R1048" s="1" t="n"/>
      <c r="S1048" s="1" t="n"/>
      <c r="T1048" s="1" t="n"/>
      <c r="U1048" s="1" t="n"/>
      <c r="V1048" s="1" t="n"/>
      <c r="W1048" s="1" t="n"/>
      <c r="X1048" s="1" t="n"/>
      <c r="Y1048" s="1" t="n"/>
      <c r="Z1048" s="1" t="n"/>
    </row>
    <row r="1049" ht="16" customHeight="1" s="137">
      <c r="A1049" s="1" t="n"/>
      <c r="B1049" s="1" t="n"/>
      <c r="C1049" s="1" t="n"/>
      <c r="D1049" s="1" t="n"/>
      <c r="E1049" s="1" t="n"/>
      <c r="F1049" s="1" t="n"/>
      <c r="G1049" s="1" t="n"/>
      <c r="H1049" s="1" t="n"/>
      <c r="I1049" s="1" t="n"/>
      <c r="J1049" s="1" t="n"/>
      <c r="K1049" s="1" t="n"/>
      <c r="L1049" s="1" t="n"/>
      <c r="M1049" s="1" t="n"/>
      <c r="N1049" s="1" t="n"/>
      <c r="O1049" s="1" t="n"/>
      <c r="P1049" s="1" t="n"/>
      <c r="Q1049" s="1" t="n"/>
      <c r="R1049" s="1" t="n"/>
      <c r="S1049" s="1" t="n"/>
      <c r="T1049" s="1" t="n"/>
      <c r="U1049" s="1" t="n"/>
      <c r="V1049" s="1" t="n"/>
      <c r="W1049" s="1" t="n"/>
      <c r="X1049" s="1" t="n"/>
      <c r="Y1049" s="1" t="n"/>
      <c r="Z1049" s="1" t="n"/>
    </row>
    <row r="1050" ht="16" customHeight="1" s="137">
      <c r="A1050" s="1" t="n"/>
      <c r="B1050" s="1" t="n"/>
      <c r="C1050" s="1" t="n"/>
      <c r="D1050" s="1" t="n"/>
      <c r="E1050" s="1" t="n"/>
      <c r="F1050" s="1" t="n"/>
      <c r="G1050" s="1" t="n"/>
      <c r="H1050" s="1" t="n"/>
      <c r="I1050" s="1" t="n"/>
      <c r="J1050" s="1" t="n"/>
      <c r="K1050" s="1" t="n"/>
      <c r="L1050" s="1" t="n"/>
      <c r="M1050" s="1" t="n"/>
      <c r="N1050" s="1" t="n"/>
      <c r="O1050" s="1" t="n"/>
      <c r="P1050" s="1" t="n"/>
      <c r="Q1050" s="1" t="n"/>
      <c r="R1050" s="1" t="n"/>
      <c r="S1050" s="1" t="n"/>
      <c r="T1050" s="1" t="n"/>
      <c r="U1050" s="1" t="n"/>
      <c r="V1050" s="1" t="n"/>
      <c r="W1050" s="1" t="n"/>
      <c r="X1050" s="1" t="n"/>
      <c r="Y1050" s="1" t="n"/>
      <c r="Z1050" s="1" t="n"/>
    </row>
    <row r="1051" ht="16" customHeight="1" s="137">
      <c r="A1051" s="1" t="n"/>
      <c r="B1051" s="1" t="n"/>
      <c r="C1051" s="1" t="n"/>
      <c r="D1051" s="1" t="n"/>
      <c r="E1051" s="1" t="n"/>
      <c r="F1051" s="1" t="n"/>
      <c r="G1051" s="1" t="n"/>
      <c r="H1051" s="1" t="n"/>
      <c r="I1051" s="1" t="n"/>
      <c r="J1051" s="1" t="n"/>
      <c r="K1051" s="1" t="n"/>
      <c r="L1051" s="1" t="n"/>
      <c r="M1051" s="1" t="n"/>
      <c r="N1051" s="1" t="n"/>
      <c r="O1051" s="1" t="n"/>
      <c r="P1051" s="1" t="n"/>
      <c r="Q1051" s="1" t="n"/>
      <c r="R1051" s="1" t="n"/>
      <c r="S1051" s="1" t="n"/>
      <c r="T1051" s="1" t="n"/>
      <c r="U1051" s="1" t="n"/>
      <c r="V1051" s="1" t="n"/>
      <c r="W1051" s="1" t="n"/>
      <c r="X1051" s="1" t="n"/>
      <c r="Y1051" s="1" t="n"/>
      <c r="Z1051" s="1" t="n"/>
    </row>
    <row r="1052" ht="16" customHeight="1" s="137">
      <c r="A1052" s="1" t="n"/>
      <c r="B1052" s="1" t="n"/>
      <c r="C1052" s="1" t="n"/>
      <c r="D1052" s="1" t="n"/>
      <c r="E1052" s="1" t="n"/>
      <c r="F1052" s="1" t="n"/>
      <c r="G1052" s="1" t="n"/>
      <c r="H1052" s="1" t="n"/>
      <c r="I1052" s="1" t="n"/>
      <c r="J1052" s="1" t="n"/>
      <c r="K1052" s="1" t="n"/>
      <c r="L1052" s="1" t="n"/>
      <c r="M1052" s="1" t="n"/>
      <c r="N1052" s="1" t="n"/>
      <c r="O1052" s="1" t="n"/>
      <c r="P1052" s="1" t="n"/>
      <c r="Q1052" s="1" t="n"/>
      <c r="R1052" s="1" t="n"/>
      <c r="S1052" s="1" t="n"/>
      <c r="T1052" s="1" t="n"/>
      <c r="U1052" s="1" t="n"/>
      <c r="V1052" s="1" t="n"/>
      <c r="W1052" s="1" t="n"/>
      <c r="X1052" s="1" t="n"/>
      <c r="Y1052" s="1" t="n"/>
      <c r="Z1052" s="1" t="n"/>
    </row>
    <row r="1053" ht="16" customHeight="1" s="137">
      <c r="A1053" s="1" t="n"/>
      <c r="B1053" s="1" t="n"/>
      <c r="C1053" s="1" t="n"/>
      <c r="D1053" s="1" t="n"/>
      <c r="E1053" s="1" t="n"/>
      <c r="F1053" s="1" t="n"/>
      <c r="G1053" s="1" t="n"/>
      <c r="H1053" s="1" t="n"/>
      <c r="I1053" s="1" t="n"/>
      <c r="J1053" s="1" t="n"/>
      <c r="K1053" s="1" t="n"/>
      <c r="L1053" s="1" t="n"/>
      <c r="M1053" s="1" t="n"/>
      <c r="N1053" s="1" t="n"/>
      <c r="O1053" s="1" t="n"/>
      <c r="P1053" s="1" t="n"/>
      <c r="Q1053" s="1" t="n"/>
      <c r="R1053" s="1" t="n"/>
      <c r="S1053" s="1" t="n"/>
      <c r="T1053" s="1" t="n"/>
      <c r="U1053" s="1" t="n"/>
      <c r="V1053" s="1" t="n"/>
      <c r="W1053" s="1" t="n"/>
      <c r="X1053" s="1" t="n"/>
      <c r="Y1053" s="1" t="n"/>
      <c r="Z1053" s="1" t="n"/>
    </row>
    <row r="1054" ht="16" customHeight="1" s="137">
      <c r="A1054" s="1" t="n"/>
      <c r="B1054" s="1" t="n"/>
      <c r="C1054" s="1" t="n"/>
      <c r="D1054" s="1" t="n"/>
      <c r="E1054" s="1" t="n"/>
      <c r="F1054" s="1" t="n"/>
      <c r="G1054" s="1" t="n"/>
      <c r="H1054" s="1" t="n"/>
      <c r="I1054" s="1" t="n"/>
      <c r="J1054" s="1" t="n"/>
      <c r="K1054" s="1" t="n"/>
      <c r="L1054" s="1" t="n"/>
      <c r="M1054" s="1" t="n"/>
      <c r="N1054" s="1" t="n"/>
      <c r="O1054" s="1" t="n"/>
      <c r="P1054" s="1" t="n"/>
      <c r="Q1054" s="1" t="n"/>
      <c r="R1054" s="1" t="n"/>
      <c r="S1054" s="1" t="n"/>
      <c r="T1054" s="1" t="n"/>
      <c r="U1054" s="1" t="n"/>
      <c r="V1054" s="1" t="n"/>
      <c r="W1054" s="1" t="n"/>
      <c r="X1054" s="1" t="n"/>
      <c r="Y1054" s="1" t="n"/>
      <c r="Z1054" s="1" t="n"/>
    </row>
    <row r="1055" ht="16" customHeight="1" s="137">
      <c r="A1055" s="1" t="n"/>
      <c r="B1055" s="1" t="n"/>
      <c r="C1055" s="1" t="n"/>
      <c r="D1055" s="1" t="n"/>
      <c r="E1055" s="1" t="n"/>
      <c r="F1055" s="1" t="n"/>
      <c r="G1055" s="1" t="n"/>
      <c r="H1055" s="1" t="n"/>
      <c r="I1055" s="1" t="n"/>
      <c r="J1055" s="1" t="n"/>
      <c r="K1055" s="1" t="n"/>
      <c r="L1055" s="1" t="n"/>
      <c r="M1055" s="1" t="n"/>
      <c r="N1055" s="1" t="n"/>
      <c r="O1055" s="1" t="n"/>
      <c r="P1055" s="1" t="n"/>
      <c r="Q1055" s="1" t="n"/>
      <c r="R1055" s="1" t="n"/>
      <c r="S1055" s="1" t="n"/>
      <c r="T1055" s="1" t="n"/>
      <c r="U1055" s="1" t="n"/>
      <c r="V1055" s="1" t="n"/>
      <c r="W1055" s="1" t="n"/>
      <c r="X1055" s="1" t="n"/>
      <c r="Y1055" s="1" t="n"/>
      <c r="Z1055" s="1" t="n"/>
    </row>
    <row r="1056" ht="16" customHeight="1" s="137">
      <c r="A1056" s="1" t="n"/>
      <c r="B1056" s="1" t="n"/>
      <c r="C1056" s="1" t="n"/>
      <c r="D1056" s="1" t="n"/>
      <c r="E1056" s="1" t="n"/>
      <c r="F1056" s="1" t="n"/>
      <c r="G1056" s="1" t="n"/>
      <c r="H1056" s="1" t="n"/>
      <c r="I1056" s="1" t="n"/>
      <c r="J1056" s="1" t="n"/>
      <c r="K1056" s="1" t="n"/>
      <c r="L1056" s="1" t="n"/>
      <c r="M1056" s="1" t="n"/>
      <c r="N1056" s="1" t="n"/>
      <c r="O1056" s="1" t="n"/>
      <c r="P1056" s="1" t="n"/>
      <c r="Q1056" s="1" t="n"/>
      <c r="R1056" s="1" t="n"/>
      <c r="S1056" s="1" t="n"/>
      <c r="T1056" s="1" t="n"/>
      <c r="U1056" s="1" t="n"/>
      <c r="V1056" s="1" t="n"/>
      <c r="W1056" s="1" t="n"/>
      <c r="X1056" s="1" t="n"/>
      <c r="Y1056" s="1" t="n"/>
      <c r="Z1056" s="1" t="n"/>
    </row>
    <row r="1057" ht="16" customHeight="1" s="137">
      <c r="A1057" s="1" t="n"/>
      <c r="B1057" s="1" t="n"/>
      <c r="C1057" s="1" t="n"/>
      <c r="D1057" s="1" t="n"/>
      <c r="E1057" s="1" t="n"/>
      <c r="F1057" s="1" t="n"/>
      <c r="G1057" s="1" t="n"/>
      <c r="H1057" s="1" t="n"/>
      <c r="I1057" s="1" t="n"/>
      <c r="J1057" s="1" t="n"/>
      <c r="K1057" s="1" t="n"/>
      <c r="L1057" s="1" t="n"/>
      <c r="M1057" s="1" t="n"/>
      <c r="N1057" s="1" t="n"/>
      <c r="O1057" s="1" t="n"/>
      <c r="P1057" s="1" t="n"/>
      <c r="Q1057" s="1" t="n"/>
      <c r="R1057" s="1" t="n"/>
      <c r="S1057" s="1" t="n"/>
      <c r="T1057" s="1" t="n"/>
      <c r="U1057" s="1" t="n"/>
      <c r="V1057" s="1" t="n"/>
      <c r="W1057" s="1" t="n"/>
      <c r="X1057" s="1" t="n"/>
      <c r="Y1057" s="1" t="n"/>
      <c r="Z1057" s="1" t="n"/>
    </row>
    <row r="1058" ht="16" customHeight="1" s="137">
      <c r="A1058" s="1" t="n"/>
      <c r="B1058" s="1" t="n"/>
      <c r="C1058" s="1" t="n"/>
      <c r="D1058" s="1" t="n"/>
      <c r="E1058" s="1" t="n"/>
      <c r="F1058" s="1" t="n"/>
      <c r="G1058" s="1" t="n"/>
      <c r="H1058" s="1" t="n"/>
      <c r="I1058" s="1" t="n"/>
      <c r="J1058" s="1" t="n"/>
      <c r="K1058" s="1" t="n"/>
      <c r="L1058" s="1" t="n"/>
      <c r="M1058" s="1" t="n"/>
      <c r="N1058" s="1" t="n"/>
      <c r="O1058" s="1" t="n"/>
      <c r="P1058" s="1" t="n"/>
      <c r="Q1058" s="1" t="n"/>
      <c r="R1058" s="1" t="n"/>
      <c r="S1058" s="1" t="n"/>
      <c r="T1058" s="1" t="n"/>
      <c r="U1058" s="1" t="n"/>
      <c r="V1058" s="1" t="n"/>
      <c r="W1058" s="1" t="n"/>
      <c r="X1058" s="1" t="n"/>
      <c r="Y1058" s="1" t="n"/>
      <c r="Z1058" s="1" t="n"/>
    </row>
    <row r="1059" ht="16" customHeight="1" s="137">
      <c r="A1059" s="1" t="n"/>
      <c r="B1059" s="1" t="n"/>
      <c r="C1059" s="1" t="n"/>
      <c r="D1059" s="1" t="n"/>
      <c r="E1059" s="1" t="n"/>
      <c r="F1059" s="1" t="n"/>
      <c r="G1059" s="1" t="n"/>
      <c r="H1059" s="1" t="n"/>
      <c r="I1059" s="1" t="n"/>
      <c r="J1059" s="1" t="n"/>
      <c r="K1059" s="1" t="n"/>
      <c r="L1059" s="1" t="n"/>
      <c r="M1059" s="1" t="n"/>
      <c r="N1059" s="1" t="n"/>
      <c r="O1059" s="1" t="n"/>
      <c r="P1059" s="1" t="n"/>
      <c r="Q1059" s="1" t="n"/>
      <c r="R1059" s="1" t="n"/>
      <c r="S1059" s="1" t="n"/>
      <c r="T1059" s="1" t="n"/>
      <c r="U1059" s="1" t="n"/>
      <c r="V1059" s="1" t="n"/>
      <c r="W1059" s="1" t="n"/>
      <c r="X1059" s="1" t="n"/>
      <c r="Y1059" s="1" t="n"/>
      <c r="Z1059" s="1" t="n"/>
    </row>
    <row r="1060" ht="16" customHeight="1" s="137">
      <c r="A1060" s="1" t="n"/>
      <c r="B1060" s="1" t="n"/>
      <c r="C1060" s="1" t="n"/>
      <c r="D1060" s="1" t="n"/>
      <c r="E1060" s="1" t="n"/>
      <c r="F1060" s="1" t="n"/>
      <c r="G1060" s="1" t="n"/>
      <c r="H1060" s="1" t="n"/>
      <c r="I1060" s="1" t="n"/>
      <c r="J1060" s="1" t="n"/>
      <c r="K1060" s="1" t="n"/>
      <c r="L1060" s="1" t="n"/>
      <c r="M1060" s="1" t="n"/>
      <c r="N1060" s="1" t="n"/>
      <c r="O1060" s="1" t="n"/>
      <c r="P1060" s="1" t="n"/>
      <c r="Q1060" s="1" t="n"/>
      <c r="R1060" s="1" t="n"/>
      <c r="S1060" s="1" t="n"/>
      <c r="T1060" s="1" t="n"/>
      <c r="U1060" s="1" t="n"/>
      <c r="V1060" s="1" t="n"/>
      <c r="W1060" s="1" t="n"/>
      <c r="X1060" s="1" t="n"/>
      <c r="Y1060" s="1" t="n"/>
      <c r="Z1060" s="1" t="n"/>
    </row>
    <row r="1061" ht="16" customHeight="1" s="137">
      <c r="A1061" s="1" t="n"/>
      <c r="B1061" s="1" t="n"/>
      <c r="C1061" s="1" t="n"/>
      <c r="D1061" s="1" t="n"/>
      <c r="E1061" s="1" t="n"/>
      <c r="F1061" s="1" t="n"/>
      <c r="G1061" s="1" t="n"/>
      <c r="H1061" s="1" t="n"/>
      <c r="I1061" s="1" t="n"/>
      <c r="J1061" s="1" t="n"/>
      <c r="K1061" s="1" t="n"/>
      <c r="L1061" s="1" t="n"/>
      <c r="M1061" s="1" t="n"/>
      <c r="N1061" s="1" t="n"/>
      <c r="O1061" s="1" t="n"/>
      <c r="P1061" s="1" t="n"/>
      <c r="Q1061" s="1" t="n"/>
      <c r="R1061" s="1" t="n"/>
      <c r="S1061" s="1" t="n"/>
      <c r="T1061" s="1" t="n"/>
      <c r="U1061" s="1" t="n"/>
      <c r="V1061" s="1" t="n"/>
      <c r="W1061" s="1" t="n"/>
      <c r="X1061" s="1" t="n"/>
      <c r="Y1061" s="1" t="n"/>
      <c r="Z1061" s="1" t="n"/>
    </row>
    <row r="1062" ht="16" customHeight="1" s="137">
      <c r="A1062" s="1" t="n"/>
      <c r="B1062" s="1" t="n"/>
      <c r="C1062" s="1" t="n"/>
      <c r="D1062" s="1" t="n"/>
      <c r="E1062" s="1" t="n"/>
      <c r="F1062" s="1" t="n"/>
      <c r="G1062" s="1" t="n"/>
      <c r="H1062" s="1" t="n"/>
      <c r="I1062" s="1" t="n"/>
      <c r="J1062" s="1" t="n"/>
      <c r="K1062" s="1" t="n"/>
      <c r="L1062" s="1" t="n"/>
      <c r="M1062" s="1" t="n"/>
      <c r="N1062" s="1" t="n"/>
      <c r="O1062" s="1" t="n"/>
      <c r="P1062" s="1" t="n"/>
      <c r="Q1062" s="1" t="n"/>
      <c r="R1062" s="1" t="n"/>
      <c r="S1062" s="1" t="n"/>
      <c r="T1062" s="1" t="n"/>
      <c r="U1062" s="1" t="n"/>
      <c r="V1062" s="1" t="n"/>
      <c r="W1062" s="1" t="n"/>
      <c r="X1062" s="1" t="n"/>
      <c r="Y1062" s="1" t="n"/>
      <c r="Z1062" s="1" t="n"/>
    </row>
    <row r="1063" ht="16" customHeight="1" s="137">
      <c r="A1063" s="1" t="n"/>
      <c r="B1063" s="1" t="n"/>
      <c r="C1063" s="1" t="n"/>
      <c r="D1063" s="1" t="n"/>
      <c r="E1063" s="1" t="n"/>
      <c r="F1063" s="1" t="n"/>
      <c r="G1063" s="1" t="n"/>
      <c r="H1063" s="1" t="n"/>
      <c r="I1063" s="1" t="n"/>
      <c r="J1063" s="1" t="n"/>
      <c r="K1063" s="1" t="n"/>
      <c r="L1063" s="1" t="n"/>
      <c r="M1063" s="1" t="n"/>
      <c r="N1063" s="1" t="n"/>
      <c r="O1063" s="1" t="n"/>
      <c r="P1063" s="1" t="n"/>
      <c r="Q1063" s="1" t="n"/>
      <c r="R1063" s="1" t="n"/>
      <c r="S1063" s="1" t="n"/>
      <c r="T1063" s="1" t="n"/>
      <c r="U1063" s="1" t="n"/>
      <c r="V1063" s="1" t="n"/>
      <c r="W1063" s="1" t="n"/>
      <c r="X1063" s="1" t="n"/>
      <c r="Y1063" s="1" t="n"/>
      <c r="Z1063" s="1" t="n"/>
    </row>
    <row r="1064" ht="16" customHeight="1" s="137">
      <c r="A1064" s="1" t="n"/>
      <c r="B1064" s="1" t="n"/>
      <c r="C1064" s="1" t="n"/>
      <c r="D1064" s="1" t="n"/>
      <c r="E1064" s="1" t="n"/>
      <c r="F1064" s="1" t="n"/>
      <c r="G1064" s="1" t="n"/>
      <c r="H1064" s="1" t="n"/>
      <c r="I1064" s="1" t="n"/>
      <c r="J1064" s="1" t="n"/>
      <c r="K1064" s="1" t="n"/>
      <c r="L1064" s="1" t="n"/>
      <c r="M1064" s="1" t="n"/>
      <c r="N1064" s="1" t="n"/>
      <c r="O1064" s="1" t="n"/>
      <c r="P1064" s="1" t="n"/>
      <c r="Q1064" s="1" t="n"/>
      <c r="R1064" s="1" t="n"/>
      <c r="S1064" s="1" t="n"/>
      <c r="T1064" s="1" t="n"/>
      <c r="U1064" s="1" t="n"/>
      <c r="V1064" s="1" t="n"/>
      <c r="W1064" s="1" t="n"/>
      <c r="X1064" s="1" t="n"/>
      <c r="Y1064" s="1" t="n"/>
      <c r="Z1064" s="1" t="n"/>
    </row>
  </sheetData>
  <mergeCells count="26">
    <mergeCell ref="B7:C7"/>
    <mergeCell ref="A4:G4"/>
    <mergeCell ref="D42:G42"/>
    <mergeCell ref="B12:C12"/>
    <mergeCell ref="A44:G44"/>
    <mergeCell ref="B11:C11"/>
    <mergeCell ref="D35:G35"/>
    <mergeCell ref="A39:G39"/>
    <mergeCell ref="A48:G48"/>
    <mergeCell ref="B8:C8"/>
    <mergeCell ref="A49:G49"/>
    <mergeCell ref="A45:G45"/>
    <mergeCell ref="B13:C13"/>
    <mergeCell ref="D40:G40"/>
    <mergeCell ref="A1:G1"/>
    <mergeCell ref="D36:G36"/>
    <mergeCell ref="B10:C10"/>
    <mergeCell ref="B9:C9"/>
    <mergeCell ref="A46:G46"/>
    <mergeCell ref="B6:C6"/>
    <mergeCell ref="D41:G41"/>
    <mergeCell ref="B5:C5"/>
    <mergeCell ref="A50:G50"/>
    <mergeCell ref="A2:G2"/>
    <mergeCell ref="D37:G37"/>
    <mergeCell ref="A47:G47"/>
  </mergeCells>
  <dataValidations count="15">
    <dataValidation sqref="C26" showDropDown="0" showInputMessage="0" showErrorMessage="0" allowBlank="1" type="list">
      <formula1>"20%,None"</formula1>
      <formula2>0</formula2>
    </dataValidation>
    <dataValidation sqref="C27" showDropDown="0" showInputMessage="0" showErrorMessage="0" allowBlank="1" type="list">
      <formula1>"5%,None"</formula1>
      <formula2>0</formula2>
    </dataValidation>
    <dataValidation sqref="C21" showDropDown="0" showInputMessage="0" showErrorMessage="0" allowBlank="1" type="list">
      <formula1>"0.00,0.05,0.07,0.08,0.10,0.12,0.15"</formula1>
      <formula2>0</formula2>
    </dataValidation>
    <dataValidation sqref="C25" showDropDown="0" showInputMessage="0" showErrorMessage="0" allowBlank="1" type="list">
      <formula1>"20%,21.5%,None"</formula1>
      <formula2>0</formula2>
    </dataValidation>
    <dataValidation sqref="B8" showDropDown="0" showInputMessage="0" showErrorMessage="0" allowBlank="1" type="list">
      <formula1>"Plated,Buffet,Family Style,Stations,Passed,Reception"</formula1>
      <formula2>0</formula2>
    </dataValidation>
    <dataValidation sqref="B9" showDropDown="0" showInputMessage="0" showErrorMessage="0" allowBlank="1" type="list">
      <formula1>"Beer and Wine,2 Glasses of Wine PP,Full Bar,On Consumption"</formula1>
      <formula2>0</formula2>
    </dataValidation>
    <dataValidation sqref="C22" showDropDown="0" showInputMessage="0" showErrorMessage="0" allowBlank="1" type="list">
      <formula1>"Yes,No"</formula1>
      <formula2>0</formula2>
    </dataValidation>
    <dataValidation sqref="B23:B33" showDropDown="0" showInputMessage="0" showErrorMessage="0" allowBlank="0" prompt="Select markup percentage" type="list">
      <formula1>"0.50,0.55,0.60,0.65,0.70,0.75,0.80,0.85,0.90,0.95,1.00,1.25,1.50,1.75,2.00"</formula1>
    </dataValidation>
    <dataValidation sqref="C40" showDropDown="0" showInputMessage="0" showErrorMessage="0" allowBlank="0" type="list">
      <formula1>"20%,21.5%,None"</formula1>
    </dataValidation>
    <dataValidation sqref="C41" showDropDown="0" showInputMessage="0" showErrorMessage="0" allowBlank="0" type="list">
      <formula1>"20%,None"</formula1>
    </dataValidation>
    <dataValidation sqref="C42" showDropDown="0" showInputMessage="0" showErrorMessage="0" allowBlank="0" type="list">
      <formula1>"5%,None"</formula1>
    </dataValidation>
    <dataValidation sqref="C37" showDropDown="0" showInputMessage="0" showErrorMessage="0" allowBlank="0" type="list">
      <formula1>"Yes,No"</formula1>
    </dataValidation>
    <dataValidation sqref="C36" showDropDown="0" showInputMessage="0" showErrorMessage="0" allowBlank="0" type="list">
      <formula1>"0.00,0.05,0.07,0.08,0.10,0.12,0.15"</formula1>
    </dataValidation>
    <dataValidation sqref="B16" showDropDown="0" showInputMessage="0" showErrorMessage="0" allowBlank="1" type="list">
      <formula1>LocationList</formula1>
    </dataValidation>
    <dataValidation sqref="C35" showDropDown="0" showInputMessage="0" showErrorMessage="0" allowBlank="0" type="list">
      <formula1>"0,0.035,0.04,0.045,0.05"</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Z1027"/>
  <sheetViews>
    <sheetView zoomScaleNormal="100" workbookViewId="0">
      <selection activeCell="G85" sqref="G85"/>
    </sheetView>
  </sheetViews>
  <sheetFormatPr baseColWidth="10" defaultColWidth="14.5" defaultRowHeight="15"/>
  <cols>
    <col width="36" customWidth="1" style="137" min="1" max="1"/>
    <col width="14" customWidth="1" style="137" min="2" max="3"/>
    <col width="16" customWidth="1" style="137" min="4" max="5"/>
    <col width="12" customWidth="1" style="137" min="6" max="6"/>
    <col width="42" customWidth="1" style="137" min="7" max="7"/>
    <col width="3" customWidth="1" style="137" min="8" max="8"/>
    <col width="30" customWidth="1" style="137" min="9" max="9"/>
    <col width="18" customWidth="1" style="137" min="10" max="10"/>
    <col width="14" customWidth="1" style="137" min="11" max="11"/>
    <col width="8.6640625" customWidth="1" style="137" min="12" max="26"/>
  </cols>
  <sheetData>
    <row r="1" ht="62.25" customHeight="1" s="137">
      <c r="A1" s="140" t="n"/>
      <c r="B1" s="134" t="n"/>
      <c r="C1" s="134" t="n"/>
      <c r="D1" s="134" t="n"/>
      <c r="E1" s="134" t="n"/>
      <c r="F1" s="134" t="n"/>
      <c r="G1" s="132" t="n"/>
      <c r="H1" s="1" t="n"/>
      <c r="I1" s="1" t="n"/>
      <c r="J1" s="1" t="n"/>
      <c r="K1" s="1" t="n"/>
      <c r="L1" s="1" t="n"/>
      <c r="M1" s="1" t="n"/>
      <c r="N1" s="1" t="n"/>
      <c r="O1" s="1" t="n"/>
      <c r="P1" s="1" t="n"/>
      <c r="Q1" s="1" t="n"/>
      <c r="R1" s="1" t="n"/>
      <c r="S1" s="1" t="n"/>
      <c r="T1" s="1" t="n"/>
      <c r="U1" s="1" t="n"/>
      <c r="V1" s="1" t="n"/>
      <c r="W1" s="1" t="n"/>
      <c r="X1" s="1" t="n"/>
      <c r="Y1" s="1" t="n"/>
      <c r="Z1" s="1" t="n"/>
    </row>
    <row r="2" ht="21.75" customHeight="1" s="137">
      <c r="A2" s="143" t="inlineStr">
        <is>
          <t>Restaurant / Venue Estimate</t>
        </is>
      </c>
      <c r="B2" s="134" t="n"/>
      <c r="C2" s="134" t="n"/>
      <c r="D2" s="134" t="n"/>
      <c r="E2" s="134" t="n"/>
      <c r="F2" s="134" t="n"/>
      <c r="G2" s="132" t="n"/>
      <c r="H2" s="215" t="inlineStr">
        <is>
          <t>Color</t>
        </is>
      </c>
      <c r="I2" s="216" t="inlineStr">
        <is>
          <t>Meaning</t>
        </is>
      </c>
      <c r="J2" s="1" t="n"/>
      <c r="K2" s="1" t="n"/>
      <c r="L2" s="1" t="n"/>
      <c r="M2" s="1" t="n"/>
      <c r="N2" s="1" t="n"/>
      <c r="O2" s="1" t="n"/>
      <c r="P2" s="1" t="n"/>
      <c r="Q2" s="1" t="n"/>
      <c r="R2" s="1" t="n"/>
      <c r="S2" s="1" t="n"/>
      <c r="T2" s="1" t="n"/>
      <c r="U2" s="1" t="n"/>
      <c r="V2" s="1" t="n"/>
      <c r="W2" s="1" t="n"/>
      <c r="X2" s="1" t="n"/>
      <c r="Y2" s="1" t="n"/>
      <c r="Z2" s="1" t="n"/>
    </row>
    <row r="3" ht="6" customHeight="1" s="137">
      <c r="A3" s="1" t="n"/>
      <c r="B3" s="1" t="n"/>
      <c r="C3" s="1" t="n"/>
      <c r="D3" s="1" t="n"/>
      <c r="E3" s="1" t="n"/>
      <c r="F3" s="1" t="n"/>
      <c r="G3" s="1" t="n"/>
      <c r="H3" s="219" t="n"/>
      <c r="I3" s="218" t="inlineStr">
        <is>
          <t>Dropdown — click to select</t>
        </is>
      </c>
      <c r="J3" s="1" t="n"/>
      <c r="K3" s="1" t="n"/>
      <c r="L3" s="1" t="n"/>
      <c r="M3" s="1" t="n"/>
      <c r="N3" s="1" t="n"/>
      <c r="O3" s="1" t="n"/>
      <c r="P3" s="1" t="n"/>
      <c r="Q3" s="1" t="n"/>
      <c r="R3" s="1" t="n"/>
      <c r="S3" s="1" t="n"/>
      <c r="T3" s="1" t="n"/>
      <c r="U3" s="1" t="n"/>
      <c r="V3" s="1" t="n"/>
      <c r="W3" s="1" t="n"/>
      <c r="X3" s="1" t="n"/>
      <c r="Y3" s="1" t="n"/>
      <c r="Z3" s="1" t="n"/>
    </row>
    <row r="4" ht="27.75" customHeight="1" s="137">
      <c r="A4" s="133" t="inlineStr">
        <is>
          <t>VENUE DETAILS</t>
        </is>
      </c>
      <c r="B4" s="134" t="n"/>
      <c r="C4" s="134" t="n"/>
      <c r="D4" s="134" t="n"/>
      <c r="E4" s="134" t="n"/>
      <c r="F4" s="134" t="n"/>
      <c r="G4" s="132" t="n"/>
      <c r="H4" s="219" t="n"/>
      <c r="I4" s="228" t="inlineStr">
        <is>
          <t>Manual entry or formula</t>
        </is>
      </c>
      <c r="J4" s="239" t="n"/>
      <c r="K4" s="221" t="n"/>
      <c r="L4" s="1" t="n"/>
      <c r="M4" s="1" t="n"/>
      <c r="N4" s="1" t="n"/>
      <c r="O4" s="1" t="n"/>
      <c r="P4" s="1" t="n"/>
      <c r="Q4" s="1" t="n"/>
      <c r="R4" s="1" t="n"/>
      <c r="S4" s="1" t="n"/>
      <c r="T4" s="1" t="n"/>
      <c r="U4" s="1" t="n"/>
      <c r="V4" s="1" t="n"/>
      <c r="W4" s="1" t="n"/>
      <c r="X4" s="1" t="n"/>
      <c r="Y4" s="1" t="n"/>
      <c r="Z4" s="1" t="n"/>
    </row>
    <row r="5" ht="27.75" customHeight="1" s="137">
      <c r="A5" s="3" t="inlineStr">
        <is>
          <t>Venue / Restaurant Name:</t>
        </is>
      </c>
      <c r="B5" s="139" t="n"/>
      <c r="C5" s="132" t="n"/>
      <c r="D5" s="5" t="n"/>
      <c r="E5" s="5" t="n"/>
      <c r="F5" s="5" t="n"/>
      <c r="G5" s="5" t="n"/>
      <c r="H5" s="1" t="n"/>
      <c r="I5" s="146" t="inlineStr">
        <is>
          <t>Copy &amp; paste into Canva</t>
        </is>
      </c>
      <c r="J5" s="134" t="n"/>
      <c r="K5" s="132" t="n"/>
      <c r="L5" s="1" t="n"/>
      <c r="M5" s="1" t="n"/>
      <c r="N5" s="1" t="n"/>
      <c r="O5" s="1" t="n"/>
      <c r="P5" s="1" t="n"/>
      <c r="Q5" s="1" t="n"/>
      <c r="R5" s="1" t="n"/>
      <c r="S5" s="1" t="n"/>
      <c r="T5" s="1" t="n"/>
      <c r="U5" s="1" t="n"/>
      <c r="V5" s="1" t="n"/>
      <c r="W5" s="1" t="n"/>
      <c r="X5" s="1" t="n"/>
      <c r="Y5" s="1" t="n"/>
      <c r="Z5" s="1" t="n"/>
    </row>
    <row r="6" ht="15" customHeight="1" s="137">
      <c r="A6" s="3" t="inlineStr">
        <is>
          <t>Room / Space:</t>
        </is>
      </c>
      <c r="B6" s="139" t="n"/>
      <c r="C6" s="132" t="n"/>
      <c r="D6" s="5" t="n"/>
      <c r="E6" s="5" t="n"/>
      <c r="F6" s="5" t="n"/>
      <c r="G6" s="5" t="n"/>
      <c r="H6" s="1" t="n"/>
      <c r="I6" s="16" t="n"/>
      <c r="J6" s="16" t="n"/>
      <c r="K6" s="16" t="n"/>
      <c r="L6" s="1" t="n"/>
      <c r="M6" s="1" t="n"/>
      <c r="N6" s="1" t="n"/>
      <c r="O6" s="1" t="n"/>
      <c r="P6" s="1" t="n"/>
      <c r="Q6" s="1" t="n"/>
      <c r="R6" s="1" t="n"/>
      <c r="S6" s="1" t="n"/>
      <c r="T6" s="1" t="n"/>
      <c r="U6" s="1" t="n"/>
      <c r="V6" s="1" t="n"/>
      <c r="W6" s="1" t="n"/>
      <c r="X6" s="1" t="n"/>
      <c r="Y6" s="1" t="n"/>
      <c r="Z6" s="1" t="n"/>
    </row>
    <row r="7" ht="27.75" customHeight="1" s="137">
      <c r="A7" s="3" t="inlineStr">
        <is>
          <t>F&amp;B Minimum:</t>
        </is>
      </c>
      <c r="B7" s="160" t="n"/>
      <c r="C7" s="132" t="n"/>
      <c r="D7" s="5" t="n"/>
      <c r="E7" s="5" t="n"/>
      <c r="F7" s="5" t="n"/>
      <c r="G7" s="5" t="n"/>
      <c r="H7" s="1" t="n"/>
      <c r="I7" s="150" t="inlineStr">
        <is>
          <t>PRIVATE DINING ESTIMATE</t>
        </is>
      </c>
      <c r="J7" s="134" t="n"/>
      <c r="K7" s="132" t="n"/>
      <c r="L7" s="1" t="n"/>
      <c r="M7" s="1" t="n"/>
      <c r="N7" s="1" t="n"/>
      <c r="O7" s="1" t="n"/>
      <c r="P7" s="1" t="n"/>
      <c r="Q7" s="1" t="n"/>
      <c r="R7" s="1" t="n"/>
      <c r="S7" s="1" t="n"/>
      <c r="T7" s="1" t="n"/>
      <c r="U7" s="1" t="n"/>
      <c r="V7" s="1" t="n"/>
      <c r="W7" s="1" t="n"/>
      <c r="X7" s="1" t="n"/>
      <c r="Y7" s="1" t="n"/>
      <c r="Z7" s="1" t="n"/>
    </row>
    <row r="8" ht="27.75" customHeight="1" s="137">
      <c r="A8" s="3" t="inlineStr">
        <is>
          <t>Is Venue Rental Taxable?</t>
        </is>
      </c>
      <c r="B8" s="220" t="inlineStr">
        <is>
          <t>Yes</t>
        </is>
      </c>
      <c r="C8" s="132" t="n"/>
      <c r="D8" s="5" t="n"/>
      <c r="E8" s="5" t="n"/>
      <c r="F8" s="5" t="n"/>
      <c r="G8" s="5" t="n"/>
      <c r="H8" s="1" t="n"/>
      <c r="I8" s="148">
        <f>'Client Setup'!B5</f>
        <v/>
      </c>
      <c r="J8" s="132" t="n"/>
      <c r="K8" s="19">
        <f>B5</f>
        <v/>
      </c>
      <c r="L8" s="1" t="n"/>
      <c r="M8" s="1" t="n"/>
      <c r="N8" s="1" t="n"/>
      <c r="O8" s="1" t="n"/>
      <c r="P8" s="1" t="n"/>
      <c r="Q8" s="1" t="n"/>
      <c r="R8" s="1" t="n"/>
      <c r="S8" s="1" t="n"/>
      <c r="T8" s="1" t="n"/>
      <c r="U8" s="1" t="n"/>
      <c r="V8" s="1" t="n"/>
      <c r="W8" s="1" t="n"/>
      <c r="X8" s="1" t="n"/>
      <c r="Y8" s="1" t="n"/>
      <c r="Z8" s="1" t="n"/>
    </row>
    <row r="9" ht="21.75" customHeight="1" s="137">
      <c r="A9" s="146" t="inlineStr">
        <is>
          <t>Client:</t>
        </is>
      </c>
      <c r="B9" s="145">
        <f>'Client Setup'!B5</f>
        <v/>
      </c>
      <c r="C9" s="132" t="n"/>
      <c r="D9" s="5" t="n"/>
      <c r="E9" s="5" t="n"/>
      <c r="F9" s="5" t="n"/>
      <c r="G9" s="5" t="n"/>
      <c r="H9" s="1" t="n"/>
      <c r="I9" s="149">
        <f>TEXT('Client Setup'!B6,"MMMM D, YYYY")</f>
        <v/>
      </c>
      <c r="J9" s="132" t="n"/>
      <c r="K9" s="19">
        <f>'Client Setup'!B7&amp;" Guests"</f>
        <v/>
      </c>
      <c r="L9" s="1" t="n"/>
      <c r="M9" s="1" t="n"/>
      <c r="N9" s="1" t="n"/>
      <c r="O9" s="1" t="n"/>
      <c r="P9" s="1" t="n"/>
      <c r="Q9" s="1" t="n"/>
      <c r="R9" s="1" t="n"/>
      <c r="S9" s="1" t="n"/>
      <c r="T9" s="1" t="n"/>
      <c r="U9" s="1" t="n"/>
      <c r="V9" s="1" t="n"/>
      <c r="W9" s="1" t="n"/>
      <c r="X9" s="1" t="n"/>
      <c r="Y9" s="1" t="n"/>
      <c r="Z9" s="1" t="n"/>
    </row>
    <row r="10" ht="6" customHeight="1" s="137">
      <c r="A10" s="146" t="inlineStr">
        <is>
          <t>Guest Count:</t>
        </is>
      </c>
      <c r="B10" s="147">
        <f>'Client Setup'!B7</f>
        <v/>
      </c>
      <c r="C10" s="132" t="n"/>
      <c r="D10" s="5" t="n"/>
      <c r="E10" s="5" t="n"/>
      <c r="F10" s="5" t="n"/>
      <c r="G10" s="5" t="n"/>
      <c r="H10" s="1" t="n"/>
      <c r="I10" s="16" t="n"/>
      <c r="J10" s="16" t="n"/>
      <c r="K10" s="16" t="n"/>
      <c r="L10" s="1" t="n"/>
      <c r="M10" s="1" t="n"/>
      <c r="N10" s="1" t="n"/>
      <c r="O10" s="1" t="n"/>
      <c r="P10" s="1" t="n"/>
      <c r="Q10" s="1" t="n"/>
      <c r="R10" s="1" t="n"/>
      <c r="S10" s="1" t="n"/>
      <c r="T10" s="1" t="n"/>
      <c r="U10" s="1" t="n"/>
      <c r="V10" s="1" t="n"/>
      <c r="W10" s="1" t="n"/>
      <c r="X10" s="1" t="n"/>
      <c r="Y10" s="1" t="n"/>
      <c r="Z10" s="1" t="n"/>
    </row>
    <row r="11" ht="21.75" customHeight="1" s="137">
      <c r="A11" s="146" t="inlineStr">
        <is>
          <t>Location:</t>
        </is>
      </c>
      <c r="B11" s="145">
        <f>'Client Setup'!B16</f>
        <v/>
      </c>
      <c r="C11" s="132" t="n"/>
      <c r="D11" s="5" t="n"/>
      <c r="E11" s="5" t="n"/>
      <c r="F11" s="5" t="n"/>
      <c r="G11" s="5" t="n"/>
      <c r="H11" s="1" t="n"/>
      <c r="I11" s="21" t="inlineStr">
        <is>
          <t>Item</t>
        </is>
      </c>
      <c r="J11" s="22" t="inlineStr">
        <is>
          <t>Amount</t>
        </is>
      </c>
      <c r="K11" s="22" t="inlineStr">
        <is>
          <t>PP Price</t>
        </is>
      </c>
      <c r="L11" s="1" t="n"/>
      <c r="M11" s="1" t="n"/>
      <c r="N11" s="1" t="n"/>
      <c r="O11" s="1" t="n"/>
      <c r="P11" s="1" t="n"/>
      <c r="Q11" s="1" t="n"/>
      <c r="R11" s="1" t="n"/>
      <c r="S11" s="1" t="n"/>
      <c r="T11" s="1" t="n"/>
      <c r="U11" s="1" t="n"/>
      <c r="V11" s="1" t="n"/>
      <c r="W11" s="1" t="n"/>
      <c r="X11" s="1" t="n"/>
      <c r="Y11" s="1" t="n"/>
      <c r="Z11" s="1" t="n"/>
    </row>
    <row r="12" ht="25.5" customHeight="1" s="137">
      <c r="A12" s="240" t="inlineStr">
        <is>
          <t>Company:</t>
        </is>
      </c>
      <c r="B12" s="246">
        <f>'Client Setup'!B11</f>
        <v/>
      </c>
      <c r="C12" s="67" t="n"/>
      <c r="D12" s="67" t="n"/>
      <c r="E12" s="67" t="n"/>
      <c r="F12" s="67" t="n"/>
      <c r="G12" s="67" t="n"/>
    </row>
    <row r="13" ht="25.5" customHeight="1" s="137">
      <c r="A13" s="240" t="inlineStr">
        <is>
          <t>Program:</t>
        </is>
      </c>
      <c r="B13" s="246">
        <f>'Client Setup'!B12</f>
        <v/>
      </c>
      <c r="C13" s="67" t="n"/>
      <c r="D13" s="67" t="n"/>
      <c r="E13" s="67" t="n"/>
      <c r="F13" s="67" t="n"/>
      <c r="G13" s="67" t="n"/>
    </row>
    <row r="14" ht="25.5" customHeight="1" s="137">
      <c r="A14" s="240" t="inlineStr">
        <is>
          <t>Client Hotel:</t>
        </is>
      </c>
      <c r="B14" s="246">
        <f>'Client Setup'!B13</f>
        <v/>
      </c>
      <c r="C14" s="222" t="n"/>
      <c r="D14" s="67" t="n"/>
      <c r="E14" s="67" t="n"/>
      <c r="F14" s="67" t="n"/>
      <c r="G14" s="67" t="n"/>
    </row>
    <row r="15" ht="25.5" customHeight="1" s="137">
      <c r="A15" s="240" t="inlineStr">
        <is>
          <t>Event Time:</t>
        </is>
      </c>
      <c r="B15" s="241">
        <f>'Client Setup'!B10</f>
        <v/>
      </c>
      <c r="C15" s="229" t="n"/>
      <c r="D15" s="89" t="n"/>
      <c r="E15" s="89" t="n"/>
      <c r="F15" s="89" t="n"/>
      <c r="G15" s="89" t="n"/>
      <c r="H15" s="1" t="n"/>
      <c r="I15" s="149" t="inlineStr">
        <is>
          <t>Menu</t>
        </is>
      </c>
      <c r="J15" s="161">
        <f>ROUNDUP((E24+E26)/50,0)*50</f>
        <v/>
      </c>
      <c r="K15" s="162">
        <f>IF('Client Setup'!B7&gt;0,CEILING(J12/'Client Setup'!B7,1),0)</f>
        <v/>
      </c>
      <c r="L15" s="1" t="n"/>
      <c r="M15" s="1" t="n"/>
      <c r="N15" s="1" t="n"/>
      <c r="O15" s="1" t="n"/>
      <c r="P15" s="1" t="n"/>
      <c r="Q15" s="1" t="n"/>
      <c r="R15" s="1" t="n"/>
      <c r="S15" s="1" t="n"/>
      <c r="T15" s="1" t="n"/>
      <c r="U15" s="1" t="n"/>
      <c r="V15" s="1" t="n"/>
      <c r="W15" s="1" t="n"/>
      <c r="X15" s="1" t="n"/>
      <c r="Y15" s="1" t="n"/>
      <c r="Z15" s="1" t="n"/>
    </row>
    <row r="16" ht="25.5" customHeight="1" s="137">
      <c r="A16" s="133" t="inlineStr">
        <is>
          <t>VENUE FEE OVERRIDES (defaults from Client Setup — change yellow fields to override)</t>
        </is>
      </c>
      <c r="C16" s="222" t="n"/>
      <c r="H16" s="1" t="n"/>
      <c r="I16" s="149" t="inlineStr">
        <is>
          <t>Bar Package</t>
        </is>
      </c>
      <c r="J16" s="161">
        <f>ROUNDUP(E25/50,0)*50</f>
        <v/>
      </c>
      <c r="K16" s="162">
        <f>IF('Client Setup'!B7&gt;0,CEILING(J13/'Client Setup'!B7,1),0)</f>
        <v/>
      </c>
      <c r="L16" s="1" t="n"/>
      <c r="M16" s="1" t="n"/>
      <c r="N16" s="1" t="n"/>
      <c r="O16" s="1" t="n"/>
      <c r="P16" s="1" t="n"/>
      <c r="Q16" s="1" t="n"/>
      <c r="R16" s="1" t="n"/>
      <c r="S16" s="1" t="n"/>
      <c r="T16" s="1" t="n"/>
      <c r="U16" s="1" t="n"/>
      <c r="V16" s="1" t="n"/>
      <c r="W16" s="1" t="n"/>
      <c r="X16" s="1" t="n"/>
      <c r="Y16" s="1" t="n"/>
      <c r="Z16" s="1" t="n"/>
    </row>
    <row r="17" ht="25.5" customHeight="1" s="137">
      <c r="A17" s="8" t="inlineStr">
        <is>
          <t>Service Charge:</t>
        </is>
      </c>
      <c r="B17" s="5" t="n"/>
      <c r="C17" s="25">
        <f>'Client Setup'!C40</f>
        <v/>
      </c>
      <c r="D17" s="7" t="inlineStr">
        <is>
          <t>20%, 21.5%, or None</t>
        </is>
      </c>
      <c r="H17" s="1" t="n"/>
      <c r="I17" s="149" t="inlineStr">
        <is>
          <t>Staffing</t>
        </is>
      </c>
      <c r="J17" s="161">
        <f>ROUNDUP((E28+SUM(E38:E40))/50,0)*50</f>
        <v/>
      </c>
      <c r="K17" s="162">
        <f>IF('Client Setup'!B7&gt;0,CEILING(J14/'Client Setup'!B7,1),0)</f>
        <v/>
      </c>
      <c r="L17" s="1" t="n"/>
      <c r="M17" s="1" t="n"/>
      <c r="N17" s="1" t="n"/>
      <c r="O17" s="1" t="n"/>
      <c r="P17" s="1" t="n"/>
      <c r="Q17" s="1" t="n"/>
      <c r="R17" s="1" t="n"/>
      <c r="S17" s="1" t="n"/>
      <c r="T17" s="1" t="n"/>
      <c r="U17" s="1" t="n"/>
      <c r="V17" s="1" t="n"/>
      <c r="W17" s="1" t="n"/>
      <c r="X17" s="1" t="n"/>
      <c r="Y17" s="1" t="n"/>
      <c r="Z17" s="1" t="n"/>
    </row>
    <row r="18" ht="25.5" customHeight="1" s="137">
      <c r="A18" s="8" t="inlineStr">
        <is>
          <t>Gratuity:</t>
        </is>
      </c>
      <c r="B18" s="5" t="n"/>
      <c r="C18" s="25">
        <f>'Client Setup'!C41</f>
        <v/>
      </c>
      <c r="D18" s="7" t="inlineStr">
        <is>
          <t>20% or None</t>
        </is>
      </c>
      <c r="H18" s="1" t="n"/>
      <c r="I18" s="149" t="inlineStr">
        <is>
          <t>Equipment</t>
        </is>
      </c>
      <c r="J18" s="161">
        <f>ROUNDUP((E29+E30+E31)/50,0)*50</f>
        <v/>
      </c>
      <c r="K18" s="162">
        <f>IF('Client Setup'!B7&gt;0,CEILING(J15/'Client Setup'!B7,1),0)</f>
        <v/>
      </c>
      <c r="L18" s="1" t="n"/>
      <c r="M18" s="1" t="n"/>
      <c r="N18" s="1" t="n"/>
      <c r="O18" s="1" t="n"/>
      <c r="P18" s="1" t="n"/>
      <c r="Q18" s="1" t="n"/>
      <c r="R18" s="1" t="n"/>
      <c r="S18" s="1" t="n"/>
      <c r="T18" s="1" t="n"/>
      <c r="U18" s="1" t="n"/>
      <c r="V18" s="1" t="n"/>
      <c r="W18" s="1" t="n"/>
      <c r="X18" s="1" t="n"/>
      <c r="Y18" s="1" t="n"/>
      <c r="Z18" s="1" t="n"/>
    </row>
    <row r="19" ht="25.5" customHeight="1" s="137">
      <c r="A19" s="8" t="inlineStr">
        <is>
          <t>Admin Fee:</t>
        </is>
      </c>
      <c r="B19" s="5" t="n"/>
      <c r="C19" s="25">
        <f>'Client Setup'!C42</f>
        <v/>
      </c>
      <c r="D19" s="7" t="inlineStr">
        <is>
          <t>5% or None</t>
        </is>
      </c>
      <c r="H19" s="1" t="n"/>
      <c r="I19" s="149" t="inlineStr">
        <is>
          <t>Venue Rental</t>
        </is>
      </c>
      <c r="J19" s="161">
        <f>ROUNDUP((E33+E34+E35)/50,0)*50</f>
        <v/>
      </c>
      <c r="K19" s="162">
        <f>IF('Client Setup'!B7&gt;0,CEILING(J16/'Client Setup'!B7,1),0)</f>
        <v/>
      </c>
      <c r="L19" s="1" t="n"/>
      <c r="M19" s="1" t="n"/>
      <c r="N19" s="1" t="n"/>
      <c r="O19" s="1" t="n"/>
      <c r="P19" s="1" t="n"/>
      <c r="Q19" s="1" t="n"/>
      <c r="R19" s="1" t="n"/>
      <c r="S19" s="1" t="n"/>
      <c r="T19" s="1" t="n"/>
      <c r="U19" s="1" t="n"/>
      <c r="V19" s="1" t="n"/>
      <c r="W19" s="1" t="n"/>
      <c r="X19" s="1" t="n"/>
      <c r="Y19" s="1" t="n"/>
      <c r="Z19" s="1" t="n"/>
    </row>
    <row r="20" ht="30" customHeight="1" s="137">
      <c r="A20" s="1" t="n"/>
      <c r="B20" s="1" t="n"/>
      <c r="C20" s="1" t="n"/>
      <c r="D20" s="1" t="n"/>
      <c r="E20" s="1" t="n"/>
      <c r="F20" s="1" t="n"/>
      <c r="G20" s="1" t="n"/>
      <c r="H20" s="1" t="n"/>
      <c r="I20" s="149" t="inlineStr">
        <is>
          <t>Production Fee</t>
        </is>
      </c>
      <c r="J20" s="161">
        <f>ROUNDUP((E51+E52+E53+E55+E56)/100,0)*100</f>
        <v/>
      </c>
      <c r="K20" s="162">
        <f>IF('Client Setup'!B7&gt;0,CEILING(J17/'Client Setup'!B7,1),0)</f>
        <v/>
      </c>
      <c r="L20" s="1" t="n"/>
      <c r="M20" s="1" t="n"/>
      <c r="N20" s="1" t="n"/>
      <c r="O20" s="1" t="n"/>
      <c r="P20" s="1" t="n"/>
      <c r="Q20" s="1" t="n"/>
      <c r="R20" s="1" t="n"/>
      <c r="S20" s="1" t="n"/>
      <c r="T20" s="1" t="n"/>
      <c r="U20" s="1" t="n"/>
      <c r="V20" s="1" t="n"/>
      <c r="W20" s="1" t="n"/>
      <c r="X20" s="1" t="n"/>
      <c r="Y20" s="1" t="n"/>
      <c r="Z20" s="1" t="n"/>
    </row>
    <row r="21" ht="25.5" customHeight="1" s="137">
      <c r="A21" s="133" t="inlineStr">
        <is>
          <t>COST BUILD</t>
        </is>
      </c>
      <c r="H21" s="1" t="n"/>
      <c r="I21" s="149" t="inlineStr">
        <is>
          <t>Tax</t>
        </is>
      </c>
      <c r="J21" s="161">
        <f>ROUNDUP((E44+E45+E47+E50)/50,0)*50</f>
        <v/>
      </c>
      <c r="K21" s="162">
        <f>IF('Client Setup'!B7&gt;0,CEILING(J18/'Client Setup'!B7,1),0)</f>
        <v/>
      </c>
      <c r="L21" s="1" t="n"/>
      <c r="M21" s="1" t="n"/>
      <c r="N21" s="1" t="n"/>
      <c r="O21" s="1" t="n"/>
      <c r="P21" s="1" t="n"/>
      <c r="Q21" s="1" t="n"/>
      <c r="R21" s="1" t="n"/>
      <c r="S21" s="1" t="n"/>
      <c r="T21" s="1" t="n"/>
      <c r="U21" s="1" t="n"/>
      <c r="V21" s="1" t="n"/>
      <c r="W21" s="1" t="n"/>
      <c r="X21" s="1" t="n"/>
      <c r="Y21" s="1" t="n"/>
      <c r="Z21" s="1" t="n"/>
    </row>
    <row r="22" ht="25.5" customHeight="1" s="137">
      <c r="A22" s="22" t="inlineStr">
        <is>
          <t>Line Item</t>
        </is>
      </c>
      <c r="B22" s="22" t="inlineStr">
        <is>
          <t>Qty</t>
        </is>
      </c>
      <c r="C22" s="22" t="inlineStr">
        <is>
          <t>Unit Price</t>
        </is>
      </c>
      <c r="D22" s="22" t="inlineStr">
        <is>
          <t>Our Cost</t>
        </is>
      </c>
      <c r="E22" s="22" t="inlineStr">
        <is>
          <t>Client Cost</t>
        </is>
      </c>
      <c r="F22" s="22" t="inlineStr">
        <is>
          <t>Tax Rate</t>
        </is>
      </c>
      <c r="G22" s="68" t="inlineStr">
        <is>
          <t>Category</t>
        </is>
      </c>
      <c r="H22" s="1" t="n"/>
      <c r="I22" s="26" t="n"/>
      <c r="J22" s="26" t="n"/>
      <c r="K22" s="26" t="n"/>
      <c r="L22" s="1" t="n"/>
      <c r="M22" s="1" t="n"/>
      <c r="N22" s="1" t="n"/>
      <c r="O22" s="1" t="n"/>
      <c r="P22" s="1" t="n"/>
      <c r="Q22" s="1" t="n"/>
      <c r="R22" s="1" t="n"/>
      <c r="S22" s="1" t="n"/>
      <c r="T22" s="1" t="n"/>
      <c r="U22" s="1" t="n"/>
      <c r="V22" s="1" t="n"/>
      <c r="W22" s="1" t="n"/>
      <c r="X22" s="1" t="n"/>
      <c r="Y22" s="1" t="n"/>
      <c r="Z22" s="1" t="n"/>
    </row>
    <row r="23" ht="25.5" customHeight="1" s="137">
      <c r="A23" s="27" t="inlineStr">
        <is>
          <t>FOOD &amp; BEVERAGE  (F&amp;B Tax Applied)</t>
        </is>
      </c>
      <c r="I23" s="148" t="inlineStr">
        <is>
          <t>TOTAL ESTIMATE</t>
        </is>
      </c>
      <c r="J23" s="163">
        <f>SUM(J12:J18)</f>
        <v/>
      </c>
      <c r="K23" s="163">
        <f>IF('Client Setup'!B7&gt;0,CEILING(J20/'Client Setup'!B7,1),0)</f>
        <v/>
      </c>
      <c r="L23" s="1" t="n"/>
      <c r="M23" s="1" t="n"/>
      <c r="N23" s="1" t="n"/>
      <c r="O23" s="1" t="n"/>
      <c r="P23" s="1" t="n"/>
      <c r="Q23" s="1" t="n"/>
      <c r="R23" s="1" t="n"/>
      <c r="S23" s="1" t="n"/>
      <c r="T23" s="1" t="n"/>
      <c r="U23" s="1" t="n"/>
      <c r="V23" s="1" t="n"/>
      <c r="W23" s="1" t="n"/>
      <c r="X23" s="1" t="n"/>
      <c r="Y23" s="1" t="n"/>
      <c r="Z23" s="1" t="n"/>
    </row>
    <row r="24" ht="27.75" customHeight="1" s="137">
      <c r="A24" s="29" t="inlineStr">
        <is>
          <t>Per Person Food</t>
        </is>
      </c>
      <c r="B24" s="30">
        <f>'Client Setup'!B7</f>
        <v/>
      </c>
      <c r="C24" s="160" t="n"/>
      <c r="D24" s="164">
        <f>B24*C24</f>
        <v/>
      </c>
      <c r="E24" s="164">
        <f>IFERROR(D24*(1+VLOOKUP(G24,CategoryTable,2,FALSE)),0)</f>
        <v/>
      </c>
      <c r="F24" s="32">
        <f>'Client Setup'!B17</f>
        <v/>
      </c>
      <c r="G24" s="230" t="inlineStr">
        <is>
          <t>Catering &amp; F&amp;B</t>
        </is>
      </c>
      <c r="H24" s="1" t="n"/>
      <c r="I24" s="146" t="inlineStr">
        <is>
          <t>Guest Count</t>
        </is>
      </c>
      <c r="J24" s="34">
        <f>'Client Setup'!B7</f>
        <v/>
      </c>
      <c r="K24" s="35" t="n"/>
      <c r="L24" s="1" t="n"/>
      <c r="M24" s="1" t="n"/>
      <c r="N24" s="1" t="n"/>
      <c r="O24" s="1" t="n"/>
      <c r="P24" s="1" t="n"/>
      <c r="Q24" s="1" t="n"/>
      <c r="R24" s="1" t="n"/>
      <c r="S24" s="1" t="n"/>
      <c r="T24" s="1" t="n"/>
      <c r="U24" s="1" t="n"/>
      <c r="V24" s="1" t="n"/>
      <c r="W24" s="1" t="n"/>
      <c r="X24" s="1" t="n"/>
      <c r="Y24" s="1" t="n"/>
      <c r="Z24" s="1" t="n"/>
    </row>
    <row r="25" ht="25.5" customHeight="1" s="137">
      <c r="A25" s="29" t="inlineStr">
        <is>
          <t>Bar Package</t>
        </is>
      </c>
      <c r="B25" s="30">
        <f>'Client Setup'!B7</f>
        <v/>
      </c>
      <c r="C25" s="160" t="n"/>
      <c r="D25" s="164">
        <f>B25*C25</f>
        <v/>
      </c>
      <c r="E25" s="164">
        <f>IFERROR(D25*(1+VLOOKUP(G25,CategoryTable,2,FALSE)),0)</f>
        <v/>
      </c>
      <c r="F25" s="32">
        <f>'Client Setup'!B18</f>
        <v/>
      </c>
      <c r="G25" s="230" t="inlineStr">
        <is>
          <t>Catering &amp; F&amp;B</t>
        </is>
      </c>
      <c r="H25" s="1" t="n"/>
      <c r="I25" s="36" t="n"/>
      <c r="J25" s="36" t="n"/>
      <c r="K25" s="36" t="n"/>
      <c r="L25" s="1" t="n"/>
      <c r="M25" s="1" t="n"/>
      <c r="N25" s="1" t="n"/>
      <c r="O25" s="1" t="n"/>
      <c r="P25" s="1" t="n"/>
      <c r="Q25" s="1" t="n"/>
      <c r="R25" s="1" t="n"/>
      <c r="S25" s="1" t="n"/>
      <c r="T25" s="1" t="n"/>
      <c r="U25" s="1" t="n"/>
      <c r="V25" s="1" t="n"/>
      <c r="W25" s="1" t="n"/>
      <c r="X25" s="1" t="n"/>
      <c r="Y25" s="1" t="n"/>
      <c r="Z25" s="1" t="n"/>
    </row>
    <row r="26" ht="25.5" customHeight="1" s="137">
      <c r="A26" s="29" t="inlineStr">
        <is>
          <t>NA Beverages</t>
        </is>
      </c>
      <c r="B26" s="131">
        <f>'Client Setup'!B7</f>
        <v/>
      </c>
      <c r="C26" s="160" t="n"/>
      <c r="D26" s="164">
        <f>B26*C26</f>
        <v/>
      </c>
      <c r="E26" s="164">
        <f>IFERROR(D26*(1+VLOOKUP(G26,CategoryTable,2,FALSE)),0)</f>
        <v/>
      </c>
      <c r="F26" s="32">
        <f>'Client Setup'!B17</f>
        <v/>
      </c>
      <c r="G26" s="230" t="inlineStr">
        <is>
          <t>Catering &amp; F&amp;B</t>
        </is>
      </c>
      <c r="H26" s="1" t="n"/>
      <c r="I26" s="16" t="n"/>
      <c r="J26" s="16" t="n"/>
      <c r="K26" s="16" t="n"/>
      <c r="L26" s="1" t="n"/>
      <c r="M26" s="1" t="n"/>
      <c r="N26" s="1" t="n"/>
      <c r="O26" s="1" t="n"/>
      <c r="P26" s="1" t="n"/>
      <c r="Q26" s="1" t="n"/>
      <c r="R26" s="1" t="n"/>
      <c r="S26" s="1" t="n"/>
      <c r="T26" s="1" t="n"/>
      <c r="U26" s="1" t="n"/>
      <c r="V26" s="1" t="n"/>
      <c r="W26" s="1" t="n"/>
      <c r="X26" s="1" t="n"/>
      <c r="Y26" s="1" t="n"/>
      <c r="Z26" s="1" t="n"/>
    </row>
    <row r="27" ht="25.5" customHeight="1" s="137">
      <c r="A27" s="27" t="inlineStr">
        <is>
          <t>TAXABLE EQUIPMENT, RENTALS &amp; STAFFING  (General Sales Tax)</t>
        </is>
      </c>
      <c r="I27" s="133" t="inlineStr">
        <is>
          <t>TEAM NOTES</t>
        </is>
      </c>
      <c r="L27" s="1" t="n"/>
      <c r="M27" s="1" t="n"/>
      <c r="N27" s="1" t="n"/>
      <c r="O27" s="1" t="n"/>
      <c r="P27" s="1" t="n"/>
      <c r="Q27" s="1" t="n"/>
      <c r="R27" s="1" t="n"/>
      <c r="S27" s="1" t="n"/>
      <c r="T27" s="1" t="n"/>
      <c r="U27" s="1" t="n"/>
      <c r="V27" s="1" t="n"/>
      <c r="W27" s="1" t="n"/>
      <c r="X27" s="1" t="n"/>
      <c r="Y27" s="1" t="n"/>
      <c r="Z27" s="1" t="n"/>
    </row>
    <row r="28" ht="25.5" customHeight="1" s="137">
      <c r="A28" s="29" t="inlineStr">
        <is>
          <t>Staffing</t>
        </is>
      </c>
      <c r="B28" s="131" t="n">
        <v>1</v>
      </c>
      <c r="C28" s="160" t="n"/>
      <c r="D28" s="164">
        <f>B28*C28</f>
        <v/>
      </c>
      <c r="E28" s="164">
        <f>IFERROR(D28*(1+VLOOKUP(G28,CategoryTable,2,FALSE)),0)</f>
        <v/>
      </c>
      <c r="F28" s="32">
        <f>'Client Setup'!B19</f>
        <v/>
      </c>
      <c r="G28" s="230" t="inlineStr">
        <is>
          <t>Staffing &amp; Labor</t>
        </is>
      </c>
      <c r="H28" s="1" t="n"/>
      <c r="I28" s="37" t="inlineStr">
        <is>
          <t>Venue Contact:</t>
        </is>
      </c>
      <c r="L28" s="1" t="n"/>
      <c r="M28" s="1" t="n"/>
      <c r="N28" s="1" t="n"/>
      <c r="O28" s="1" t="n"/>
      <c r="P28" s="1" t="n"/>
      <c r="Q28" s="1" t="n"/>
      <c r="R28" s="1" t="n"/>
      <c r="S28" s="1" t="n"/>
      <c r="T28" s="1" t="n"/>
      <c r="U28" s="1" t="n"/>
      <c r="V28" s="1" t="n"/>
      <c r="W28" s="1" t="n"/>
      <c r="X28" s="1" t="n"/>
      <c r="Y28" s="1" t="n"/>
      <c r="Z28" s="1" t="n"/>
    </row>
    <row r="29" ht="24" customHeight="1" s="137">
      <c r="A29" s="29" t="inlineStr">
        <is>
          <t>Catering Equipment</t>
        </is>
      </c>
      <c r="B29" s="131" t="n">
        <v>1</v>
      </c>
      <c r="C29" s="160" t="n"/>
      <c r="D29" s="164">
        <f>B29*C29</f>
        <v/>
      </c>
      <c r="E29" s="164">
        <f>IFERROR(D29*(1+VLOOKUP(G29,CategoryTable,2,FALSE)),0)</f>
        <v/>
      </c>
      <c r="F29" s="32">
        <f>'Client Setup'!B19</f>
        <v/>
      </c>
      <c r="G29" s="230" t="inlineStr">
        <is>
          <t>AV &amp; Production</t>
        </is>
      </c>
      <c r="H29" s="1" t="n"/>
      <c r="I29" s="38" t="n"/>
      <c r="L29" s="1" t="n"/>
      <c r="M29" s="1" t="n"/>
      <c r="N29" s="1" t="n"/>
      <c r="O29" s="1" t="n"/>
      <c r="P29" s="1" t="n"/>
      <c r="Q29" s="1" t="n"/>
      <c r="R29" s="1" t="n"/>
      <c r="S29" s="1" t="n"/>
      <c r="T29" s="1" t="n"/>
      <c r="U29" s="1" t="n"/>
      <c r="V29" s="1" t="n"/>
      <c r="W29" s="1" t="n"/>
      <c r="X29" s="1" t="n"/>
      <c r="Y29" s="1" t="n"/>
      <c r="Z29" s="1" t="n"/>
    </row>
    <row r="30" ht="25.5" customHeight="1" s="137">
      <c r="A30" s="29" t="inlineStr">
        <is>
          <t>Rental Equipment</t>
        </is>
      </c>
      <c r="B30" s="131" t="n">
        <v>1</v>
      </c>
      <c r="C30" s="160" t="n"/>
      <c r="D30" s="164">
        <f>B30*C30</f>
        <v/>
      </c>
      <c r="E30" s="164">
        <f>IFERROR(D30*(1+VLOOKUP(G30,CategoryTable,2,FALSE)),0)</f>
        <v/>
      </c>
      <c r="F30" s="32">
        <f>'Client Setup'!B19</f>
        <v/>
      </c>
      <c r="G30" s="230" t="inlineStr">
        <is>
          <t>Décor &amp; Design</t>
        </is>
      </c>
      <c r="H30" s="1" t="n"/>
      <c r="I30" s="37" t="inlineStr">
        <is>
          <t>Menu Notes:</t>
        </is>
      </c>
      <c r="L30" s="1" t="n"/>
      <c r="M30" s="1" t="n"/>
      <c r="N30" s="1" t="n"/>
      <c r="O30" s="1" t="n"/>
      <c r="P30" s="1" t="n"/>
      <c r="Q30" s="1" t="n"/>
      <c r="R30" s="1" t="n"/>
      <c r="S30" s="1" t="n"/>
      <c r="T30" s="1" t="n"/>
      <c r="U30" s="1" t="n"/>
      <c r="V30" s="1" t="n"/>
      <c r="W30" s="1" t="n"/>
      <c r="X30" s="1" t="n"/>
      <c r="Y30" s="1" t="n"/>
      <c r="Z30" s="1" t="n"/>
    </row>
    <row r="31" ht="25.5" customHeight="1" s="137">
      <c r="A31" s="29" t="inlineStr">
        <is>
          <t>Additional Equipment</t>
        </is>
      </c>
      <c r="B31" s="131" t="n">
        <v>1</v>
      </c>
      <c r="C31" s="160" t="n"/>
      <c r="D31" s="164">
        <f>B31*C31</f>
        <v/>
      </c>
      <c r="E31" s="164">
        <f>IFERROR(D31*(1+VLOOKUP(G31,CategoryTable,2,FALSE)),0)</f>
        <v/>
      </c>
      <c r="F31" s="32">
        <f>'Client Setup'!B19</f>
        <v/>
      </c>
      <c r="G31" s="230" t="inlineStr">
        <is>
          <t>AV &amp; Production</t>
        </is>
      </c>
      <c r="H31" s="1" t="n"/>
      <c r="I31" s="38" t="n"/>
      <c r="L31" s="1" t="n"/>
      <c r="M31" s="1" t="n"/>
      <c r="N31" s="1" t="n"/>
      <c r="O31" s="1" t="n"/>
      <c r="P31" s="1" t="n"/>
      <c r="Q31" s="1" t="n"/>
      <c r="R31" s="1" t="n"/>
      <c r="S31" s="1" t="n"/>
      <c r="T31" s="1" t="n"/>
      <c r="U31" s="1" t="n"/>
      <c r="V31" s="1" t="n"/>
      <c r="W31" s="1" t="n"/>
      <c r="X31" s="1" t="n"/>
      <c r="Y31" s="1" t="n"/>
      <c r="Z31" s="1" t="n"/>
    </row>
    <row r="32" ht="25.5" customHeight="1" s="137">
      <c r="A32" s="27" t="inlineStr">
        <is>
          <t>VENUE FEES  (Taxable if toggled above)</t>
        </is>
      </c>
      <c r="I32" s="38" t="n"/>
      <c r="L32" s="1" t="n"/>
      <c r="M32" s="1" t="n"/>
      <c r="N32" s="1" t="n"/>
      <c r="O32" s="1" t="n"/>
      <c r="P32" s="1" t="n"/>
      <c r="Q32" s="1" t="n"/>
      <c r="R32" s="1" t="n"/>
      <c r="S32" s="1" t="n"/>
      <c r="T32" s="1" t="n"/>
      <c r="U32" s="1" t="n"/>
      <c r="V32" s="1" t="n"/>
      <c r="W32" s="1" t="n"/>
      <c r="X32" s="1" t="n"/>
      <c r="Y32" s="1" t="n"/>
      <c r="Z32" s="1" t="n"/>
    </row>
    <row r="33" ht="6" customHeight="1" s="137">
      <c r="A33" s="29" t="inlineStr">
        <is>
          <t>Venue / Room Rental</t>
        </is>
      </c>
      <c r="B33" s="131" t="n">
        <v>1</v>
      </c>
      <c r="C33" s="160" t="n"/>
      <c r="D33" s="164">
        <f>B33*C33</f>
        <v/>
      </c>
      <c r="E33" s="164">
        <f>IFERROR(D33*(1+VLOOKUP(G33,CategoryTable,2,FALSE)),0)</f>
        <v/>
      </c>
      <c r="F33" s="32">
        <f>IF(B8="Yes",'Client Setup'!B19,0)</f>
        <v/>
      </c>
      <c r="G33" s="230" t="inlineStr">
        <is>
          <t>Venues &amp; Room Rentals</t>
        </is>
      </c>
      <c r="H33" s="1" t="n"/>
      <c r="I33" s="37" t="inlineStr">
        <is>
          <t>Logistics:</t>
        </is>
      </c>
      <c r="L33" s="1" t="n"/>
      <c r="M33" s="1" t="n"/>
      <c r="N33" s="1" t="n"/>
      <c r="O33" s="1" t="n"/>
      <c r="P33" s="1" t="n"/>
      <c r="Q33" s="1" t="n"/>
      <c r="R33" s="1" t="n"/>
      <c r="S33" s="1" t="n"/>
      <c r="T33" s="1" t="n"/>
      <c r="U33" s="1" t="n"/>
      <c r="V33" s="1" t="n"/>
      <c r="W33" s="1" t="n"/>
      <c r="X33" s="1" t="n"/>
      <c r="Y33" s="1" t="n"/>
      <c r="Z33" s="1" t="n"/>
    </row>
    <row r="34" ht="24" customHeight="1" s="137">
      <c r="A34" s="29" t="inlineStr">
        <is>
          <t>Additional Venue Space</t>
        </is>
      </c>
      <c r="B34" s="131" t="n">
        <v>1</v>
      </c>
      <c r="C34" s="160" t="n"/>
      <c r="D34" s="164">
        <f>B34*C34</f>
        <v/>
      </c>
      <c r="E34" s="164">
        <f>IFERROR(D34*(1+VLOOKUP(G34,CategoryTable,2,FALSE)),0)</f>
        <v/>
      </c>
      <c r="F34" s="32">
        <f>IF(B8="Yes",'Client Setup'!B19,0)</f>
        <v/>
      </c>
      <c r="G34" s="230" t="inlineStr">
        <is>
          <t>Venues &amp; Room Rentals</t>
        </is>
      </c>
      <c r="H34" s="1" t="n"/>
      <c r="I34" s="38" t="n"/>
      <c r="L34" s="1" t="n"/>
      <c r="M34" s="1" t="n"/>
      <c r="N34" s="1" t="n"/>
      <c r="O34" s="1" t="n"/>
      <c r="P34" s="1" t="n"/>
      <c r="Q34" s="1" t="n"/>
      <c r="R34" s="1" t="n"/>
      <c r="S34" s="1" t="n"/>
      <c r="T34" s="1" t="n"/>
      <c r="U34" s="1" t="n"/>
      <c r="V34" s="1" t="n"/>
      <c r="W34" s="1" t="n"/>
      <c r="X34" s="1" t="n"/>
      <c r="Y34" s="1" t="n"/>
      <c r="Z34" s="1" t="n"/>
    </row>
    <row r="35" ht="25.5" customHeight="1" s="137">
      <c r="A35" s="29" t="inlineStr">
        <is>
          <t>Additional Services</t>
        </is>
      </c>
      <c r="B35" s="131" t="n">
        <v>1</v>
      </c>
      <c r="C35" s="160" t="n"/>
      <c r="D35" s="164">
        <f>B35*C35</f>
        <v/>
      </c>
      <c r="E35" s="164">
        <f>IFERROR(D35*(1+VLOOKUP(G35,CategoryTable,2,FALSE)),0)</f>
        <v/>
      </c>
      <c r="F35" s="32">
        <f>IF(B8="Yes",'Client Setup'!B19,0)</f>
        <v/>
      </c>
      <c r="G35" s="230" t="inlineStr">
        <is>
          <t>Venues &amp; Room Rentals</t>
        </is>
      </c>
      <c r="H35" s="1" t="n"/>
      <c r="I35" s="37" t="inlineStr">
        <is>
          <t>Additional Notes:</t>
        </is>
      </c>
      <c r="L35" s="1" t="n"/>
      <c r="M35" s="1" t="n"/>
      <c r="N35" s="1" t="n"/>
      <c r="O35" s="1" t="n"/>
      <c r="P35" s="1" t="n"/>
      <c r="Q35" s="1" t="n"/>
      <c r="R35" s="1" t="n"/>
      <c r="S35" s="1" t="n"/>
      <c r="T35" s="1" t="n"/>
      <c r="U35" s="1" t="n"/>
      <c r="V35" s="1" t="n"/>
      <c r="W35" s="1" t="n"/>
      <c r="X35" s="1" t="n"/>
      <c r="Y35" s="1" t="n"/>
      <c r="Z35" s="1" t="n"/>
    </row>
    <row r="36" ht="25.5" customHeight="1" s="137">
      <c r="A36" s="16" t="n"/>
      <c r="B36" s="16" t="n"/>
      <c r="C36" s="16" t="n"/>
      <c r="D36" s="16" t="n"/>
      <c r="E36" s="16" t="n"/>
      <c r="F36" s="16" t="n"/>
      <c r="G36" s="16" t="n"/>
      <c r="H36" s="1" t="n"/>
      <c r="I36" s="38" t="n"/>
      <c r="L36" s="1" t="n"/>
      <c r="M36" s="1" t="n"/>
      <c r="N36" s="1" t="n"/>
      <c r="O36" s="1" t="n"/>
      <c r="P36" s="1" t="n"/>
      <c r="Q36" s="1" t="n"/>
      <c r="R36" s="1" t="n"/>
      <c r="S36" s="1" t="n"/>
      <c r="T36" s="1" t="n"/>
      <c r="U36" s="1" t="n"/>
      <c r="V36" s="1" t="n"/>
      <c r="W36" s="1" t="n"/>
      <c r="X36" s="1" t="n"/>
      <c r="Y36" s="1" t="n"/>
      <c r="Z36" s="1" t="n"/>
    </row>
    <row r="37" ht="25.5" customHeight="1" s="137">
      <c r="A37" s="39" t="inlineStr">
        <is>
          <t>NON-TAXABLE QC STAFFING</t>
        </is>
      </c>
      <c r="H37" s="1" t="n"/>
      <c r="I37" s="38" t="n"/>
      <c r="L37" s="1" t="n"/>
      <c r="M37" s="1" t="n"/>
      <c r="N37" s="1" t="n"/>
      <c r="O37" s="1" t="n"/>
      <c r="P37" s="1" t="n"/>
      <c r="Q37" s="1" t="n"/>
      <c r="R37" s="1" t="n"/>
      <c r="S37" s="1" t="n"/>
      <c r="T37" s="1" t="n"/>
      <c r="U37" s="1" t="n"/>
      <c r="V37" s="1" t="n"/>
      <c r="W37" s="1" t="n"/>
      <c r="X37" s="1" t="n"/>
      <c r="Y37" s="1" t="n"/>
      <c r="Z37" s="1" t="n"/>
    </row>
    <row r="38" ht="6" customHeight="1" s="137">
      <c r="A38" s="29" t="inlineStr">
        <is>
          <t>QC Event Staff</t>
        </is>
      </c>
      <c r="B38" s="231">
        <f>IF('Client Setup'!B7&gt;100,3,IF('Client Setup'!B7&gt;50,2,1))</f>
        <v/>
      </c>
      <c r="C38" s="160" t="n">
        <v>500</v>
      </c>
      <c r="D38" s="164">
        <f>B38*C38</f>
        <v/>
      </c>
      <c r="E38" s="164">
        <f>IFERROR(D38*(1+VLOOKUP(G38,CategoryTable,2,FALSE)),0)</f>
        <v/>
      </c>
      <c r="F38" s="32" t="n">
        <v>0</v>
      </c>
      <c r="G38" s="230" t="inlineStr">
        <is>
          <t>Staffing &amp; Labor</t>
        </is>
      </c>
      <c r="H38" s="1" t="n"/>
      <c r="I38" s="16" t="n"/>
      <c r="J38" s="16" t="n"/>
      <c r="K38" s="16" t="n"/>
      <c r="L38" s="1" t="n"/>
      <c r="M38" s="1" t="n"/>
      <c r="N38" s="1" t="n"/>
      <c r="O38" s="1" t="n"/>
      <c r="P38" s="1" t="n"/>
      <c r="Q38" s="1" t="n"/>
      <c r="R38" s="1" t="n"/>
      <c r="S38" s="1" t="n"/>
      <c r="T38" s="1" t="n"/>
      <c r="U38" s="1" t="n"/>
      <c r="V38" s="1" t="n"/>
      <c r="W38" s="1" t="n"/>
      <c r="X38" s="1" t="n"/>
      <c r="Y38" s="1" t="n"/>
      <c r="Z38" s="1" t="n"/>
    </row>
    <row r="39" ht="27.75" customHeight="1" s="137">
      <c r="A39" s="29" t="n"/>
      <c r="B39" s="131" t="n"/>
      <c r="C39" s="160" t="n"/>
      <c r="D39" s="164">
        <f>B39*C39</f>
        <v/>
      </c>
      <c r="E39" s="164">
        <f>IFERROR(D39*(1+VLOOKUP(G39,CategoryTable,2,FALSE)),0)</f>
        <v/>
      </c>
      <c r="F39" s="32" t="n">
        <v>0</v>
      </c>
      <c r="G39" s="230" t="inlineStr">
        <is>
          <t>Staffing &amp; Labor</t>
        </is>
      </c>
      <c r="H39" s="1" t="n"/>
      <c r="I39" s="16" t="n"/>
      <c r="J39" s="16" t="n"/>
      <c r="K39" s="16" t="n"/>
      <c r="L39" s="1" t="n"/>
      <c r="M39" s="1" t="n"/>
      <c r="N39" s="1" t="n"/>
      <c r="O39" s="1" t="n"/>
      <c r="P39" s="1" t="n"/>
      <c r="Q39" s="1" t="n"/>
      <c r="R39" s="1" t="n"/>
      <c r="S39" s="1" t="n"/>
      <c r="T39" s="1" t="n"/>
      <c r="U39" s="1" t="n"/>
      <c r="V39" s="1" t="n"/>
      <c r="W39" s="1" t="n"/>
      <c r="X39" s="1" t="n"/>
      <c r="Y39" s="1" t="n"/>
      <c r="Z39" s="1" t="n"/>
    </row>
    <row r="40" ht="25.5" customHeight="1" s="137">
      <c r="A40" s="29" t="n"/>
      <c r="B40" s="131" t="n"/>
      <c r="C40" s="160" t="n"/>
      <c r="D40" s="164">
        <f>B40*C40</f>
        <v/>
      </c>
      <c r="E40" s="164">
        <f>IFERROR(D40*(1+VLOOKUP(G40,CategoryTable,2,FALSE)),0)</f>
        <v/>
      </c>
      <c r="F40" s="32" t="n">
        <v>0</v>
      </c>
      <c r="G40" s="230" t="inlineStr">
        <is>
          <t>Staffing &amp; Labor</t>
        </is>
      </c>
      <c r="H40" s="1" t="n"/>
      <c r="I40" s="16" t="n"/>
      <c r="J40" s="16" t="n"/>
      <c r="K40" s="16" t="n"/>
      <c r="L40" s="1" t="n"/>
      <c r="M40" s="1" t="n"/>
      <c r="N40" s="1" t="n"/>
      <c r="O40" s="1" t="n"/>
      <c r="P40" s="1" t="n"/>
      <c r="Q40" s="1" t="n"/>
      <c r="R40" s="1" t="n"/>
      <c r="S40" s="1" t="n"/>
      <c r="T40" s="1" t="n"/>
      <c r="U40" s="1" t="n"/>
      <c r="V40" s="1" t="n"/>
      <c r="W40" s="1" t="n"/>
      <c r="X40" s="1" t="n"/>
      <c r="Y40" s="1" t="n"/>
      <c r="Z40" s="1" t="n"/>
    </row>
    <row r="41" ht="25.5" customHeight="1" s="137">
      <c r="A41" s="16" t="n"/>
      <c r="B41" s="16" t="n"/>
      <c r="C41" s="16" t="n"/>
      <c r="D41" s="16" t="n"/>
      <c r="E41" s="16" t="n"/>
      <c r="F41" s="16" t="n"/>
      <c r="G41" s="16" t="n"/>
      <c r="H41" s="1" t="n"/>
      <c r="I41" s="16" t="n"/>
      <c r="J41" s="16" t="n"/>
      <c r="K41" s="16" t="n"/>
      <c r="L41" s="1" t="n"/>
      <c r="M41" s="1" t="n"/>
      <c r="N41" s="1" t="n"/>
      <c r="O41" s="1" t="n"/>
      <c r="P41" s="1" t="n"/>
      <c r="Q41" s="1" t="n"/>
      <c r="R41" s="1" t="n"/>
      <c r="S41" s="1" t="n"/>
      <c r="T41" s="1" t="n"/>
      <c r="U41" s="1" t="n"/>
      <c r="V41" s="1" t="n"/>
      <c r="W41" s="1" t="n"/>
      <c r="X41" s="1" t="n"/>
      <c r="Y41" s="1" t="n"/>
      <c r="Z41" s="1" t="n"/>
    </row>
    <row r="42" ht="25.5" customHeight="1" s="137">
      <c r="A42" s="133" t="inlineStr">
        <is>
          <t>ESTIMATE SUMMARY</t>
        </is>
      </c>
      <c r="H42" s="1" t="n"/>
      <c r="I42" s="16" t="n"/>
      <c r="J42" s="16" t="n"/>
      <c r="K42" s="16" t="n"/>
      <c r="L42" s="1" t="n"/>
      <c r="M42" s="1" t="n"/>
      <c r="N42" s="1" t="n"/>
      <c r="O42" s="1" t="n"/>
      <c r="P42" s="1" t="n"/>
      <c r="Q42" s="1" t="n"/>
      <c r="R42" s="1" t="n"/>
      <c r="S42" s="1" t="n"/>
      <c r="T42" s="1" t="n"/>
      <c r="U42" s="1" t="n"/>
      <c r="V42" s="1" t="n"/>
      <c r="W42" s="1" t="n"/>
      <c r="X42" s="1" t="n"/>
      <c r="Y42" s="1" t="n"/>
      <c r="Z42" s="1" t="n"/>
    </row>
    <row r="43" ht="25.5" customHeight="1" s="137">
      <c r="A43" s="40" t="inlineStr">
        <is>
          <t>F&amp;B Subtotal</t>
        </is>
      </c>
      <c r="B43" s="41" t="n"/>
      <c r="C43" s="41" t="n"/>
      <c r="D43" s="165">
        <f>SUM(D24:D26)</f>
        <v/>
      </c>
      <c r="E43" s="165">
        <f>SUM(E24:E26)</f>
        <v/>
      </c>
      <c r="F43" s="41" t="n"/>
      <c r="G43" s="41" t="n"/>
      <c r="H43" s="1" t="n"/>
      <c r="I43" s="1" t="n"/>
      <c r="J43" s="1" t="n"/>
      <c r="K43" s="1" t="n"/>
      <c r="L43" s="1" t="n"/>
      <c r="M43" s="1" t="n"/>
      <c r="N43" s="1" t="n"/>
      <c r="O43" s="1" t="n"/>
      <c r="P43" s="1" t="n"/>
      <c r="Q43" s="1" t="n"/>
      <c r="R43" s="1" t="n"/>
      <c r="S43" s="1" t="n"/>
      <c r="T43" s="1" t="n"/>
      <c r="U43" s="1" t="n"/>
      <c r="V43" s="1" t="n"/>
      <c r="W43" s="1" t="n"/>
      <c r="X43" s="1" t="n"/>
      <c r="Y43" s="1" t="n"/>
      <c r="Z43" s="1" t="n"/>
    </row>
    <row r="44" ht="25.5" customHeight="1" s="137">
      <c r="A44" s="40" t="inlineStr">
        <is>
          <t>Food Tax</t>
        </is>
      </c>
      <c r="B44" s="41" t="n"/>
      <c r="C44" s="41" t="n"/>
      <c r="D44" s="165">
        <f>IFERROR(D24*F24+D26*F26,0)</f>
        <v/>
      </c>
      <c r="E44" s="165">
        <f>IFERROR(E24*F24+E26*F26,0)</f>
        <v/>
      </c>
      <c r="F44" s="41" t="n"/>
      <c r="G44" s="41" t="n"/>
      <c r="H44" s="1" t="n"/>
      <c r="I44" s="1" t="n"/>
      <c r="J44" s="1" t="n"/>
      <c r="K44" s="1" t="n"/>
      <c r="L44" s="1" t="n"/>
      <c r="M44" s="1" t="n"/>
      <c r="N44" s="1" t="n"/>
      <c r="O44" s="1" t="n"/>
      <c r="P44" s="1" t="n"/>
      <c r="Q44" s="1" t="n"/>
      <c r="R44" s="1" t="n"/>
      <c r="S44" s="1" t="n"/>
      <c r="T44" s="1" t="n"/>
      <c r="U44" s="1" t="n"/>
      <c r="V44" s="1" t="n"/>
      <c r="W44" s="1" t="n"/>
      <c r="X44" s="1" t="n"/>
      <c r="Y44" s="1" t="n"/>
      <c r="Z44" s="1" t="n"/>
    </row>
    <row r="45" ht="25.5" customHeight="1" s="137">
      <c r="A45" s="40" t="inlineStr">
        <is>
          <t>Alcohol Tax</t>
        </is>
      </c>
      <c r="B45" s="41" t="n"/>
      <c r="C45" s="41" t="n"/>
      <c r="D45" s="165">
        <f>IFERROR(D25*F25,0)</f>
        <v/>
      </c>
      <c r="E45" s="165">
        <f>IFERROR(E25*F25,0)</f>
        <v/>
      </c>
      <c r="F45" s="41" t="n"/>
      <c r="G45" s="41" t="n"/>
      <c r="H45" s="1" t="n"/>
      <c r="I45" s="1" t="n"/>
      <c r="J45" s="1" t="n"/>
      <c r="K45" s="1" t="n"/>
      <c r="L45" s="1" t="n"/>
      <c r="M45" s="1" t="n"/>
      <c r="N45" s="1" t="n"/>
      <c r="O45" s="1" t="n"/>
      <c r="P45" s="1" t="n"/>
      <c r="Q45" s="1" t="n"/>
      <c r="R45" s="1" t="n"/>
      <c r="S45" s="1" t="n"/>
      <c r="T45" s="1" t="n"/>
      <c r="U45" s="1" t="n"/>
      <c r="V45" s="1" t="n"/>
      <c r="W45" s="1" t="n"/>
      <c r="X45" s="1" t="n"/>
      <c r="Y45" s="1" t="n"/>
      <c r="Z45" s="1" t="n"/>
    </row>
    <row r="46" ht="25.5" customHeight="1" s="137">
      <c r="A46" s="40" t="inlineStr">
        <is>
          <t>Equipment &amp; Staffing Subtotal</t>
        </is>
      </c>
      <c r="B46" s="41" t="n"/>
      <c r="C46" s="41" t="n"/>
      <c r="D46" s="165">
        <f>SUM(D28:D31)</f>
        <v/>
      </c>
      <c r="E46" s="165">
        <f>SUM(E28:E31)</f>
        <v/>
      </c>
      <c r="F46" s="41" t="n"/>
      <c r="G46" s="41" t="n"/>
      <c r="H46" s="1" t="n"/>
      <c r="I46" s="1" t="n"/>
      <c r="J46" s="1" t="n"/>
      <c r="K46" s="1" t="n"/>
      <c r="L46" s="1" t="n"/>
      <c r="M46" s="1" t="n"/>
      <c r="N46" s="1" t="n"/>
      <c r="O46" s="1" t="n"/>
      <c r="P46" s="1" t="n"/>
      <c r="Q46" s="1" t="n"/>
      <c r="R46" s="1" t="n"/>
      <c r="S46" s="1" t="n"/>
      <c r="T46" s="1" t="n"/>
      <c r="U46" s="1" t="n"/>
      <c r="V46" s="1" t="n"/>
      <c r="W46" s="1" t="n"/>
      <c r="X46" s="1" t="n"/>
      <c r="Y46" s="1" t="n"/>
      <c r="Z46" s="1" t="n"/>
    </row>
    <row r="47" ht="25.5" customHeight="1" s="137">
      <c r="A47" s="40" t="inlineStr">
        <is>
          <t>Equipment &amp; Staffing Tax</t>
        </is>
      </c>
      <c r="B47" s="41" t="n"/>
      <c r="C47" s="41" t="n"/>
      <c r="D47" s="165">
        <f>IFERROR(D46*F28,0)</f>
        <v/>
      </c>
      <c r="E47" s="165">
        <f>IFERROR(E46*F28,0)</f>
        <v/>
      </c>
      <c r="F47" s="41" t="n"/>
      <c r="G47" s="41" t="n"/>
      <c r="H47" s="1" t="n"/>
      <c r="I47" s="1" t="n"/>
      <c r="J47" s="1" t="n"/>
      <c r="K47" s="1" t="n"/>
      <c r="L47" s="1" t="n"/>
      <c r="M47" s="1" t="n"/>
      <c r="N47" s="1" t="n"/>
      <c r="O47" s="1" t="n"/>
      <c r="P47" s="1" t="n"/>
      <c r="Q47" s="1" t="n"/>
      <c r="R47" s="1" t="n"/>
      <c r="S47" s="1" t="n"/>
      <c r="T47" s="1" t="n"/>
      <c r="U47" s="1" t="n"/>
      <c r="V47" s="1" t="n"/>
      <c r="W47" s="1" t="n"/>
      <c r="X47" s="1" t="n"/>
      <c r="Y47" s="1" t="n"/>
      <c r="Z47" s="1" t="n"/>
    </row>
    <row r="48" ht="25.5" customHeight="1" s="137">
      <c r="A48" s="40" t="inlineStr">
        <is>
          <t>QC Staffing Subtotal</t>
        </is>
      </c>
      <c r="B48" s="41" t="n"/>
      <c r="C48" s="41" t="n"/>
      <c r="D48" s="165">
        <f>SUM(D38:D40)</f>
        <v/>
      </c>
      <c r="E48" s="165">
        <f>SUM(E38:E40)</f>
        <v/>
      </c>
      <c r="F48" s="41" t="n"/>
      <c r="G48" s="41" t="n"/>
      <c r="H48" s="1" t="n"/>
      <c r="I48" s="1" t="n"/>
      <c r="J48" s="1" t="n"/>
      <c r="K48" s="1" t="n"/>
      <c r="L48" s="1" t="n"/>
      <c r="M48" s="1" t="n"/>
      <c r="N48" s="1" t="n"/>
      <c r="O48" s="1" t="n"/>
      <c r="P48" s="1" t="n"/>
      <c r="Q48" s="1" t="n"/>
      <c r="R48" s="1" t="n"/>
      <c r="S48" s="1" t="n"/>
      <c r="T48" s="1" t="n"/>
      <c r="U48" s="1" t="n"/>
      <c r="V48" s="1" t="n"/>
      <c r="W48" s="1" t="n"/>
      <c r="X48" s="1" t="n"/>
      <c r="Y48" s="1" t="n"/>
      <c r="Z48" s="1" t="n"/>
    </row>
    <row r="49" ht="25.5" customHeight="1" s="137">
      <c r="A49" s="40" t="inlineStr">
        <is>
          <t>Venue Fees Subtotal</t>
        </is>
      </c>
      <c r="B49" s="41" t="n"/>
      <c r="C49" s="41" t="n"/>
      <c r="D49" s="165">
        <f>SUM(D33:D35)</f>
        <v/>
      </c>
      <c r="E49" s="165">
        <f>SUM(E33:E35)</f>
        <v/>
      </c>
      <c r="F49" s="41" t="n"/>
      <c r="G49" s="41" t="n"/>
      <c r="H49" s="1" t="n"/>
      <c r="I49" s="1" t="n"/>
      <c r="J49" s="1" t="n"/>
      <c r="K49" s="1" t="n"/>
      <c r="L49" s="1" t="n"/>
      <c r="M49" s="1" t="n"/>
      <c r="N49" s="1" t="n"/>
      <c r="O49" s="1" t="n"/>
      <c r="P49" s="1" t="n"/>
      <c r="Q49" s="1" t="n"/>
      <c r="R49" s="1" t="n"/>
      <c r="S49" s="1" t="n"/>
      <c r="T49" s="1" t="n"/>
      <c r="U49" s="1" t="n"/>
      <c r="V49" s="1" t="n"/>
      <c r="W49" s="1" t="n"/>
      <c r="X49" s="1" t="n"/>
      <c r="Y49" s="1" t="n"/>
      <c r="Z49" s="1" t="n"/>
    </row>
    <row r="50" ht="25.5" customHeight="1" s="137">
      <c r="A50" s="40" t="inlineStr">
        <is>
          <t>Venue Tax</t>
        </is>
      </c>
      <c r="B50" s="41" t="n"/>
      <c r="C50" s="41" t="n"/>
      <c r="D50" s="165">
        <f>IFERROR(D49*F33,0)</f>
        <v/>
      </c>
      <c r="E50" s="165">
        <f>IFERROR(E49*F33,0)</f>
        <v/>
      </c>
      <c r="F50" s="41" t="n"/>
      <c r="G50" s="41" t="n"/>
      <c r="H50" s="1" t="n"/>
      <c r="I50" s="1" t="n"/>
      <c r="J50" s="1" t="n"/>
      <c r="K50" s="1" t="n"/>
      <c r="L50" s="1" t="n"/>
      <c r="M50" s="1" t="n"/>
      <c r="N50" s="1" t="n"/>
      <c r="O50" s="1" t="n"/>
      <c r="P50" s="1" t="n"/>
      <c r="Q50" s="1" t="n"/>
      <c r="R50" s="1" t="n"/>
      <c r="S50" s="1" t="n"/>
      <c r="T50" s="1" t="n"/>
      <c r="U50" s="1" t="n"/>
      <c r="V50" s="1" t="n"/>
      <c r="W50" s="1" t="n"/>
      <c r="X50" s="1" t="n"/>
      <c r="Y50" s="1" t="n"/>
      <c r="Z50" s="1" t="n"/>
    </row>
    <row r="51" ht="30" customHeight="1" s="137">
      <c r="A51" s="40" t="inlineStr">
        <is>
          <t>Service Charge</t>
        </is>
      </c>
      <c r="B51" s="41" t="n"/>
      <c r="C51" s="41" t="n"/>
      <c r="D51" s="165">
        <f>D43*IF(C17="20%",0.2,IF(C17="21.5%",0.215,0))</f>
        <v/>
      </c>
      <c r="E51" s="165">
        <f>E43*IF(C17="20%",0.2,IF(C17="21.5%",0.215,0))</f>
        <v/>
      </c>
      <c r="F51" s="41" t="n"/>
      <c r="G51" s="41" t="n"/>
      <c r="H51" s="1" t="n"/>
      <c r="I51" s="1" t="n"/>
      <c r="J51" s="1" t="n"/>
      <c r="K51" s="1" t="n"/>
      <c r="L51" s="1" t="n"/>
      <c r="M51" s="1" t="n"/>
      <c r="N51" s="1" t="n"/>
      <c r="O51" s="1" t="n"/>
      <c r="P51" s="1" t="n"/>
      <c r="Q51" s="1" t="n"/>
      <c r="R51" s="1" t="n"/>
      <c r="S51" s="1" t="n"/>
      <c r="T51" s="1" t="n"/>
      <c r="U51" s="1" t="n"/>
      <c r="V51" s="1" t="n"/>
      <c r="W51" s="1" t="n"/>
      <c r="X51" s="1" t="n"/>
      <c r="Y51" s="1" t="n"/>
      <c r="Z51" s="1" t="n"/>
    </row>
    <row r="52" ht="25.5" customHeight="1" s="137">
      <c r="A52" s="40" t="inlineStr">
        <is>
          <t>Gratuity</t>
        </is>
      </c>
      <c r="B52" s="41" t="n"/>
      <c r="C52" s="41" t="n"/>
      <c r="D52" s="165">
        <f>D43*IF(C18="20%",0.2,0)</f>
        <v/>
      </c>
      <c r="E52" s="165">
        <f>E43*IF(C18="20%",0.2,0)</f>
        <v/>
      </c>
      <c r="F52" s="41" t="n"/>
      <c r="G52" s="41" t="n"/>
      <c r="H52" s="1" t="n"/>
      <c r="I52" s="1" t="n"/>
      <c r="J52" s="1" t="n"/>
      <c r="K52" s="1" t="n"/>
      <c r="L52" s="1" t="n"/>
      <c r="M52" s="1" t="n"/>
      <c r="N52" s="1" t="n"/>
      <c r="O52" s="1" t="n"/>
      <c r="P52" s="1" t="n"/>
      <c r="Q52" s="1" t="n"/>
      <c r="R52" s="1" t="n"/>
      <c r="S52" s="1" t="n"/>
      <c r="T52" s="1" t="n"/>
      <c r="U52" s="1" t="n"/>
      <c r="V52" s="1" t="n"/>
      <c r="W52" s="1" t="n"/>
      <c r="X52" s="1" t="n"/>
      <c r="Y52" s="1" t="n"/>
      <c r="Z52" s="1" t="n"/>
    </row>
    <row r="53" ht="25.5" customHeight="1" s="137">
      <c r="A53" s="40" t="inlineStr">
        <is>
          <t>Admin Fee</t>
        </is>
      </c>
      <c r="B53" s="41" t="n"/>
      <c r="C53" s="41" t="n"/>
      <c r="D53" s="165">
        <f>D43*IF(C19="5%",0.05,0)</f>
        <v/>
      </c>
      <c r="E53" s="165">
        <f>E43*IF(C19="5%",0.05,0)</f>
        <v/>
      </c>
      <c r="F53" s="41" t="n"/>
      <c r="G53" s="41" t="n"/>
      <c r="H53" s="1" t="n"/>
      <c r="I53" s="1" t="n"/>
      <c r="J53" s="1" t="n"/>
      <c r="K53" s="1" t="n"/>
      <c r="L53" s="1" t="n"/>
      <c r="M53" s="1" t="n"/>
      <c r="N53" s="1" t="n"/>
      <c r="O53" s="1" t="n"/>
      <c r="P53" s="1" t="n"/>
      <c r="Q53" s="1" t="n"/>
      <c r="R53" s="1" t="n"/>
      <c r="S53" s="1" t="n"/>
      <c r="T53" s="1" t="n"/>
      <c r="U53" s="1" t="n"/>
      <c r="V53" s="1" t="n"/>
      <c r="W53" s="1" t="n"/>
      <c r="X53" s="1" t="n"/>
      <c r="Y53" s="1" t="n"/>
      <c r="Z53" s="1" t="n"/>
    </row>
    <row r="54" ht="33.75" customHeight="1" s="137">
      <c r="A54" s="43" t="inlineStr">
        <is>
          <t>SUBTOTAL</t>
        </is>
      </c>
      <c r="D54" s="166">
        <f>SUM(D43:D53)</f>
        <v/>
      </c>
      <c r="E54" s="166">
        <f>SUM(E43:E53)</f>
        <v/>
      </c>
      <c r="F54" s="45" t="n"/>
      <c r="G54" s="45" t="n"/>
      <c r="H54" s="1" t="n"/>
      <c r="I54" s="1" t="n"/>
      <c r="J54" s="1" t="n"/>
      <c r="K54" s="1" t="n"/>
      <c r="L54" s="1" t="n"/>
      <c r="M54" s="1" t="n"/>
      <c r="N54" s="1" t="n"/>
      <c r="O54" s="1" t="n"/>
      <c r="P54" s="1" t="n"/>
      <c r="Q54" s="1" t="n"/>
      <c r="R54" s="1" t="n"/>
      <c r="S54" s="1" t="n"/>
      <c r="T54" s="1" t="n"/>
      <c r="U54" s="1" t="n"/>
      <c r="V54" s="1" t="n"/>
      <c r="W54" s="1" t="n"/>
      <c r="X54" s="1" t="n"/>
      <c r="Y54" s="1" t="n"/>
      <c r="Z54" s="1" t="n"/>
    </row>
    <row r="55" ht="6" customHeight="1" s="137">
      <c r="A55" s="40" t="inlineStr">
        <is>
          <t>CC Processing Fee</t>
        </is>
      </c>
      <c r="B55" s="41" t="n"/>
      <c r="C55" s="41" t="n"/>
      <c r="D55" s="165">
        <f>E55</f>
        <v/>
      </c>
      <c r="E55" s="165">
        <f>IFERROR(E54*'Client Setup'!C35,0)</f>
        <v/>
      </c>
      <c r="F55" s="41" t="n"/>
      <c r="G55" s="41" t="n"/>
      <c r="H55" s="1" t="n"/>
      <c r="I55" s="1" t="n"/>
      <c r="J55" s="1" t="n"/>
      <c r="K55" s="1" t="n"/>
      <c r="L55" s="1" t="n"/>
      <c r="M55" s="1" t="n"/>
      <c r="N55" s="1" t="n"/>
      <c r="O55" s="1" t="n"/>
      <c r="P55" s="1" t="n"/>
      <c r="Q55" s="1" t="n"/>
      <c r="R55" s="1" t="n"/>
      <c r="S55" s="1" t="n"/>
      <c r="T55" s="1" t="n"/>
      <c r="U55" s="1" t="n"/>
      <c r="V55" s="1" t="n"/>
      <c r="W55" s="1" t="n"/>
      <c r="X55" s="1" t="n"/>
      <c r="Y55" s="1" t="n"/>
      <c r="Z55" s="1" t="n"/>
    </row>
    <row r="56" ht="27.75" customHeight="1" s="137">
      <c r="A56" s="40" t="inlineStr">
        <is>
          <t>Third-Party Commission</t>
        </is>
      </c>
      <c r="B56" s="41" t="n"/>
      <c r="C56" s="41" t="n"/>
      <c r="D56" s="165">
        <f>E56</f>
        <v/>
      </c>
      <c r="E56" s="165">
        <f>IFERROR((E43+E46+E48+E49+E51+E52+E53)*'Client Setup'!C36,0)</f>
        <v/>
      </c>
      <c r="F56" s="41" t="n"/>
      <c r="G56" s="41" t="n"/>
      <c r="H56" s="1" t="n"/>
      <c r="I56" s="1" t="n"/>
      <c r="J56" s="1" t="n"/>
      <c r="K56" s="1" t="n"/>
      <c r="L56" s="1" t="n"/>
      <c r="M56" s="1" t="n"/>
      <c r="N56" s="1" t="n"/>
      <c r="O56" s="1" t="n"/>
      <c r="P56" s="1" t="n"/>
      <c r="Q56" s="1" t="n"/>
      <c r="R56" s="1" t="n"/>
      <c r="S56" s="1" t="n"/>
      <c r="T56" s="1" t="n"/>
      <c r="U56" s="1" t="n"/>
      <c r="V56" s="1" t="n"/>
      <c r="W56" s="1" t="n"/>
      <c r="X56" s="1" t="n"/>
      <c r="Y56" s="1" t="n"/>
      <c r="Z56" s="1" t="n"/>
    </row>
    <row r="57" ht="30" customHeight="1" s="137">
      <c r="A57" s="247" t="inlineStr">
        <is>
          <t>TOTAL ESTIMATE</t>
        </is>
      </c>
      <c r="D57" s="248">
        <f>D54+D55+D56</f>
        <v/>
      </c>
      <c r="E57" s="248">
        <f>E54+E55+E56</f>
        <v/>
      </c>
      <c r="F57" s="48" t="n"/>
      <c r="G57" s="48" t="n"/>
      <c r="H57" s="1" t="n"/>
      <c r="I57" s="1" t="n"/>
      <c r="J57" s="1" t="n"/>
      <c r="K57" s="1" t="n"/>
      <c r="L57" s="1" t="n"/>
      <c r="M57" s="1" t="n"/>
      <c r="N57" s="1" t="n"/>
      <c r="O57" s="1" t="n"/>
      <c r="P57" s="1" t="n"/>
      <c r="Q57" s="1" t="n"/>
      <c r="R57" s="1" t="n"/>
      <c r="S57" s="1" t="n"/>
      <c r="T57" s="1" t="n"/>
      <c r="U57" s="1" t="n"/>
      <c r="V57" s="1" t="n"/>
      <c r="W57" s="1" t="n"/>
      <c r="X57" s="1" t="n"/>
      <c r="Y57" s="1" t="n"/>
      <c r="Z57" s="1" t="n"/>
    </row>
    <row r="58" ht="27.75" customHeight="1" s="137">
      <c r="A58" s="16" t="n"/>
      <c r="B58" s="16" t="n"/>
      <c r="C58" s="16" t="n"/>
      <c r="D58" s="16" t="n"/>
      <c r="E58" s="16" t="n"/>
      <c r="F58" s="16" t="n"/>
      <c r="G58" s="16" t="n"/>
      <c r="H58" s="1" t="n"/>
      <c r="I58" s="1" t="n"/>
      <c r="J58" s="1" t="n"/>
      <c r="K58" s="1" t="n"/>
      <c r="L58" s="1" t="n"/>
      <c r="M58" s="1" t="n"/>
      <c r="N58" s="1" t="n"/>
      <c r="O58" s="1" t="n"/>
      <c r="P58" s="1" t="n"/>
      <c r="Q58" s="1" t="n"/>
      <c r="R58" s="1" t="n"/>
      <c r="S58" s="1" t="n"/>
      <c r="T58" s="1" t="n"/>
      <c r="U58" s="1" t="n"/>
      <c r="V58" s="1" t="n"/>
      <c r="W58" s="1" t="n"/>
      <c r="X58" s="1" t="n"/>
      <c r="Y58" s="1" t="n"/>
      <c r="Z58" s="1" t="n"/>
    </row>
    <row r="59" ht="30" customHeight="1" s="137">
      <c r="A59" s="133" t="inlineStr">
        <is>
          <t>CLIENT PRICING</t>
        </is>
      </c>
      <c r="H59" s="1" t="n"/>
      <c r="I59" s="1" t="n"/>
      <c r="J59" s="1" t="n"/>
      <c r="K59" s="1" t="n"/>
      <c r="L59" s="1" t="n"/>
      <c r="M59" s="1" t="n"/>
      <c r="N59" s="1" t="n"/>
      <c r="O59" s="1" t="n"/>
      <c r="P59" s="1" t="n"/>
      <c r="Q59" s="1" t="n"/>
      <c r="R59" s="1" t="n"/>
      <c r="S59" s="1" t="n"/>
      <c r="T59" s="1" t="n"/>
      <c r="U59" s="1" t="n"/>
      <c r="V59" s="1" t="n"/>
      <c r="W59" s="1" t="n"/>
      <c r="X59" s="1" t="n"/>
      <c r="Y59" s="1" t="n"/>
      <c r="Z59" s="1" t="n"/>
    </row>
    <row r="60" ht="6" customHeight="1" s="137">
      <c r="A60" s="3" t="inlineStr">
        <is>
          <t>Price Per Person</t>
        </is>
      </c>
      <c r="B60" s="168">
        <f>IF('Client Setup'!B7&gt;0,CEILING(E57/'Client Setup'!B7,1),0)</f>
        <v/>
      </c>
      <c r="C60" s="35" t="n"/>
      <c r="D60" s="35" t="n"/>
      <c r="E60" s="35" t="n"/>
      <c r="F60" s="35" t="n"/>
      <c r="G60" s="35" t="n"/>
      <c r="H60" s="1" t="n"/>
      <c r="I60" s="1" t="n"/>
      <c r="J60" s="1" t="n"/>
      <c r="K60" s="1" t="n"/>
      <c r="L60" s="1" t="n"/>
      <c r="M60" s="1" t="n"/>
      <c r="N60" s="1" t="n"/>
      <c r="O60" s="1" t="n"/>
      <c r="P60" s="1" t="n"/>
      <c r="Q60" s="1" t="n"/>
      <c r="R60" s="1" t="n"/>
      <c r="S60" s="1" t="n"/>
      <c r="T60" s="1" t="n"/>
      <c r="U60" s="1" t="n"/>
      <c r="V60" s="1" t="n"/>
      <c r="W60" s="1" t="n"/>
      <c r="X60" s="1" t="n"/>
      <c r="Y60" s="1" t="n"/>
      <c r="Z60" s="1" t="n"/>
    </row>
    <row r="61" ht="27.75" customHeight="1" s="137">
      <c r="A61" s="3" t="inlineStr">
        <is>
          <t>Total Estimated Client Cost</t>
        </is>
      </c>
      <c r="B61" s="169">
        <f>IF('Client Setup'!B7&gt;0,B60*'Client Setup'!B7,0)</f>
        <v/>
      </c>
      <c r="C61" s="35" t="n"/>
      <c r="D61" s="35" t="n"/>
      <c r="E61" s="35" t="n"/>
      <c r="F61" s="35" t="n"/>
      <c r="G61" s="35" t="n"/>
      <c r="H61" s="1" t="n"/>
      <c r="I61" s="1" t="n"/>
      <c r="J61" s="1" t="n"/>
      <c r="K61" s="1" t="n"/>
      <c r="L61" s="1" t="n"/>
      <c r="M61" s="1" t="n"/>
      <c r="N61" s="1" t="n"/>
      <c r="O61" s="1" t="n"/>
      <c r="P61" s="1" t="n"/>
      <c r="Q61" s="1" t="n"/>
      <c r="R61" s="1" t="n"/>
      <c r="S61" s="1" t="n"/>
      <c r="T61" s="1" t="n"/>
      <c r="U61" s="1" t="n"/>
      <c r="V61" s="1" t="n"/>
      <c r="W61" s="1" t="n"/>
      <c r="X61" s="1" t="n"/>
      <c r="Y61" s="1" t="n"/>
      <c r="Z61" s="1" t="n"/>
    </row>
    <row r="62" ht="25.5" customHeight="1" s="137">
      <c r="A62" s="3" t="inlineStr">
        <is>
          <t>F&amp;B Minimum Status:</t>
        </is>
      </c>
      <c r="B62" s="51">
        <f>IF(B7=0,"No F&amp;B Minimum Set",IF(E43&gt;=B7,"✓ F&amp;B MINIMUM MET","✗ NOT MET — Shortfall: "&amp;TEXT(B7-E43,"$#,##0")))</f>
        <v/>
      </c>
      <c r="H62" s="1" t="n"/>
      <c r="I62" s="1" t="n"/>
      <c r="J62" s="1" t="n"/>
      <c r="K62" s="1" t="n"/>
      <c r="L62" s="1" t="n"/>
      <c r="M62" s="1" t="n"/>
      <c r="N62" s="1" t="n"/>
      <c r="O62" s="1" t="n"/>
      <c r="P62" s="1" t="n"/>
      <c r="Q62" s="1" t="n"/>
      <c r="R62" s="1" t="n"/>
      <c r="S62" s="1" t="n"/>
      <c r="T62" s="1" t="n"/>
      <c r="U62" s="1" t="n"/>
      <c r="V62" s="1" t="n"/>
      <c r="W62" s="1" t="n"/>
      <c r="X62" s="1" t="n"/>
      <c r="Y62" s="1" t="n"/>
      <c r="Z62" s="1" t="n"/>
    </row>
    <row r="63" ht="25.5" customHeight="1" s="137">
      <c r="A63" s="16" t="n"/>
      <c r="B63" s="16" t="n"/>
      <c r="C63" s="16" t="n"/>
      <c r="D63" s="16" t="n"/>
      <c r="E63" s="16" t="n"/>
      <c r="F63" s="16" t="n"/>
      <c r="G63" s="16" t="n"/>
      <c r="H63" s="1" t="n"/>
      <c r="I63" s="1" t="n"/>
      <c r="J63" s="1" t="n"/>
      <c r="K63" s="1" t="n"/>
      <c r="L63" s="1" t="n"/>
      <c r="M63" s="1" t="n"/>
      <c r="N63" s="1" t="n"/>
      <c r="O63" s="1" t="n"/>
      <c r="P63" s="1" t="n"/>
      <c r="Q63" s="1" t="n"/>
      <c r="R63" s="1" t="n"/>
      <c r="S63" s="1" t="n"/>
      <c r="T63" s="1" t="n"/>
      <c r="U63" s="1" t="n"/>
      <c r="V63" s="1" t="n"/>
      <c r="W63" s="1" t="n"/>
      <c r="X63" s="1" t="n"/>
      <c r="Y63" s="1" t="n"/>
      <c r="Z63" s="1" t="n"/>
    </row>
    <row r="64" ht="25.5" customHeight="1" s="137">
      <c r="A64" s="115" t="n"/>
      <c r="B64" s="115" t="n"/>
      <c r="C64" s="115" t="n"/>
      <c r="D64" s="115" t="n"/>
      <c r="E64" s="115" t="n"/>
    </row>
    <row r="65" ht="25.5" customHeight="1" s="137">
      <c r="A65" s="192" t="inlineStr">
        <is>
          <t>QC TRAVEL EXPENSES</t>
        </is>
      </c>
      <c r="B65" s="203" t="inlineStr">
        <is>
          <t>Trip 1</t>
        </is>
      </c>
      <c r="C65" s="203" t="inlineStr">
        <is>
          <t>Trip 2</t>
        </is>
      </c>
      <c r="D65" s="203" t="inlineStr">
        <is>
          <t>Trip 3</t>
        </is>
      </c>
      <c r="E65" s="115" t="n"/>
    </row>
    <row r="66" ht="30" customHeight="1" s="137">
      <c r="A66" s="185" t="inlineStr">
        <is>
          <t>Trip Label</t>
        </is>
      </c>
      <c r="B66" s="184" t="n"/>
      <c r="C66" s="184" t="n"/>
      <c r="D66" s="184" t="n"/>
      <c r="E66" s="115" t="n"/>
    </row>
    <row r="67" ht="15.75" customHeight="1" s="137">
      <c r="A67" s="185" t="inlineStr">
        <is>
          <t>Origin</t>
        </is>
      </c>
      <c r="B67" s="232" t="inlineStr">
        <is>
          <t>DC</t>
        </is>
      </c>
      <c r="C67" s="232" t="n"/>
      <c r="D67" s="232" t="n"/>
      <c r="E67" s="115" t="n"/>
    </row>
    <row r="68" ht="15.75" customHeight="1" s="137">
      <c r="A68" s="185" t="inlineStr">
        <is>
          <t>Destination</t>
        </is>
      </c>
      <c r="B68" s="232" t="inlineStr">
        <is>
          <t>NYC</t>
        </is>
      </c>
      <c r="C68" s="232" t="n"/>
      <c r="D68" s="232" t="n"/>
      <c r="E68" s="115" t="n"/>
    </row>
    <row r="69" ht="15.75" customHeight="1" s="137">
      <c r="A69" s="185" t="inlineStr">
        <is>
          <t>Travel Type</t>
        </is>
      </c>
      <c r="B69" s="232" t="inlineStr">
        <is>
          <t>Train</t>
        </is>
      </c>
      <c r="C69" s="232" t="n"/>
      <c r="D69" s="232" t="n"/>
      <c r="E69" s="115" t="n"/>
    </row>
    <row r="70" ht="15.75" customHeight="1" s="137">
      <c r="A70" s="185" t="inlineStr">
        <is>
          <t>Flight Type</t>
        </is>
      </c>
      <c r="B70" s="232" t="n"/>
      <c r="C70" s="232" t="n"/>
      <c r="D70" s="232" t="n"/>
      <c r="E70" s="115" t="n"/>
    </row>
    <row r="71" ht="15.75" customHeight="1" s="137">
      <c r="A71" s="185" t="inlineStr">
        <is>
          <t>Last Minute Buffer</t>
        </is>
      </c>
      <c r="B71" s="232" t="n"/>
      <c r="C71" s="232" t="n"/>
      <c r="D71" s="232" t="n"/>
      <c r="E71" s="115" t="n"/>
    </row>
    <row r="72" ht="15.75" customHeight="1" s="137">
      <c r="A72" s="185" t="inlineStr">
        <is>
          <t>Staff Traveling</t>
        </is>
      </c>
      <c r="B72" s="232" t="n">
        <v>1</v>
      </c>
      <c r="C72" s="232" t="n"/>
      <c r="D72" s="232" t="n"/>
      <c r="E72" s="115" t="n"/>
    </row>
    <row r="73" ht="15.75" customHeight="1" s="137">
      <c r="A73" s="185" t="inlineStr">
        <is>
          <t>Nights</t>
        </is>
      </c>
      <c r="B73" s="232" t="n">
        <v>2</v>
      </c>
      <c r="C73" s="232" t="n"/>
      <c r="D73" s="232" t="n"/>
      <c r="E73" s="115" t="n"/>
    </row>
    <row r="74" ht="15.75" customHeight="1" s="137">
      <c r="A74" s="185" t="inlineStr">
        <is>
          <t>Hotel Budget</t>
        </is>
      </c>
      <c r="B74" s="232" t="inlineStr">
        <is>
          <t>Low</t>
        </is>
      </c>
      <c r="C74" s="232" t="n"/>
      <c r="D74" s="232" t="n"/>
      <c r="E74" s="115" t="n"/>
    </row>
    <row r="75" ht="15.75" customHeight="1" s="137">
      <c r="A75" s="185" t="inlineStr">
        <is>
          <t>Vehicle Type</t>
        </is>
      </c>
      <c r="B75" s="232" t="n"/>
      <c r="C75" s="232" t="n"/>
      <c r="D75" s="232" t="n"/>
      <c r="E75" s="115" t="n"/>
    </row>
    <row r="76" ht="15.75" customHeight="1" s="137">
      <c r="A76" s="185" t="inlineStr">
        <is>
          <t>Vehicle Service</t>
        </is>
      </c>
      <c r="B76" s="232" t="n"/>
      <c r="C76" s="232" t="n"/>
      <c r="D76" s="232" t="n"/>
      <c r="E76" s="115" t="n"/>
    </row>
    <row r="77" ht="15.75" customHeight="1" s="137">
      <c r="A77" s="185" t="inlineStr">
        <is>
          <t>Vehicle Hours</t>
        </is>
      </c>
      <c r="B77" s="232" t="n"/>
      <c r="C77" s="232" t="n"/>
      <c r="D77" s="232" t="n"/>
      <c r="E77" s="115" t="n"/>
    </row>
    <row r="78" ht="15.75" customHeight="1" s="137">
      <c r="A78" s="185" t="inlineStr">
        <is>
          <t>Custom Vehicle Cost</t>
        </is>
      </c>
      <c r="B78" s="197" t="n"/>
      <c r="C78" s="197" t="n"/>
      <c r="D78" s="197" t="n"/>
      <c r="E78" s="115" t="n"/>
    </row>
    <row r="79" ht="15.75" customHeight="1" s="137">
      <c r="A79" s="115" t="n"/>
      <c r="B79" s="115" t="n"/>
      <c r="C79" s="115" t="n"/>
      <c r="D79" s="115" t="n"/>
      <c r="E79" s="115" t="n"/>
    </row>
    <row r="80" ht="15.75" customHeight="1" s="137">
      <c r="A80" s="185" t="inlineStr">
        <is>
          <t>Travel Cost</t>
        </is>
      </c>
      <c r="B80" s="201">
        <f>IF(OR(B68="",B72=""),0,IF(B69="Drive",IFERROR(VLOOKUP(B67&amp;" to "&amp;B68,DriveRoutes,2,FALSE),0),IF(B69="Train",IFERROR(VLOOKUP(B67&amp;" to "&amp;B68,TrainRoutes,2,FALSE),0)*B72,IF(B69="Flight",IFERROR(VLOOKUP(B70,FlightTypes,2,FALSE),0)*B72+IF(B71="Yes",150*B72,0),0))))</f>
        <v/>
      </c>
      <c r="C80" s="201">
        <f>IF(OR(C68="",C72=""),0,IF(C69="Drive",IFERROR(VLOOKUP(C67&amp;" to "&amp;C68,DriveRoutes,2,FALSE),0),IF(C69="Train",IFERROR(VLOOKUP(C67&amp;" to "&amp;C68,TrainRoutes,2,FALSE),0)*C72,IF(C69="Flight",IFERROR(VLOOKUP(C70,FlightTypes,2,FALSE),0)*C72+IF(C71="Yes",150*C72,0),0))))</f>
        <v/>
      </c>
      <c r="D80" s="201">
        <f>IF(OR(D68="",D72=""),0,IF(D69="Drive",IFERROR(VLOOKUP(D67&amp;" to "&amp;D68,DriveRoutes,2,FALSE),0),IF(D69="Train",IFERROR(VLOOKUP(D67&amp;" to "&amp;D68,TrainRoutes,2,FALSE),0)*D72,IF(D69="Flight",IFERROR(VLOOKUP(D70,FlightTypes,2,FALSE),0)*D72+IF(D71="Yes",150*D72,0),0))))</f>
        <v/>
      </c>
      <c r="E80" s="115" t="n"/>
    </row>
    <row r="81" ht="15.75" customHeight="1" s="137">
      <c r="A81" s="185" t="inlineStr">
        <is>
          <t>Hotel Cost</t>
        </is>
      </c>
      <c r="B81" s="201">
        <f>IF(OR(B68="",B72="",B73=""),0,B73*IFERROR(IF(B74="High",VLOOKUP(B68,HotelRates,3,FALSE),VLOOKUP(B68,HotelRates,2,FALSE)),0)*B72)</f>
        <v/>
      </c>
      <c r="C81" s="201">
        <f>IF(OR(C68="",C72="",C73=""),0,C73*IFERROR(IF(C74="High",VLOOKUP(C68,HotelRates,3,FALSE),VLOOKUP(C68,HotelRates,2,FALSE)),0)*C72)</f>
        <v/>
      </c>
      <c r="D81" s="201">
        <f>IF(OR(D68="",D72="",D73=""),0,D73*IFERROR(IF(D74="High",VLOOKUP(D68,HotelRates,3,FALSE),VLOOKUP(D68,HotelRates,2,FALSE)),0)*D72)</f>
        <v/>
      </c>
      <c r="E81" s="115" t="n"/>
    </row>
    <row r="82" ht="15.75" customHeight="1" s="137">
      <c r="A82" s="185" t="inlineStr">
        <is>
          <t>Per Diem Cost</t>
        </is>
      </c>
      <c r="B82" s="201">
        <f>IF(OR(B68="",B72=""),0,IF(B68="NYC",IF(B73=0,'Client Setup'!C95,IF(B73=1,'Client Setup'!C95+'Client Setup'!B95,2*'Client Setup'!C95+(B73-1)*'Client Setup'!B95)),IF(B73=0,'Client Setup'!C94,IF(B73=1,'Client Setup'!C94+'Client Setup'!B94,2*'Client Setup'!C94+(B73-1)*'Client Setup'!B94)))*B72)</f>
        <v/>
      </c>
      <c r="C82" s="201">
        <f>IF(OR(C68="",C72=""),0,IF(C68="NYC",IF(C73=0,'Client Setup'!C95,IF(C73=1,'Client Setup'!C95+'Client Setup'!B95,2*'Client Setup'!C95+(C73-1)*'Client Setup'!B95)),IF(C73=0,'Client Setup'!C94,IF(C73=1,'Client Setup'!C94+'Client Setup'!B94,2*'Client Setup'!C94+(C73-1)*'Client Setup'!B94)))*C72)</f>
        <v/>
      </c>
      <c r="D82" s="201">
        <f>IF(OR(D68="",D72=""),0,IF(D68="NYC",IF(D73=0,'Client Setup'!C95,IF(D73=1,'Client Setup'!C95+'Client Setup'!B95,2*'Client Setup'!C95+(D73-1)*'Client Setup'!B95)),IF(D73=0,'Client Setup'!C94,IF(D73=1,'Client Setup'!C94+'Client Setup'!B94,2*'Client Setup'!C94+(D73-1)*'Client Setup'!B94)))*D72)</f>
        <v/>
      </c>
      <c r="E82" s="115" t="n"/>
    </row>
    <row r="83" ht="15.75" customHeight="1" s="137">
      <c r="A83" s="185" t="inlineStr">
        <is>
          <t>Vehicle Cost</t>
        </is>
      </c>
      <c r="B83" s="201">
        <f>IF(AND(ISNUMBER(B78),B78&gt;0),B78,IF(OR(B75="",B75="None"),0,IF(B76="Airport Transfer",IFERROR(VLOOKUP(B68,VehicleRates,IF(B75="Sedan",3,IF(B75="SUV",5,7)),FALSE),0),IF(B76="Hourly",IFERROR(VLOOKUP(B68,VehicleRates,IF(B75="Sedan",2,IF(B75="SUV",4,6)),FALSE),0)*B77,0))))</f>
        <v/>
      </c>
      <c r="C83" s="201">
        <f>IF(AND(ISNUMBER(C78),C78&gt;0),C78,IF(OR(C75="",C75="None"),0,IF(C76="Airport Transfer",IFERROR(VLOOKUP(C68,VehicleRates,IF(C75="Sedan",3,IF(C75="SUV",5,7)),FALSE),0),IF(C76="Hourly",IFERROR(VLOOKUP(C68,VehicleRates,IF(C75="Sedan",2,IF(C75="SUV",4,6)),FALSE),0)*C77,0))))</f>
        <v/>
      </c>
      <c r="D83" s="201">
        <f>IF(AND(ISNUMBER(D78),D78&gt;0),D78,IF(OR(D75="",D75="None"),0,IF(D76="Airport Transfer",IFERROR(VLOOKUP(D68,VehicleRates,IF(D75="Sedan",3,IF(D75="SUV",5,7)),FALSE),0),IF(D76="Hourly",IFERROR(VLOOKUP(D68,VehicleRates,IF(D75="Sedan",2,IF(D75="SUV",4,6)),FALSE),0)*D77,0))))</f>
        <v/>
      </c>
      <c r="E83" s="115" t="n"/>
    </row>
    <row r="84" ht="15.75" customHeight="1" s="137">
      <c r="A84" s="183" t="inlineStr">
        <is>
          <t>Trip Total</t>
        </is>
      </c>
      <c r="B84" s="204">
        <f>B80+B81+B82+B83</f>
        <v/>
      </c>
      <c r="C84" s="204">
        <f>C80+C81+C82+C83</f>
        <v/>
      </c>
      <c r="D84" s="204">
        <f>D80+D81+D82+D83</f>
        <v/>
      </c>
      <c r="E84" s="115" t="n"/>
    </row>
    <row r="85" ht="15.75" customHeight="1" s="137">
      <c r="A85" s="115" t="n"/>
      <c r="B85" s="115" t="n"/>
      <c r="C85" s="115" t="n"/>
      <c r="D85" s="115" t="n"/>
      <c r="E85" s="115" t="n"/>
    </row>
    <row r="86" ht="15.75" customHeight="1" s="137">
      <c r="A86" s="189" t="inlineStr">
        <is>
          <t>Total Travel Expenses</t>
        </is>
      </c>
      <c r="B86" s="205" t="n"/>
      <c r="C86" s="205" t="n"/>
      <c r="D86" s="206">
        <f>B84+C84+D84</f>
        <v/>
      </c>
      <c r="E86" s="115" t="n"/>
    </row>
    <row r="87" ht="15.75" customHeight="1" s="137">
      <c r="A87" s="115" t="n"/>
      <c r="B87" s="115" t="n"/>
      <c r="C87" s="115" t="n"/>
      <c r="D87" s="115" t="n"/>
      <c r="E87" s="115" t="n"/>
    </row>
    <row r="88" ht="15.75" customHeight="1" s="137">
      <c r="A88" s="99" t="inlineStr">
        <is>
          <t>PROFIT &amp; MARGIN ANALYSIS</t>
        </is>
      </c>
      <c r="B88" s="92" t="n"/>
      <c r="C88" s="92" t="n"/>
      <c r="D88" s="92" t="n"/>
      <c r="E88" s="92"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137">
      <c r="A89" s="100" t="inlineStr">
        <is>
          <t>Third-Party Commission</t>
        </is>
      </c>
      <c r="B89" s="52" t="n"/>
      <c r="C89" s="101">
        <f>'Client Setup'!C36</f>
        <v/>
      </c>
      <c r="D89" s="174">
        <f>(E43+E46+E48+E49+E51+E52+E53)*C83</f>
        <v/>
      </c>
      <c r="E89" s="52" t="n"/>
      <c r="F89" s="52" t="n"/>
      <c r="G89" s="52"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137">
      <c r="A90" s="100" t="inlineStr">
        <is>
          <t>Global DMC Fee (6.5%)</t>
        </is>
      </c>
      <c r="B90" s="52" t="n"/>
      <c r="C90" s="175">
        <f>IF('Client Setup'!C37="Yes",0.065,0)</f>
        <v/>
      </c>
      <c r="D90" s="174">
        <f>IF('Client Setup'!C37="Yes",(E43+E46+E48+E49+E51+E52+E53)*0.065,0)</f>
        <v/>
      </c>
      <c r="E90" s="52" t="n"/>
      <c r="F90" s="52" t="n"/>
      <c r="G90" s="52"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137">
      <c r="A91" s="100" t="inlineStr">
        <is>
          <t>Total Vendor Costs (incl. CC fee)</t>
        </is>
      </c>
      <c r="B91" s="52" t="n"/>
      <c r="C91" s="52" t="n"/>
      <c r="D91" s="174">
        <f>D54+D55</f>
        <v/>
      </c>
      <c r="E91" s="52" t="n"/>
      <c r="F91" s="52" t="n"/>
      <c r="G91" s="52"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137">
      <c r="A92" s="103" t="inlineStr">
        <is>
          <t>QC Revenue</t>
        </is>
      </c>
      <c r="B92" s="52" t="n"/>
      <c r="C92" s="52" t="n"/>
      <c r="D92" s="174">
        <f>IFERROR(E57-D83-D84-D85,0)</f>
        <v/>
      </c>
      <c r="E92" s="52" t="n"/>
      <c r="F92" s="52" t="n"/>
      <c r="G92" s="52"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137">
      <c r="A93" s="104" t="inlineStr">
        <is>
          <t>QC Margin %</t>
        </is>
      </c>
      <c r="B93" s="45" t="n"/>
      <c r="C93" s="45" t="n"/>
      <c r="D93" s="176">
        <f>IFERROR(IF(E57&gt;0,D86/E57,0),0)</f>
        <v/>
      </c>
      <c r="E93" s="45" t="n"/>
      <c r="F93" s="45" t="n"/>
      <c r="G93" s="45"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137">
      <c r="A94" s="183" t="inlineStr">
        <is>
          <t>Margin Health</t>
        </is>
      </c>
      <c r="B94" s="82" t="n"/>
      <c r="C94" s="82" t="n"/>
      <c r="D94" s="207">
        <f>IF(D87&gt;=0.45,"✓ STRONG",IF(D87&gt;=0.35,"→ ON TARGET",IF(D87&gt;=0.25,"⚠ REVIEW","✗ BELOW FLOOR")))</f>
        <v/>
      </c>
      <c r="E94" s="82" t="n"/>
      <c r="F94" s="82" t="n"/>
      <c r="G94" s="82"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137">
      <c r="A95" s="16" t="n"/>
      <c r="B95" s="16" t="n"/>
      <c r="C95" s="16" t="n"/>
      <c r="D95" s="16" t="n"/>
      <c r="E95" s="16" t="n"/>
      <c r="F95" s="16" t="n"/>
      <c r="G95" s="16"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137">
      <c r="A96" s="185" t="inlineStr">
        <is>
          <t>Estimated Team Hours</t>
        </is>
      </c>
      <c r="B96" s="82" t="n"/>
      <c r="C96" s="83" t="n"/>
      <c r="D96" s="201">
        <f>IF(ISNUMBER(C90),C90*90,0)</f>
        <v/>
      </c>
      <c r="E96" s="208" t="inlineStr">
        <is>
          <t>Hours × $90/hr</t>
        </is>
      </c>
      <c r="F96" s="82" t="n"/>
      <c r="G96" s="82"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137">
      <c r="A97" s="183" t="inlineStr">
        <is>
          <t>True Net Profit</t>
        </is>
      </c>
      <c r="B97" s="84" t="n"/>
      <c r="C97" s="84" t="n"/>
      <c r="D97" s="201">
        <f>D92-D96-D86</f>
        <v/>
      </c>
      <c r="E97" s="84" t="n"/>
      <c r="F97" s="84" t="n"/>
      <c r="G97" s="84"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137">
      <c r="A98" s="185" t="inlineStr">
        <is>
          <t>True Net Margin %</t>
        </is>
      </c>
      <c r="B98" s="85" t="n"/>
      <c r="C98" s="85" t="n"/>
      <c r="D98" s="209">
        <f>IFERROR(IF(E57&gt;0,D91/E57,0),0)</f>
        <v/>
      </c>
      <c r="E98" s="85" t="n"/>
      <c r="F98" s="85" t="n"/>
      <c r="G98" s="85"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137">
      <c r="A99" s="183" t="inlineStr">
        <is>
          <t>True Net Health</t>
        </is>
      </c>
      <c r="B99" s="84" t="n"/>
      <c r="C99" s="84" t="n"/>
      <c r="D99" s="207">
        <f>IF(D92&gt;=0.15,"✓ STRONG",IF(D92&gt;=0.07,"→ ON TARGET",IF(D92&gt;=0,"⚠ THIN","✗ LOSING MONEY")))</f>
        <v/>
      </c>
      <c r="E99" s="84" t="n"/>
      <c r="F99" s="84" t="n"/>
      <c r="G99" s="84"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137">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137">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137">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137">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137">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13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137">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137">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13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137">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137">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137">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137">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137">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137">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137">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137">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137">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137">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137">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137">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137">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137">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137">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137">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137">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137">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137">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137">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137">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137">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137">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13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13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3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3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3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3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3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3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13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3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13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13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13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13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3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3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3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3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3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3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3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3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3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3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3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3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3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3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3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3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3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3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3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3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3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3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3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3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3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3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3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3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3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3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3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3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3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3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3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3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3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3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3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3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3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3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3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3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3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3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3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3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3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3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3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3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3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3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3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3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3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3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3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3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3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3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3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3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3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3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3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3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3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3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3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3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3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3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3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3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3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3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3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3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3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3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3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3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3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3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3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3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3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3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3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3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3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3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3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3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3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3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3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3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3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3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3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3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3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3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3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3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3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3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3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3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3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3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3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3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3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3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3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3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3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3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3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3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3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3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3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3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3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3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3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3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3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3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3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3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3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3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3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3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3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3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3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3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3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3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3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3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3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3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3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3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3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3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3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3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3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3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3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3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3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3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3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3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3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3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3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3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3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3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3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3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3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3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3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3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3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3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3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3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3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3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3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3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3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3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3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3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3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3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3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3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3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3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3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3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3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3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3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3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3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3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3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3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3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3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3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3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3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3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3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3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3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3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3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3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3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3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3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3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3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3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3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3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3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3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3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3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3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3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3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3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3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3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3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3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3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3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3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3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3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3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3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3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3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3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3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3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3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3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3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3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3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3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3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3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3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3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3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3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3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3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3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3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3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3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3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3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3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3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3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3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3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3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3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3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3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3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3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3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3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3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3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3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3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3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3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3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3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3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3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3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3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3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3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3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3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3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3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3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3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3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3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3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3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3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3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3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3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3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3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3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3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3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3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3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3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3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3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3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3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3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3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3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3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3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3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3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3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3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3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3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3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3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3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3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3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3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3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3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3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3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3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3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3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3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3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3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3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3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3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3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3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3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3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3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3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3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3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3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3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3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3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3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3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3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3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3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3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3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3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3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3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3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3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3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3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3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3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3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3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3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3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3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3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3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3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3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3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3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3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3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3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3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3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3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3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3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3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3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3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3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3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3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3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3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3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3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3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3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3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3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3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3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3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3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3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3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3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3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3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3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3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3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3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3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3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3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3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3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3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3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3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3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3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3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3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3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3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3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3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3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3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3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3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3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3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3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3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3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3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3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3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3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3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3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3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3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3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3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3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3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3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3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3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3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3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3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3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3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3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3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3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3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3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3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3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3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3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3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3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3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3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3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3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3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3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3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3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3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3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3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3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3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3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3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3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3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3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3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3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3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3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3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3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3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3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3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3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3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3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3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3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3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3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3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3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3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3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3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3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3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3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3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3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3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3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3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3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3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3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3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3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3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3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3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3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3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3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3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3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3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3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3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3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3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3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3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3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3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3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3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3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3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3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3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3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3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3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3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3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3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3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3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3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3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3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3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3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3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3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3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3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3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3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3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3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3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3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3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3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3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3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3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3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3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3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3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3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3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3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3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3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3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3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3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3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3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3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3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3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3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3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3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3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3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3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3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3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3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3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3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3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3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3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3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3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3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3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3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3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3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3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3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3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3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3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3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3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3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3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3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3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3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3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3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3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3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3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3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3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3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3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3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3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3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3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3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3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3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3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3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3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3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3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3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3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3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3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3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3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3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3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3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3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3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3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3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3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3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3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3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3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3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3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3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3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3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3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3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3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3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3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3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3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3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3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3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3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3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3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3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3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3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3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3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3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3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3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3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3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3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3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3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3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3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3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3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3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3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3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3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3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3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3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3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3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3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3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3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3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3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3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3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3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3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3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3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3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3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3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3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3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3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3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3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3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3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3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3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3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3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3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3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3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3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3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3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3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3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3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3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3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3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3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3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3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3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3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3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3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3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3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3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3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3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3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3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3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3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3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3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3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3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3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3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3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3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3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3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3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3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3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3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3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3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3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3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3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3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3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3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3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3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3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3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3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3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3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3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3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3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3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3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3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3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3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3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3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3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3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3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3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3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3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3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3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3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3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3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3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3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3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3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3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3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3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3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3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3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3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3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3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3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3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3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3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3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3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3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3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3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3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3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3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3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3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6" customHeight="1" s="137">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6" customHeight="1" s="137">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6" customHeight="1" s="137">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6" customHeight="1" s="137">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6" customHeight="1" s="137">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6" customHeight="1" s="137">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6" customHeight="1" s="13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6" customHeight="1" s="137">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6" customHeight="1" s="137">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6" customHeight="1" s="137">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6" customHeight="1" s="137">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6" customHeight="1" s="137">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6" customHeight="1" s="137">
      <c r="A1013" s="1" t="n"/>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6" customHeight="1" s="137">
      <c r="A1014" s="1" t="n"/>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6" customHeight="1" s="137">
      <c r="A1015" s="1" t="n"/>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6" customHeight="1" s="137">
      <c r="A1016" s="1" t="n"/>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6" customHeight="1" s="137">
      <c r="A1017" s="1" t="n"/>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6" customHeight="1" s="137">
      <c r="A1018" s="1" t="n"/>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6" customHeight="1" s="137">
      <c r="A1019" s="1" t="n"/>
      <c r="B1019" s="1" t="n"/>
      <c r="C1019" s="1"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6" customHeight="1" s="137">
      <c r="A1020" s="1" t="n"/>
      <c r="B1020" s="1" t="n"/>
      <c r="C1020" s="1"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6" customHeight="1" s="137">
      <c r="A1021" s="1" t="n"/>
      <c r="B1021" s="1" t="n"/>
      <c r="C1021" s="1"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6" customHeight="1" s="137">
      <c r="A1022" s="1" t="n"/>
      <c r="B1022" s="1" t="n"/>
      <c r="C1022" s="1" t="n"/>
      <c r="D1022" s="1" t="n"/>
      <c r="E1022" s="1" t="n"/>
      <c r="F1022" s="1" t="n"/>
      <c r="G1022" s="1" t="n"/>
      <c r="H1022" s="1" t="n"/>
      <c r="I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6" customHeight="1" s="137">
      <c r="A1023" s="1" t="n"/>
      <c r="B1023" s="1" t="n"/>
      <c r="C1023" s="1" t="n"/>
      <c r="D1023" s="1" t="n"/>
      <c r="E1023" s="1" t="n"/>
      <c r="F1023" s="1" t="n"/>
      <c r="G1023" s="1" t="n"/>
      <c r="H1023" s="1" t="n"/>
      <c r="I1023" s="1" t="n"/>
      <c r="J1023" s="1" t="n"/>
      <c r="K1023" s="1" t="n"/>
      <c r="L1023" s="1" t="n"/>
      <c r="M1023" s="1" t="n"/>
      <c r="N1023" s="1" t="n"/>
      <c r="O1023" s="1" t="n"/>
      <c r="P1023" s="1" t="n"/>
      <c r="Q1023" s="1" t="n"/>
      <c r="R1023" s="1" t="n"/>
      <c r="S1023" s="1" t="n"/>
      <c r="T1023" s="1" t="n"/>
      <c r="U1023" s="1" t="n"/>
      <c r="V1023" s="1" t="n"/>
      <c r="W1023" s="1" t="n"/>
      <c r="X1023" s="1" t="n"/>
      <c r="Y1023" s="1" t="n"/>
      <c r="Z1023" s="1" t="n"/>
    </row>
    <row r="1024" ht="16" customHeight="1" s="137">
      <c r="A1024" s="1" t="n"/>
      <c r="B1024" s="1" t="n"/>
      <c r="C1024" s="1" t="n"/>
      <c r="D1024" s="1" t="n"/>
      <c r="E1024" s="1" t="n"/>
      <c r="F1024" s="1" t="n"/>
      <c r="G1024" s="1" t="n"/>
      <c r="H1024" s="1" t="n"/>
      <c r="I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6" customHeight="1" s="137">
      <c r="A1025" s="1" t="n"/>
      <c r="B1025" s="1" t="n"/>
      <c r="C1025" s="1" t="n"/>
      <c r="D1025" s="1" t="n"/>
      <c r="E1025" s="1" t="n"/>
      <c r="F1025" s="1" t="n"/>
      <c r="G1025" s="1" t="n"/>
      <c r="H1025" s="1" t="n"/>
      <c r="I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6" customHeight="1" s="137">
      <c r="A1026" s="1" t="n"/>
      <c r="B1026" s="1" t="n"/>
      <c r="C1026" s="1" t="n"/>
      <c r="D1026" s="1" t="n"/>
      <c r="E1026" s="1" t="n"/>
      <c r="F1026" s="1" t="n"/>
      <c r="G1026" s="1" t="n"/>
      <c r="H1026" s="1" t="n"/>
      <c r="I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6" customHeight="1" s="137">
      <c r="A1027" s="1" t="n"/>
      <c r="B1027" s="1" t="n"/>
      <c r="C1027" s="1" t="n"/>
      <c r="D1027" s="1" t="n"/>
      <c r="E1027" s="1" t="n"/>
      <c r="F1027" s="1" t="n"/>
      <c r="G1027" s="1" t="n"/>
      <c r="H1027" s="1" t="n"/>
      <c r="I1027" s="1" t="n"/>
      <c r="J1027" s="1" t="n"/>
      <c r="K1027" s="1" t="n"/>
      <c r="L1027" s="1" t="n"/>
      <c r="M1027" s="1" t="n"/>
      <c r="N1027" s="1" t="n"/>
      <c r="O1027" s="1" t="n"/>
      <c r="P1027" s="1" t="n"/>
      <c r="Q1027" s="1" t="n"/>
      <c r="R1027" s="1" t="n"/>
      <c r="S1027" s="1" t="n"/>
      <c r="T1027" s="1" t="n"/>
      <c r="U1027" s="1" t="n"/>
      <c r="V1027" s="1" t="n"/>
      <c r="W1027" s="1" t="n"/>
      <c r="X1027" s="1" t="n"/>
      <c r="Y1027" s="1" t="n"/>
      <c r="Z1027" s="1" t="n"/>
    </row>
  </sheetData>
  <mergeCells count="15">
    <mergeCell ref="B6:C6"/>
    <mergeCell ref="A1:G1"/>
    <mergeCell ref="B7:C7"/>
    <mergeCell ref="B11:C11"/>
    <mergeCell ref="B5:C5"/>
    <mergeCell ref="I5:K5"/>
    <mergeCell ref="B10:C10"/>
    <mergeCell ref="A4:G4"/>
    <mergeCell ref="A2:G2"/>
    <mergeCell ref="I4:K4"/>
    <mergeCell ref="I8:J8"/>
    <mergeCell ref="B9:C9"/>
    <mergeCell ref="B8:C8"/>
    <mergeCell ref="I9:J9"/>
    <mergeCell ref="I7:K7"/>
  </mergeCells>
  <dataValidations count="17">
    <dataValidation sqref="C15" showDropDown="0" showInputMessage="0" showErrorMessage="0" allowBlank="1" type="list">
      <formula1>"20%,None"</formula1>
      <formula2>0</formula2>
    </dataValidation>
    <dataValidation sqref="C16" showDropDown="0" showInputMessage="0" showErrorMessage="0" allowBlank="1" type="list">
      <formula1>"5%,None"</formula1>
      <formula2>0</formula2>
    </dataValidation>
    <dataValidation sqref="C14" showDropDown="0" showInputMessage="0" showErrorMessage="0" allowBlank="1" type="list">
      <formula1>"20%,21.5%,None"</formula1>
      <formula2>0</formula2>
    </dataValidation>
    <dataValidation sqref="B8" showDropDown="0" showInputMessage="0" showErrorMessage="0" allowBlank="1" type="list">
      <formula1>"Yes,No"</formula1>
      <formula2>0</formula2>
    </dataValidation>
    <dataValidation sqref="G24 G25 G26 G28 G29 G30 G31 G33 G34 G35 G38 G39 G40" showDropDown="0" showInputMessage="0" showErrorMessage="0" allowBlank="1" prompt="Select pricing category" type="list">
      <formula1>CategoryList</formula1>
    </dataValidation>
    <dataValidation sqref="B38" showDropDown="0" showInputMessage="0" showErrorMessage="0" allowBlank="0" prompt="Auto-calculated from guest count. Override if needed." type="list">
      <formula1>"1,2,3,4,5"</formula1>
    </dataValidation>
    <dataValidation sqref="B67 C67 D67" showDropDown="0" showInputMessage="0" showErrorMessage="0" allowBlank="1" type="list">
      <formula1>OriginList</formula1>
    </dataValidation>
    <dataValidation sqref="B68 C68 D68" showDropDown="0" showInputMessage="0" showErrorMessage="0" allowBlank="1" type="list">
      <formula1>DestinationList</formula1>
    </dataValidation>
    <dataValidation sqref="B69 C69 D69" showDropDown="0" showInputMessage="0" showErrorMessage="0" allowBlank="1" type="list">
      <formula1>"Drive,Train,Flight"</formula1>
    </dataValidation>
    <dataValidation sqref="B70 C70 D70" showDropDown="0" showInputMessage="0" showErrorMessage="0" allowBlank="1" type="list">
      <formula1>"Short Haul,Medium Haul,Major Market to NYC"</formula1>
    </dataValidation>
    <dataValidation sqref="B71 C71 D71" showDropDown="0" showInputMessage="0" showErrorMessage="0" allowBlank="1" type="list">
      <formula1>"No,Yes"</formula1>
    </dataValidation>
    <dataValidation sqref="B72 C72 D72" showDropDown="0" showInputMessage="0" showErrorMessage="0" allowBlank="1" type="list">
      <formula1>"1,2,3,4,5"</formula1>
    </dataValidation>
    <dataValidation sqref="B73 C73 D73" showDropDown="0" showInputMessage="0" showErrorMessage="0" allowBlank="1" type="list">
      <formula1>"0,1,2,3,4,5"</formula1>
    </dataValidation>
    <dataValidation sqref="B74 C74 D74" showDropDown="0" showInputMessage="0" showErrorMessage="0" allowBlank="1" type="list">
      <formula1>"Low,High"</formula1>
    </dataValidation>
    <dataValidation sqref="B75 C75 D75" showDropDown="0" showInputMessage="0" showErrorMessage="0" allowBlank="1" type="list">
      <formula1>"None,Sedan,SUV,Sprinter"</formula1>
    </dataValidation>
    <dataValidation sqref="B76 C76 D76" showDropDown="0" showInputMessage="0" showErrorMessage="0" allowBlank="1" type="list">
      <formula1>"Hourly,Airport Transfer"</formula1>
    </dataValidation>
    <dataValidation sqref="B77 C77 D77" showDropDown="0" showInputMessage="0" showErrorMessage="0" allowBlank="1" type="list">
      <formula1>"1,2,3,4,5,6,7,8,10,12"</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Z1027"/>
  <sheetViews>
    <sheetView zoomScaleNormal="100" workbookViewId="0">
      <selection activeCell="A1" sqref="A1"/>
    </sheetView>
  </sheetViews>
  <sheetFormatPr baseColWidth="10" defaultColWidth="14.5" defaultRowHeight="15"/>
  <cols>
    <col width="32" customWidth="1" style="137" min="1" max="1"/>
    <col width="16" customWidth="1" style="137" min="2" max="2"/>
    <col width="10" customWidth="1" style="137" min="3" max="3"/>
    <col width="12" customWidth="1" style="137" min="4" max="4"/>
    <col width="14" customWidth="1" style="137" min="5" max="6"/>
    <col width="10" customWidth="1" style="137" min="7" max="7"/>
    <col width="44" customWidth="1" style="137" min="8" max="8"/>
    <col width="3" customWidth="1" style="137" min="9" max="9"/>
    <col width="38" customWidth="1" style="137" min="10" max="10"/>
    <col width="14" customWidth="1" style="137" min="11" max="11"/>
    <col width="3" customWidth="1" style="137" min="12" max="12"/>
    <col width="28" customWidth="1" style="137" min="13" max="13"/>
    <col width="14" customWidth="1" style="137" min="14" max="14"/>
    <col width="8.6640625" customWidth="1" style="137" min="15" max="26"/>
  </cols>
  <sheetData>
    <row r="1" ht="63.75" customHeight="1" s="137">
      <c r="A1" s="140" t="n"/>
      <c r="B1" s="134" t="n"/>
      <c r="C1" s="134" t="n"/>
      <c r="D1" s="134" t="n"/>
      <c r="E1" s="134" t="n"/>
      <c r="F1" s="134" t="n"/>
      <c r="G1" s="134" t="n"/>
      <c r="H1" s="132" t="n"/>
      <c r="I1" s="1" t="n"/>
      <c r="J1" s="1" t="n"/>
      <c r="K1" s="1" t="n"/>
      <c r="L1" s="1" t="n"/>
      <c r="M1" s="1" t="n"/>
      <c r="N1" s="1" t="n"/>
      <c r="O1" s="1" t="n"/>
      <c r="P1" s="1" t="n"/>
      <c r="Q1" s="1" t="n"/>
      <c r="R1" s="1" t="n"/>
      <c r="S1" s="1" t="n"/>
      <c r="T1" s="1" t="n"/>
      <c r="U1" s="1" t="n"/>
      <c r="V1" s="1" t="n"/>
      <c r="W1" s="1" t="n"/>
      <c r="X1" s="1" t="n"/>
      <c r="Y1" s="1" t="n"/>
      <c r="Z1" s="1" t="n"/>
    </row>
    <row r="2" ht="21.75" customHeight="1" s="137">
      <c r="A2" s="143" t="inlineStr">
        <is>
          <t>Decor &amp; Production Estimate</t>
        </is>
      </c>
      <c r="B2" s="134" t="n"/>
      <c r="C2" s="134" t="n"/>
      <c r="D2" s="134" t="n"/>
      <c r="E2" s="134" t="n"/>
      <c r="F2" s="134" t="n"/>
      <c r="G2" s="134" t="n"/>
      <c r="H2" s="132" t="n"/>
      <c r="I2" s="1" t="n"/>
      <c r="J2" s="1" t="n"/>
      <c r="K2" s="1" t="n"/>
      <c r="L2" s="1" t="n"/>
      <c r="M2" s="1" t="n"/>
      <c r="N2" s="1" t="n"/>
      <c r="O2" s="1" t="n"/>
      <c r="P2" s="1" t="n"/>
      <c r="Q2" s="1" t="n"/>
      <c r="R2" s="1" t="n"/>
      <c r="S2" s="1" t="n"/>
      <c r="T2" s="1" t="n"/>
      <c r="U2" s="1" t="n"/>
      <c r="V2" s="1" t="n"/>
      <c r="W2" s="1" t="n"/>
      <c r="X2" s="1" t="n"/>
      <c r="Y2" s="1" t="n"/>
      <c r="Z2" s="1" t="n"/>
    </row>
    <row r="3" ht="6" customHeight="1" s="13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137">
      <c r="A4" s="133" t="inlineStr">
        <is>
          <t>EVENT INFO (from Client Setup)</t>
        </is>
      </c>
      <c r="B4" s="134" t="n"/>
      <c r="C4" s="134" t="n"/>
      <c r="D4" s="134" t="n"/>
      <c r="E4" s="134" t="n"/>
      <c r="F4" s="134" t="n"/>
      <c r="G4" s="134" t="n"/>
      <c r="H4" s="132" t="n"/>
      <c r="I4" s="1" t="n"/>
      <c r="J4" s="133" t="inlineStr">
        <is>
          <t>DETAILED CLIENT VIEW</t>
        </is>
      </c>
      <c r="K4" s="132" t="n"/>
      <c r="L4" s="1" t="n"/>
      <c r="M4" s="133" t="inlineStr">
        <is>
          <t>SUMMARY VIEW</t>
        </is>
      </c>
      <c r="N4" s="132" t="n"/>
      <c r="O4" s="1" t="n"/>
      <c r="P4" s="1" t="n"/>
      <c r="Q4" s="1" t="n"/>
      <c r="R4" s="1" t="n"/>
      <c r="S4" s="1" t="n"/>
      <c r="T4" s="1" t="n"/>
      <c r="U4" s="1" t="n"/>
      <c r="V4" s="1" t="n"/>
      <c r="W4" s="1" t="n"/>
      <c r="X4" s="1" t="n"/>
      <c r="Y4" s="1" t="n"/>
      <c r="Z4" s="1" t="n"/>
    </row>
    <row r="5" ht="21.75" customHeight="1" s="137">
      <c r="A5" s="146" t="inlineStr">
        <is>
          <t>Client:</t>
        </is>
      </c>
      <c r="B5" s="145">
        <f>'Client Setup'!B5</f>
        <v/>
      </c>
      <c r="C5" s="132" t="n"/>
      <c r="D5" s="5" t="n"/>
      <c r="E5" s="5" t="n"/>
      <c r="F5" s="5" t="n"/>
      <c r="G5" s="5" t="n"/>
      <c r="H5" s="5" t="n"/>
      <c r="I5" s="1" t="n"/>
      <c r="J5" s="146" t="inlineStr">
        <is>
          <t>Itemized — each section is one Canva slide</t>
        </is>
      </c>
      <c r="K5" s="132" t="n"/>
      <c r="L5" s="1" t="n"/>
      <c r="M5" s="146" t="inlineStr">
        <is>
          <t>Category totals for client</t>
        </is>
      </c>
      <c r="N5" s="132" t="n"/>
      <c r="O5" s="1" t="n"/>
      <c r="P5" s="1" t="n"/>
      <c r="Q5" s="1" t="n"/>
      <c r="R5" s="1" t="n"/>
      <c r="S5" s="1" t="n"/>
      <c r="T5" s="1" t="n"/>
      <c r="U5" s="1" t="n"/>
      <c r="V5" s="1" t="n"/>
      <c r="W5" s="1" t="n"/>
      <c r="X5" s="1" t="n"/>
      <c r="Y5" s="1" t="n"/>
      <c r="Z5" s="1" t="n"/>
    </row>
    <row r="6" ht="21.75" customHeight="1" s="137">
      <c r="A6" s="146" t="inlineStr">
        <is>
          <t>Event Date:</t>
        </is>
      </c>
      <c r="B6" s="178">
        <f>'Client Setup'!B6</f>
        <v/>
      </c>
      <c r="C6" s="132" t="n"/>
      <c r="D6" s="5" t="n"/>
      <c r="E6" s="5" t="n"/>
      <c r="F6" s="5" t="n"/>
      <c r="G6" s="5" t="n"/>
      <c r="H6" s="5" t="n"/>
      <c r="I6" s="1" t="n"/>
      <c r="J6" s="1" t="n"/>
      <c r="K6" s="1" t="n"/>
      <c r="L6" s="1" t="n"/>
      <c r="M6" s="1" t="n"/>
      <c r="N6" s="1" t="n"/>
      <c r="O6" s="1" t="n"/>
      <c r="P6" s="1" t="n"/>
      <c r="Q6" s="1" t="n"/>
      <c r="R6" s="1" t="n"/>
      <c r="S6" s="1" t="n"/>
      <c r="T6" s="1" t="n"/>
      <c r="U6" s="1" t="n"/>
      <c r="V6" s="1" t="n"/>
      <c r="W6" s="1" t="n"/>
      <c r="X6" s="1" t="n"/>
      <c r="Y6" s="1" t="n"/>
      <c r="Z6" s="1" t="n"/>
    </row>
    <row r="7" ht="21.75" customHeight="1" s="137">
      <c r="A7" s="146" t="inlineStr">
        <is>
          <t>Guest Count:</t>
        </is>
      </c>
      <c r="B7" s="147">
        <f>'Client Setup'!B7</f>
        <v/>
      </c>
      <c r="C7" s="132" t="n"/>
      <c r="D7" s="5" t="n"/>
      <c r="E7" s="5" t="n"/>
      <c r="F7" s="5" t="n"/>
      <c r="G7" s="5" t="n"/>
      <c r="H7" s="5" t="n"/>
      <c r="I7" s="1" t="n"/>
      <c r="J7" s="150" t="inlineStr">
        <is>
          <t>DECOR &amp; PRODUCTION ESTIMATE</t>
        </is>
      </c>
      <c r="K7" s="132" t="n"/>
      <c r="L7" s="1" t="n"/>
      <c r="M7" s="150" t="inlineStr">
        <is>
          <t>DECOR &amp; PRODUCTION ESTIMATE</t>
        </is>
      </c>
      <c r="N7" s="132" t="n"/>
      <c r="O7" s="1" t="n"/>
      <c r="P7" s="1" t="n"/>
      <c r="Q7" s="1" t="n"/>
      <c r="R7" s="1" t="n"/>
      <c r="S7" s="1" t="n"/>
      <c r="T7" s="1" t="n"/>
      <c r="U7" s="1" t="n"/>
      <c r="V7" s="1" t="n"/>
      <c r="W7" s="1" t="n"/>
      <c r="X7" s="1" t="n"/>
      <c r="Y7" s="1" t="n"/>
      <c r="Z7" s="1" t="n"/>
    </row>
    <row r="8" ht="21.75" customHeight="1" s="137">
      <c r="A8" s="146" t="inlineStr">
        <is>
          <t>Location:</t>
        </is>
      </c>
      <c r="B8" s="145">
        <f>'Client Setup'!B16</f>
        <v/>
      </c>
      <c r="C8" s="132" t="n"/>
      <c r="D8" s="5" t="n"/>
      <c r="E8" s="5" t="n"/>
      <c r="F8" s="5" t="n"/>
      <c r="G8" s="5" t="n"/>
      <c r="H8" s="5" t="n"/>
      <c r="I8" s="1" t="n"/>
      <c r="J8" s="233" t="inlineStr">
        <is>
          <t>Color</t>
        </is>
      </c>
      <c r="K8" s="234" t="inlineStr">
        <is>
          <t>Meaning</t>
        </is>
      </c>
      <c r="L8" s="1" t="n"/>
      <c r="M8" s="148">
        <f>'Client Setup'!B5</f>
        <v/>
      </c>
      <c r="N8" s="19">
        <f>'Client Setup'!B7&amp;" Guests"</f>
        <v/>
      </c>
      <c r="O8" s="1" t="n"/>
      <c r="P8" s="1" t="n"/>
      <c r="Q8" s="1" t="n"/>
      <c r="R8" s="1" t="n"/>
      <c r="S8" s="1" t="n"/>
      <c r="T8" s="1" t="n"/>
      <c r="U8" s="1" t="n"/>
      <c r="V8" s="1" t="n"/>
      <c r="W8" s="1" t="n"/>
      <c r="X8" s="1" t="n"/>
      <c r="Y8" s="1" t="n"/>
      <c r="Z8" s="1" t="n"/>
    </row>
    <row r="9" ht="21.75" customHeight="1" s="137">
      <c r="A9" s="146" t="inlineStr">
        <is>
          <t>Venue:</t>
        </is>
      </c>
      <c r="B9" s="139" t="n"/>
      <c r="C9" s="132" t="n"/>
      <c r="D9" s="5" t="n"/>
      <c r="E9" s="90" t="inlineStr">
        <is>
          <t>Event Time:</t>
        </is>
      </c>
      <c r="F9" s="91">
        <f>'Client Setup'!B10</f>
        <v/>
      </c>
      <c r="G9" s="5" t="n"/>
      <c r="H9" s="5" t="n"/>
      <c r="I9" s="1" t="n"/>
      <c r="J9" s="242">
        <f>TEXT('Client Setup'!B6,"MMMM D, YYYY")</f>
        <v/>
      </c>
      <c r="K9" s="236" t="inlineStr">
        <is>
          <t>Dropdown — click to select</t>
        </is>
      </c>
      <c r="L9" s="1" t="n"/>
      <c r="M9" s="149">
        <f>TEXT('Client Setup'!B6,"MMMM D, YYYY")</f>
        <v/>
      </c>
      <c r="N9" s="5" t="n"/>
      <c r="O9" s="1" t="n"/>
      <c r="P9" s="1" t="n"/>
      <c r="Q9" s="1" t="n"/>
      <c r="R9" s="1" t="n"/>
      <c r="S9" s="1" t="n"/>
      <c r="T9" s="1" t="n"/>
      <c r="U9" s="1" t="n"/>
      <c r="V9" s="1" t="n"/>
      <c r="W9" s="1" t="n"/>
      <c r="X9" s="1" t="n"/>
      <c r="Y9" s="1" t="n"/>
      <c r="Z9" s="1" t="n"/>
    </row>
    <row r="10" ht="15" customHeight="1" s="137">
      <c r="A10" s="240" t="inlineStr">
        <is>
          <t>Company:</t>
        </is>
      </c>
      <c r="B10" s="246">
        <f>'Client Setup'!B11</f>
        <v/>
      </c>
      <c r="C10" s="67" t="n"/>
      <c r="D10" s="67" t="n"/>
      <c r="E10" s="67" t="n"/>
      <c r="F10" s="67" t="n"/>
      <c r="G10" s="67" t="n"/>
      <c r="H10" s="67" t="n"/>
      <c r="J10" s="237" t="n"/>
      <c r="K10" s="218" t="inlineStr">
        <is>
          <t>Manual entry or formula</t>
        </is>
      </c>
    </row>
    <row r="11" ht="25.5" customHeight="1" s="137">
      <c r="A11" s="240" t="inlineStr">
        <is>
          <t>Program:</t>
        </is>
      </c>
      <c r="B11" s="246">
        <f>'Client Setup'!B12</f>
        <v/>
      </c>
      <c r="C11" s="67" t="n"/>
      <c r="D11" s="67" t="n"/>
      <c r="E11" s="67" t="n"/>
      <c r="F11" s="67" t="n"/>
      <c r="G11" s="67" t="n"/>
      <c r="H11" s="67" t="n"/>
    </row>
    <row r="12" ht="27.75" customHeight="1" s="137">
      <c r="A12" s="240" t="inlineStr">
        <is>
          <t>Client Hotel:</t>
        </is>
      </c>
      <c r="B12" s="246">
        <f>'Client Setup'!B13</f>
        <v/>
      </c>
      <c r="C12" s="67" t="n"/>
      <c r="D12" s="67" t="n"/>
      <c r="E12" s="67" t="n"/>
      <c r="F12" s="67" t="n"/>
      <c r="G12" s="67" t="n"/>
      <c r="H12" s="67" t="n"/>
    </row>
    <row r="13" ht="27.75" customHeight="1" s="137">
      <c r="A13" s="133" t="inlineStr">
        <is>
          <t>FLORALS</t>
        </is>
      </c>
      <c r="I13" s="1" t="n"/>
      <c r="J13" s="1" t="n"/>
      <c r="K13" s="1" t="n"/>
      <c r="L13" s="1" t="n"/>
      <c r="M13" s="1" t="n"/>
      <c r="N13" s="1" t="n"/>
      <c r="O13" s="1" t="n"/>
      <c r="P13" s="1" t="n"/>
      <c r="Q13" s="1" t="n"/>
      <c r="R13" s="1" t="n"/>
      <c r="S13" s="1" t="n"/>
      <c r="T13" s="1" t="n"/>
      <c r="U13" s="1" t="n"/>
      <c r="V13" s="1" t="n"/>
      <c r="W13" s="1" t="n"/>
      <c r="X13" s="1" t="n"/>
      <c r="Y13" s="1" t="n"/>
      <c r="Z13" s="1" t="n"/>
    </row>
    <row r="14" ht="27.75" customHeight="1" s="137">
      <c r="A14" s="22" t="inlineStr">
        <is>
          <t>Item</t>
        </is>
      </c>
      <c r="B14" s="22" t="inlineStr">
        <is>
          <t>Vendor</t>
        </is>
      </c>
      <c r="C14" s="22" t="inlineStr">
        <is>
          <t>Qty</t>
        </is>
      </c>
      <c r="D14" s="22" t="inlineStr">
        <is>
          <t>Unit Price</t>
        </is>
      </c>
      <c r="E14" s="22" t="inlineStr">
        <is>
          <t>Our Cost</t>
        </is>
      </c>
      <c r="F14" s="22" t="inlineStr">
        <is>
          <t>Client Cost</t>
        </is>
      </c>
      <c r="G14" s="22" t="inlineStr">
        <is>
          <t>Tax Rate</t>
        </is>
      </c>
      <c r="H14" s="22" t="inlineStr">
        <is>
          <t>Notes / Description</t>
        </is>
      </c>
      <c r="I14" s="210" t="inlineStr">
        <is>
          <t>Category</t>
        </is>
      </c>
      <c r="J14" s="21" t="inlineStr">
        <is>
          <t>Item</t>
        </is>
      </c>
      <c r="K14" s="22" t="inlineStr">
        <is>
          <t>Amount</t>
        </is>
      </c>
      <c r="L14" s="1" t="n"/>
      <c r="M14" s="21" t="inlineStr">
        <is>
          <t>Category</t>
        </is>
      </c>
      <c r="N14" s="22" t="inlineStr">
        <is>
          <t>Amount</t>
        </is>
      </c>
      <c r="O14" s="1" t="n"/>
      <c r="P14" s="1" t="n"/>
      <c r="Q14" s="1" t="n"/>
      <c r="R14" s="1" t="n"/>
      <c r="S14" s="1" t="n"/>
      <c r="T14" s="1" t="n"/>
      <c r="U14" s="1" t="n"/>
      <c r="V14" s="1" t="n"/>
      <c r="W14" s="1" t="n"/>
      <c r="X14" s="1" t="n"/>
      <c r="Y14" s="1" t="n"/>
      <c r="Z14" s="1" t="n"/>
    </row>
    <row r="15" ht="27.75" customHeight="1" s="137">
      <c r="A15" s="27" t="inlineStr">
        <is>
          <t>TAXABLE FLORAL PRODUCT</t>
        </is>
      </c>
      <c r="I15" s="1" t="n"/>
      <c r="J15" s="54">
        <f>A13</f>
        <v/>
      </c>
      <c r="L15" s="1" t="n"/>
      <c r="M15" s="149">
        <f>A13</f>
        <v/>
      </c>
      <c r="N15" s="161">
        <f>ROUNDUP(F30/50,0)*50</f>
        <v/>
      </c>
      <c r="O15" s="1" t="n"/>
      <c r="P15" s="1" t="n"/>
      <c r="Q15" s="1" t="n"/>
      <c r="R15" s="1" t="n"/>
      <c r="S15" s="1" t="n"/>
      <c r="T15" s="1" t="n"/>
      <c r="U15" s="1" t="n"/>
      <c r="V15" s="1" t="n"/>
      <c r="W15" s="1" t="n"/>
      <c r="X15" s="1" t="n"/>
      <c r="Y15" s="1" t="n"/>
      <c r="Z15" s="1" t="n"/>
    </row>
    <row r="16" ht="27.75" customHeight="1" s="137">
      <c r="A16" s="55" t="n"/>
      <c r="B16" s="56" t="n"/>
      <c r="C16" s="131" t="n"/>
      <c r="D16" s="160" t="n"/>
      <c r="E16" s="164">
        <f>C16*D16</f>
        <v/>
      </c>
      <c r="F16" s="164">
        <f>IFERROR(E16*(1+VLOOKUP(I16,CategoryTable,2,FALSE)),0)</f>
        <v/>
      </c>
      <c r="G16" s="32">
        <f>'Client Setup'!B19</f>
        <v/>
      </c>
      <c r="H16" s="33" t="n"/>
      <c r="I16" s="238" t="inlineStr">
        <is>
          <t>Décor &amp; Design</t>
        </is>
      </c>
      <c r="J16" s="8">
        <f>IF(A16="","",A16&amp;" x"&amp;C16)</f>
        <v/>
      </c>
      <c r="K16" s="161">
        <f>IF(A16="","",ROUNDUP(F16/10,0)*10)</f>
        <v/>
      </c>
      <c r="L16" s="1" t="n"/>
      <c r="M16" s="149" t="inlineStr">
        <is>
          <t>Seating</t>
        </is>
      </c>
      <c r="N16" s="161">
        <f>ROUNDUP(SUM(F35:F42)/50,0)*50</f>
        <v/>
      </c>
      <c r="O16" s="1" t="n"/>
      <c r="P16" s="1" t="n"/>
      <c r="Q16" s="1" t="n"/>
      <c r="R16" s="1" t="n"/>
      <c r="S16" s="1" t="n"/>
      <c r="T16" s="1" t="n"/>
      <c r="U16" s="1" t="n"/>
      <c r="V16" s="1" t="n"/>
      <c r="W16" s="1" t="n"/>
      <c r="X16" s="1" t="n"/>
      <c r="Y16" s="1" t="n"/>
      <c r="Z16" s="1" t="n"/>
    </row>
    <row r="17" ht="27.75" customHeight="1" s="137">
      <c r="A17" s="55" t="n"/>
      <c r="B17" s="56" t="n"/>
      <c r="C17" s="131" t="n"/>
      <c r="D17" s="160" t="n"/>
      <c r="E17" s="164">
        <f>C17*D17</f>
        <v/>
      </c>
      <c r="F17" s="164">
        <f>IFERROR(E17*(1+VLOOKUP(I17,CategoryTable,2,FALSE)),0)</f>
        <v/>
      </c>
      <c r="G17" s="32">
        <f>'Client Setup'!B19</f>
        <v/>
      </c>
      <c r="H17" s="33" t="n"/>
      <c r="I17" s="238" t="inlineStr">
        <is>
          <t>Décor &amp; Design</t>
        </is>
      </c>
      <c r="J17" s="8">
        <f>IF(A17="","",A17&amp;" x"&amp;C17)</f>
        <v/>
      </c>
      <c r="K17" s="161">
        <f>IF(A17="","",ROUNDUP(F17/10,0)*10)</f>
        <v/>
      </c>
      <c r="L17" s="1" t="n"/>
      <c r="M17" s="149" t="inlineStr">
        <is>
          <t>Lounge Furniture</t>
        </is>
      </c>
      <c r="N17" s="161">
        <f>ROUNDUP(SUM(F44:F51)/50,0)*50</f>
        <v/>
      </c>
      <c r="O17" s="1" t="n"/>
      <c r="P17" s="1" t="n"/>
      <c r="Q17" s="1" t="n"/>
      <c r="R17" s="1" t="n"/>
      <c r="S17" s="1" t="n"/>
      <c r="T17" s="1" t="n"/>
      <c r="U17" s="1" t="n"/>
      <c r="V17" s="1" t="n"/>
      <c r="W17" s="1" t="n"/>
      <c r="X17" s="1" t="n"/>
      <c r="Y17" s="1" t="n"/>
      <c r="Z17" s="1" t="n"/>
    </row>
    <row r="18" ht="27.75" customHeight="1" s="137">
      <c r="A18" s="55" t="n"/>
      <c r="B18" s="56" t="n"/>
      <c r="C18" s="131" t="n"/>
      <c r="D18" s="160" t="n"/>
      <c r="E18" s="164">
        <f>C18*D18</f>
        <v/>
      </c>
      <c r="F18" s="164">
        <f>IFERROR(E18*(1+VLOOKUP(I18,CategoryTable,2,FALSE)),0)</f>
        <v/>
      </c>
      <c r="G18" s="32">
        <f>'Client Setup'!B19</f>
        <v/>
      </c>
      <c r="H18" s="33" t="n"/>
      <c r="I18" s="238" t="inlineStr">
        <is>
          <t>Décor &amp; Design</t>
        </is>
      </c>
      <c r="J18" s="8">
        <f>IF(A18="","",A18&amp;" x"&amp;C18)</f>
        <v/>
      </c>
      <c r="K18" s="161">
        <f>IF(A18="","",ROUNDUP(F18/10,0)*10)</f>
        <v/>
      </c>
      <c r="L18" s="1" t="n"/>
      <c r="M18" s="149" t="inlineStr">
        <is>
          <t>Tables</t>
        </is>
      </c>
      <c r="N18" s="161">
        <f>ROUNDUP(SUM(F53:F60)/50,0)*50</f>
        <v/>
      </c>
      <c r="O18" s="1" t="n"/>
      <c r="P18" s="1" t="n"/>
      <c r="Q18" s="1" t="n"/>
      <c r="R18" s="1" t="n"/>
      <c r="S18" s="1" t="n"/>
      <c r="T18" s="1" t="n"/>
      <c r="U18" s="1" t="n"/>
      <c r="V18" s="1" t="n"/>
      <c r="W18" s="1" t="n"/>
      <c r="X18" s="1" t="n"/>
      <c r="Y18" s="1" t="n"/>
      <c r="Z18" s="1" t="n"/>
    </row>
    <row r="19" ht="27.75" customHeight="1" s="137">
      <c r="A19" s="55" t="n"/>
      <c r="B19" s="56" t="n"/>
      <c r="C19" s="131" t="n"/>
      <c r="D19" s="160" t="n"/>
      <c r="E19" s="164">
        <f>C19*D19</f>
        <v/>
      </c>
      <c r="F19" s="164">
        <f>IFERROR(E19*(1+VLOOKUP(I19,CategoryTable,2,FALSE)),0)</f>
        <v/>
      </c>
      <c r="G19" s="32">
        <f>'Client Setup'!B19</f>
        <v/>
      </c>
      <c r="H19" s="33" t="n"/>
      <c r="I19" s="238" t="inlineStr">
        <is>
          <t>Décor &amp; Design</t>
        </is>
      </c>
      <c r="J19" s="8">
        <f>IF(A19="","",A19&amp;" x"&amp;C19)</f>
        <v/>
      </c>
      <c r="K19" s="161">
        <f>IF(A19="","",ROUNDUP(F19/10,0)*10)</f>
        <v/>
      </c>
      <c r="L19" s="1" t="n"/>
      <c r="M19" s="149" t="inlineStr">
        <is>
          <t>Decor &amp; Accessories</t>
        </is>
      </c>
      <c r="N19" s="161">
        <f>ROUNDUP(SUM(F62:F67)/50,0)*50</f>
        <v/>
      </c>
      <c r="O19" s="1" t="n"/>
      <c r="P19" s="1" t="n"/>
      <c r="Q19" s="1" t="n"/>
      <c r="R19" s="1" t="n"/>
      <c r="S19" s="1" t="n"/>
      <c r="T19" s="1" t="n"/>
      <c r="U19" s="1" t="n"/>
      <c r="V19" s="1" t="n"/>
      <c r="W19" s="1" t="n"/>
      <c r="X19" s="1" t="n"/>
      <c r="Y19" s="1" t="n"/>
      <c r="Z19" s="1" t="n"/>
    </row>
    <row r="20" ht="21.75" customHeight="1" s="137">
      <c r="A20" s="55" t="n"/>
      <c r="B20" s="56" t="n"/>
      <c r="C20" s="131" t="n"/>
      <c r="D20" s="160" t="n"/>
      <c r="E20" s="164">
        <f>C20*D20</f>
        <v/>
      </c>
      <c r="F20" s="164">
        <f>IFERROR(E20*(1+VLOOKUP(I20,CategoryTable,2,FALSE)),0)</f>
        <v/>
      </c>
      <c r="G20" s="32">
        <f>'Client Setup'!B19</f>
        <v/>
      </c>
      <c r="H20" s="33" t="n"/>
      <c r="I20" s="238" t="inlineStr">
        <is>
          <t>Décor &amp; Design</t>
        </is>
      </c>
      <c r="J20" s="8">
        <f>IF(A20="","",A20&amp;" x"&amp;C20)</f>
        <v/>
      </c>
      <c r="K20" s="161">
        <f>IF(A20="","",ROUNDUP(F20/10,0)*10)</f>
        <v/>
      </c>
      <c r="L20" s="1" t="n"/>
      <c r="M20" s="149" t="inlineStr">
        <is>
          <t>Delivery &amp; Fees</t>
        </is>
      </c>
      <c r="N20" s="161">
        <f>ROUNDUP((SUM(F27:F29)+SUM(F69:F74)+SUM(F91:F95))/50,0)*50</f>
        <v/>
      </c>
      <c r="O20" s="1" t="n"/>
      <c r="P20" s="1" t="n"/>
      <c r="Q20" s="1" t="n"/>
      <c r="R20" s="1" t="n"/>
      <c r="S20" s="1" t="n"/>
      <c r="T20" s="1" t="n"/>
      <c r="U20" s="1" t="n"/>
      <c r="V20" s="1" t="n"/>
      <c r="W20" s="1" t="n"/>
      <c r="X20" s="1" t="n"/>
      <c r="Y20" s="1" t="n"/>
      <c r="Z20" s="1" t="n"/>
    </row>
    <row r="21" ht="30" customHeight="1" s="137">
      <c r="A21" s="55" t="n"/>
      <c r="B21" s="56" t="n"/>
      <c r="C21" s="131" t="n"/>
      <c r="D21" s="160" t="n"/>
      <c r="E21" s="164">
        <f>C21*D21</f>
        <v/>
      </c>
      <c r="F21" s="164">
        <f>IFERROR(E21*(1+VLOOKUP(I21,CategoryTable,2,FALSE)),0)</f>
        <v/>
      </c>
      <c r="G21" s="32">
        <f>'Client Setup'!B19</f>
        <v/>
      </c>
      <c r="H21" s="33" t="n"/>
      <c r="I21" s="238" t="inlineStr">
        <is>
          <t>Décor &amp; Design</t>
        </is>
      </c>
      <c r="J21" s="8">
        <f>IF(A21="","",A21&amp;" x"&amp;C21)</f>
        <v/>
      </c>
      <c r="K21" s="161">
        <f>IF(A21="","",ROUNDUP(F21/10,0)*10)</f>
        <v/>
      </c>
      <c r="L21" s="1" t="n"/>
      <c r="M21" s="149">
        <f>A77</f>
        <v/>
      </c>
      <c r="N21" s="161">
        <f>ROUNDUP(SUM(F80:F89)/50,0)*50</f>
        <v/>
      </c>
      <c r="O21" s="1" t="n"/>
      <c r="P21" s="1" t="n"/>
      <c r="Q21" s="1" t="n"/>
      <c r="R21" s="1" t="n"/>
      <c r="S21" s="1" t="n"/>
      <c r="T21" s="1" t="n"/>
      <c r="U21" s="1" t="n"/>
      <c r="V21" s="1" t="n"/>
      <c r="W21" s="1" t="n"/>
      <c r="X21" s="1" t="n"/>
      <c r="Y21" s="1" t="n"/>
      <c r="Z21" s="1" t="n"/>
    </row>
    <row r="22" ht="21.75" customHeight="1" s="137">
      <c r="A22" s="55" t="n"/>
      <c r="B22" s="56" t="n"/>
      <c r="C22" s="131" t="n"/>
      <c r="D22" s="160" t="n"/>
      <c r="E22" s="164">
        <f>C22*D22</f>
        <v/>
      </c>
      <c r="F22" s="164">
        <f>IFERROR(E22*(1+VLOOKUP(I22,CategoryTable,2,FALSE)),0)</f>
        <v/>
      </c>
      <c r="G22" s="32">
        <f>'Client Setup'!B19</f>
        <v/>
      </c>
      <c r="H22" s="33" t="n"/>
      <c r="I22" s="238" t="inlineStr">
        <is>
          <t>Décor &amp; Design</t>
        </is>
      </c>
      <c r="J22" s="8">
        <f>IF(A22="","",A22&amp;" x"&amp;C22)</f>
        <v/>
      </c>
      <c r="K22" s="161">
        <f>IF(A22="","",ROUNDUP(F22/10,0)*10)</f>
        <v/>
      </c>
      <c r="L22" s="1" t="n"/>
      <c r="M22" s="149" t="inlineStr">
        <is>
          <t>Tax</t>
        </is>
      </c>
      <c r="N22" s="161">
        <f>ROUNDUP(F100/50,0)*50</f>
        <v/>
      </c>
      <c r="O22" s="1" t="n"/>
      <c r="P22" s="1" t="n"/>
      <c r="Q22" s="1" t="n"/>
      <c r="R22" s="1" t="n"/>
      <c r="S22" s="1" t="n"/>
      <c r="T22" s="1" t="n"/>
      <c r="U22" s="1" t="n"/>
      <c r="V22" s="1" t="n"/>
      <c r="W22" s="1" t="n"/>
      <c r="X22" s="1" t="n"/>
      <c r="Y22" s="1" t="n"/>
      <c r="Z22" s="1" t="n"/>
    </row>
    <row r="23" ht="21.75" customHeight="1" s="137">
      <c r="A23" s="55" t="n"/>
      <c r="B23" s="56" t="n"/>
      <c r="C23" s="131" t="n"/>
      <c r="D23" s="160" t="n"/>
      <c r="E23" s="164">
        <f>C23*D23</f>
        <v/>
      </c>
      <c r="F23" s="164">
        <f>IFERROR(E23*(1+VLOOKUP(I23,CategoryTable,2,FALSE)),0)</f>
        <v/>
      </c>
      <c r="G23" s="32">
        <f>'Client Setup'!B19</f>
        <v/>
      </c>
      <c r="H23" s="33" t="n"/>
      <c r="I23" s="238" t="inlineStr">
        <is>
          <t>Décor &amp; Design</t>
        </is>
      </c>
      <c r="J23" s="8">
        <f>IF(A23="","",A23&amp;" x"&amp;C23)</f>
        <v/>
      </c>
      <c r="K23" s="161">
        <f>IF(A23="","",ROUNDUP(F23/10,0)*10)</f>
        <v/>
      </c>
      <c r="L23" s="1" t="n"/>
      <c r="M23" s="57" t="n"/>
      <c r="N23" s="57" t="n"/>
      <c r="O23" s="1" t="n"/>
      <c r="P23" s="1" t="n"/>
      <c r="Q23" s="1" t="n"/>
      <c r="R23" s="1" t="n"/>
      <c r="S23" s="1" t="n"/>
      <c r="T23" s="1" t="n"/>
      <c r="U23" s="1" t="n"/>
      <c r="V23" s="1" t="n"/>
      <c r="W23" s="1" t="n"/>
      <c r="X23" s="1" t="n"/>
      <c r="Y23" s="1" t="n"/>
      <c r="Z23" s="1" t="n"/>
    </row>
    <row r="24" ht="21.75" customHeight="1" s="137">
      <c r="A24" s="55" t="n"/>
      <c r="B24" s="56" t="n"/>
      <c r="C24" s="131" t="n"/>
      <c r="D24" s="160" t="n"/>
      <c r="E24" s="164">
        <f>C24*D24</f>
        <v/>
      </c>
      <c r="F24" s="164">
        <f>IFERROR(E24*(1+VLOOKUP(I24,CategoryTable,2,FALSE)),0)</f>
        <v/>
      </c>
      <c r="G24" s="32">
        <f>'Client Setup'!B19</f>
        <v/>
      </c>
      <c r="H24" s="33" t="n"/>
      <c r="I24" s="238" t="inlineStr">
        <is>
          <t>Décor &amp; Design</t>
        </is>
      </c>
      <c r="J24" s="8">
        <f>IF(A24="","",A24&amp;" x"&amp;C24)</f>
        <v/>
      </c>
      <c r="K24" s="161">
        <f>IF(A24="","",ROUNDUP(F24/10,0)*10)</f>
        <v/>
      </c>
      <c r="L24" s="1" t="n"/>
      <c r="M24" s="148" t="inlineStr">
        <is>
          <t>TOTAL ESTIMATE</t>
        </is>
      </c>
      <c r="N24" s="163">
        <f>SUM(N15:N22)</f>
        <v/>
      </c>
      <c r="O24" s="1" t="n"/>
      <c r="P24" s="1" t="n"/>
      <c r="Q24" s="1" t="n"/>
      <c r="R24" s="1" t="n"/>
      <c r="S24" s="1" t="n"/>
      <c r="T24" s="1" t="n"/>
      <c r="U24" s="1" t="n"/>
      <c r="V24" s="1" t="n"/>
      <c r="W24" s="1" t="n"/>
      <c r="X24" s="1" t="n"/>
      <c r="Y24" s="1" t="n"/>
      <c r="Z24" s="1" t="n"/>
    </row>
    <row r="25" ht="21.75" customHeight="1" s="137">
      <c r="A25" s="55" t="n"/>
      <c r="B25" s="56" t="n"/>
      <c r="C25" s="131" t="n"/>
      <c r="D25" s="160" t="n"/>
      <c r="E25" s="164">
        <f>C25*D25</f>
        <v/>
      </c>
      <c r="F25" s="164">
        <f>IFERROR(E25*(1+VLOOKUP(I25,CategoryTable,2,FALSE)),0)</f>
        <v/>
      </c>
      <c r="G25" s="32">
        <f>'Client Setup'!B19</f>
        <v/>
      </c>
      <c r="H25" s="33" t="n"/>
      <c r="I25" s="238" t="inlineStr">
        <is>
          <t>Décor &amp; Design</t>
        </is>
      </c>
      <c r="J25" s="8">
        <f>IF(A25="","",A25&amp;" x"&amp;C25)</f>
        <v/>
      </c>
      <c r="K25" s="161">
        <f>IF(A25="","",ROUNDUP(F25/10,0)*10)</f>
        <v/>
      </c>
      <c r="L25" s="1" t="n"/>
      <c r="M25" s="146" t="inlineStr">
        <is>
          <t>Guest Count</t>
        </is>
      </c>
      <c r="N25" s="34">
        <f>'Client Setup'!B7</f>
        <v/>
      </c>
      <c r="O25" s="1" t="n"/>
      <c r="P25" s="1" t="n"/>
      <c r="Q25" s="1" t="n"/>
      <c r="R25" s="1" t="n"/>
      <c r="S25" s="1" t="n"/>
      <c r="T25" s="1" t="n"/>
      <c r="U25" s="1" t="n"/>
      <c r="V25" s="1" t="n"/>
      <c r="W25" s="1" t="n"/>
      <c r="X25" s="1" t="n"/>
      <c r="Y25" s="1" t="n"/>
      <c r="Z25" s="1" t="n"/>
    </row>
    <row r="26" ht="24" customHeight="1" s="137">
      <c r="A26" s="39" t="inlineStr">
        <is>
          <t>NON-TAXABLE FLORAL FEES</t>
        </is>
      </c>
      <c r="I26" s="1" t="n"/>
      <c r="J26" s="8">
        <f>IF(A27="","",A27)</f>
        <v/>
      </c>
      <c r="K26" s="161">
        <f>IF(A27="","",ROUNDUP(F27/10,0)*10)</f>
        <v/>
      </c>
      <c r="L26" s="1" t="n"/>
      <c r="M26" s="58" t="n"/>
      <c r="N26" s="58" t="n"/>
      <c r="O26" s="1" t="n"/>
      <c r="P26" s="1" t="n"/>
      <c r="Q26" s="1" t="n"/>
      <c r="R26" s="1" t="n"/>
      <c r="S26" s="1" t="n"/>
      <c r="T26" s="1" t="n"/>
      <c r="U26" s="1" t="n"/>
      <c r="V26" s="1" t="n"/>
      <c r="W26" s="1" t="n"/>
      <c r="X26" s="1" t="n"/>
      <c r="Y26" s="1" t="n"/>
      <c r="Z26" s="1" t="n"/>
    </row>
    <row r="27" ht="15" customHeight="1" s="137">
      <c r="A27" s="55" t="n"/>
      <c r="B27" s="56" t="n"/>
      <c r="C27" s="59" t="n"/>
      <c r="D27" s="160" t="n"/>
      <c r="E27" s="164">
        <f>D27</f>
        <v/>
      </c>
      <c r="F27" s="164">
        <f>IFERROR(E27*(1+VLOOKUP(I27,CategoryTable,2,FALSE)),0)</f>
        <v/>
      </c>
      <c r="G27" s="32" t="n">
        <v>0</v>
      </c>
      <c r="H27" s="33" t="n"/>
      <c r="I27" s="238" t="inlineStr">
        <is>
          <t>Delivery &amp; Logistics</t>
        </is>
      </c>
      <c r="J27" s="8">
        <f>IF(A28="","",A28)</f>
        <v/>
      </c>
      <c r="K27" s="161">
        <f>IF(A28="","",ROUNDUP(F28/10,0)*10)</f>
        <v/>
      </c>
      <c r="L27" s="1" t="n"/>
      <c r="M27" s="1" t="n"/>
      <c r="N27" s="1" t="n"/>
      <c r="O27" s="1" t="n"/>
      <c r="P27" s="1" t="n"/>
      <c r="Q27" s="1" t="n"/>
      <c r="R27" s="1" t="n"/>
      <c r="S27" s="1" t="n"/>
      <c r="T27" s="1" t="n"/>
      <c r="U27" s="1" t="n"/>
      <c r="V27" s="1" t="n"/>
      <c r="W27" s="1" t="n"/>
      <c r="X27" s="1" t="n"/>
      <c r="Y27" s="1" t="n"/>
      <c r="Z27" s="1" t="n"/>
    </row>
    <row r="28" ht="21.75" customHeight="1" s="137">
      <c r="A28" s="55" t="n"/>
      <c r="B28" s="56" t="n"/>
      <c r="C28" s="59" t="n"/>
      <c r="D28" s="160" t="n"/>
      <c r="E28" s="164">
        <f>D28</f>
        <v/>
      </c>
      <c r="F28" s="164">
        <f>IFERROR(E28*(1+VLOOKUP(I28,CategoryTable,2,FALSE)),0)</f>
        <v/>
      </c>
      <c r="G28" s="32" t="n">
        <v>0</v>
      </c>
      <c r="H28" s="33" t="n"/>
      <c r="I28" s="238" t="inlineStr">
        <is>
          <t>Delivery &amp; Logistics</t>
        </is>
      </c>
      <c r="J28" s="8">
        <f>IF(A29="","",A29)</f>
        <v/>
      </c>
      <c r="K28" s="161">
        <f>IF(A29="","",ROUNDUP(F29/10,0)*10)</f>
        <v/>
      </c>
      <c r="L28" s="1" t="n"/>
      <c r="M28" s="133" t="inlineStr">
        <is>
          <t>TEAM NOTES</t>
        </is>
      </c>
      <c r="O28" s="1" t="n"/>
      <c r="P28" s="1" t="n"/>
      <c r="Q28" s="1" t="n"/>
      <c r="R28" s="1" t="n"/>
      <c r="S28" s="1" t="n"/>
      <c r="T28" s="1" t="n"/>
      <c r="U28" s="1" t="n"/>
      <c r="V28" s="1" t="n"/>
      <c r="W28" s="1" t="n"/>
      <c r="X28" s="1" t="n"/>
      <c r="Y28" s="1" t="n"/>
      <c r="Z28" s="1" t="n"/>
    </row>
    <row r="29" ht="21.75" customHeight="1" s="137">
      <c r="A29" s="55" t="n"/>
      <c r="B29" s="56" t="n"/>
      <c r="C29" s="59" t="n"/>
      <c r="D29" s="160" t="n"/>
      <c r="E29" s="164">
        <f>D29</f>
        <v/>
      </c>
      <c r="F29" s="164">
        <f>IFERROR(E29*(1+VLOOKUP(I29,CategoryTable,2,FALSE)),0)</f>
        <v/>
      </c>
      <c r="G29" s="32" t="n">
        <v>0</v>
      </c>
      <c r="H29" s="33" t="n"/>
      <c r="I29" s="238" t="inlineStr">
        <is>
          <t>Delivery &amp; Logistics</t>
        </is>
      </c>
      <c r="J29" s="60" t="inlineStr">
        <is>
          <t>Floral Subtotal</t>
        </is>
      </c>
      <c r="K29" s="179">
        <f>SUM(K16:K28)</f>
        <v/>
      </c>
      <c r="L29" s="1" t="n"/>
      <c r="M29" s="37" t="inlineStr">
        <is>
          <t>Floral Vendor:</t>
        </is>
      </c>
      <c r="O29" s="1" t="n"/>
      <c r="P29" s="1" t="n"/>
      <c r="Q29" s="1" t="n"/>
      <c r="R29" s="1" t="n"/>
      <c r="S29" s="1" t="n"/>
      <c r="T29" s="1" t="n"/>
      <c r="U29" s="1" t="n"/>
      <c r="V29" s="1" t="n"/>
      <c r="W29" s="1" t="n"/>
      <c r="X29" s="1" t="n"/>
      <c r="Y29" s="1" t="n"/>
      <c r="Z29" s="1" t="n"/>
    </row>
    <row r="30" ht="21.75" customHeight="1" s="137">
      <c r="A30" s="43" t="inlineStr">
        <is>
          <t>FLORAL SUBTOTAL</t>
        </is>
      </c>
      <c r="B30" s="62" t="n"/>
      <c r="C30" s="62" t="n"/>
      <c r="D30" s="62" t="n"/>
      <c r="E30" s="166">
        <f>SUM(E16:E25)+SUM(E27:E29)</f>
        <v/>
      </c>
      <c r="F30" s="166">
        <f>SUM(F16:F25)+SUM(F27:F29)</f>
        <v/>
      </c>
      <c r="G30" s="62" t="n"/>
      <c r="H30" s="62" t="n"/>
      <c r="I30" s="1" t="n"/>
      <c r="J30" s="63" t="n"/>
      <c r="K30" s="63" t="n"/>
      <c r="L30" s="1" t="n"/>
      <c r="M30" s="38" t="n"/>
      <c r="O30" s="1" t="n"/>
      <c r="P30" s="1" t="n"/>
      <c r="Q30" s="1" t="n"/>
      <c r="R30" s="1" t="n"/>
      <c r="S30" s="1" t="n"/>
      <c r="T30" s="1" t="n"/>
      <c r="U30" s="1" t="n"/>
      <c r="V30" s="1" t="n"/>
      <c r="W30" s="1" t="n"/>
      <c r="X30" s="1" t="n"/>
      <c r="Y30" s="1" t="n"/>
      <c r="Z30" s="1" t="n"/>
    </row>
    <row r="31" ht="21.75" customHeight="1" s="137">
      <c r="A31" s="1" t="n"/>
      <c r="B31" s="1" t="n"/>
      <c r="C31" s="1" t="n"/>
      <c r="D31" s="1" t="n"/>
      <c r="E31" s="1" t="n"/>
      <c r="F31" s="1" t="n"/>
      <c r="G31" s="1" t="n"/>
      <c r="H31" s="1" t="n"/>
      <c r="I31" s="1" t="n"/>
      <c r="J31" s="54">
        <f>A32</f>
        <v/>
      </c>
      <c r="L31" s="1" t="n"/>
      <c r="M31" s="37" t="inlineStr">
        <is>
          <t>Rental Vendor(s):</t>
        </is>
      </c>
      <c r="O31" s="1" t="n"/>
      <c r="P31" s="1" t="n"/>
      <c r="Q31" s="1" t="n"/>
      <c r="R31" s="1" t="n"/>
      <c r="S31" s="1" t="n"/>
      <c r="T31" s="1" t="n"/>
      <c r="U31" s="1" t="n"/>
      <c r="V31" s="1" t="n"/>
      <c r="W31" s="1" t="n"/>
      <c r="X31" s="1" t="n"/>
      <c r="Y31" s="1" t="n"/>
      <c r="Z31" s="1" t="n"/>
    </row>
    <row r="32" ht="21.75" customHeight="1" s="137">
      <c r="A32" s="133" t="inlineStr">
        <is>
          <t>RENTALS &amp; LOUNGE</t>
        </is>
      </c>
      <c r="I32" s="1" t="n"/>
      <c r="J32" s="8">
        <f>IF(A35="","",A35&amp;" x"&amp;C35)</f>
        <v/>
      </c>
      <c r="K32" s="161">
        <f>IF(A35="","",ROUNDUP(F35/10,0)*10)</f>
        <v/>
      </c>
      <c r="L32" s="1" t="n"/>
      <c r="M32" s="38" t="n"/>
      <c r="O32" s="1" t="n"/>
      <c r="P32" s="1" t="n"/>
      <c r="Q32" s="1" t="n"/>
      <c r="R32" s="1" t="n"/>
      <c r="S32" s="1" t="n"/>
      <c r="T32" s="1" t="n"/>
      <c r="U32" s="1" t="n"/>
      <c r="V32" s="1" t="n"/>
      <c r="W32" s="1" t="n"/>
      <c r="X32" s="1" t="n"/>
      <c r="Y32" s="1" t="n"/>
      <c r="Z32" s="1" t="n"/>
    </row>
    <row r="33" ht="21.75" customHeight="1" s="137">
      <c r="A33" s="22" t="inlineStr">
        <is>
          <t>Item</t>
        </is>
      </c>
      <c r="B33" s="22" t="inlineStr">
        <is>
          <t>Vendor</t>
        </is>
      </c>
      <c r="C33" s="22" t="inlineStr">
        <is>
          <t>Qty</t>
        </is>
      </c>
      <c r="D33" s="22" t="inlineStr">
        <is>
          <t>Unit Price</t>
        </is>
      </c>
      <c r="E33" s="22" t="inlineStr">
        <is>
          <t>Our Cost</t>
        </is>
      </c>
      <c r="F33" s="22" t="inlineStr">
        <is>
          <t>Client Cost</t>
        </is>
      </c>
      <c r="G33" s="22" t="inlineStr">
        <is>
          <t>Tax Rate</t>
        </is>
      </c>
      <c r="H33" s="22" t="inlineStr">
        <is>
          <t>Notes / Description</t>
        </is>
      </c>
      <c r="I33" s="1" t="n"/>
      <c r="J33" s="8">
        <f>IF(A36="","",A36&amp;" x"&amp;C36)</f>
        <v/>
      </c>
      <c r="K33" s="161">
        <f>IF(A36="","",ROUNDUP(F36/10,0)*10)</f>
        <v/>
      </c>
      <c r="L33" s="1" t="n"/>
      <c r="M33" s="37" t="inlineStr">
        <is>
          <t>AV Vendor:</t>
        </is>
      </c>
      <c r="O33" s="1" t="n"/>
      <c r="P33" s="1" t="n"/>
      <c r="Q33" s="1" t="n"/>
      <c r="R33" s="1" t="n"/>
      <c r="S33" s="1" t="n"/>
      <c r="T33" s="1" t="n"/>
      <c r="U33" s="1" t="n"/>
      <c r="V33" s="1" t="n"/>
      <c r="W33" s="1" t="n"/>
      <c r="X33" s="1" t="n"/>
      <c r="Y33" s="1" t="n"/>
      <c r="Z33" s="1" t="n"/>
    </row>
    <row r="34" ht="21.75" customHeight="1" s="137">
      <c r="A34" s="27" t="inlineStr">
        <is>
          <t>SEATING  (chairs, barstools, banquettes)</t>
        </is>
      </c>
      <c r="I34" s="1" t="n"/>
      <c r="J34" s="8">
        <f>IF(A37="","",A37&amp;" x"&amp;C37)</f>
        <v/>
      </c>
      <c r="K34" s="161">
        <f>IF(A37="","",ROUNDUP(F37/10,0)*10)</f>
        <v/>
      </c>
      <c r="L34" s="1" t="n"/>
      <c r="M34" s="38" t="n"/>
      <c r="O34" s="1" t="n"/>
      <c r="P34" s="1" t="n"/>
      <c r="Q34" s="1" t="n"/>
      <c r="R34" s="1" t="n"/>
      <c r="S34" s="1" t="n"/>
      <c r="T34" s="1" t="n"/>
      <c r="U34" s="1" t="n"/>
      <c r="V34" s="1" t="n"/>
      <c r="W34" s="1" t="n"/>
      <c r="X34" s="1" t="n"/>
      <c r="Y34" s="1" t="n"/>
      <c r="Z34" s="1" t="n"/>
    </row>
    <row r="35" ht="21.75" customHeight="1" s="137">
      <c r="A35" s="55" t="n"/>
      <c r="B35" s="56" t="n"/>
      <c r="C35" s="131" t="n"/>
      <c r="D35" s="160" t="n"/>
      <c r="E35" s="164">
        <f>C35*D35</f>
        <v/>
      </c>
      <c r="F35" s="164">
        <f>IFERROR(E35*(1+VLOOKUP(I35,CategoryTable,2,FALSE)),0)</f>
        <v/>
      </c>
      <c r="G35" s="32">
        <f>'Client Setup'!B19</f>
        <v/>
      </c>
      <c r="H35" s="33" t="n"/>
      <c r="I35" s="238" t="inlineStr">
        <is>
          <t>Décor &amp; Design</t>
        </is>
      </c>
      <c r="J35" s="8">
        <f>IF(A38="","",A38&amp;" x"&amp;C38)</f>
        <v/>
      </c>
      <c r="K35" s="161">
        <f>IF(A38="","",ROUNDUP(F38/10,0)*10)</f>
        <v/>
      </c>
      <c r="L35" s="1" t="n"/>
      <c r="M35" s="37" t="inlineStr">
        <is>
          <t>Design Concept:</t>
        </is>
      </c>
      <c r="O35" s="1" t="n"/>
      <c r="P35" s="1" t="n"/>
      <c r="Q35" s="1" t="n"/>
      <c r="R35" s="1" t="n"/>
      <c r="S35" s="1" t="n"/>
      <c r="T35" s="1" t="n"/>
      <c r="U35" s="1" t="n"/>
      <c r="V35" s="1" t="n"/>
      <c r="W35" s="1" t="n"/>
      <c r="X35" s="1" t="n"/>
      <c r="Y35" s="1" t="n"/>
      <c r="Z35" s="1" t="n"/>
    </row>
    <row r="36" ht="21.75" customHeight="1" s="137">
      <c r="A36" s="55" t="n"/>
      <c r="B36" s="56" t="n"/>
      <c r="C36" s="131" t="n"/>
      <c r="D36" s="160" t="n"/>
      <c r="E36" s="164">
        <f>C36*D36</f>
        <v/>
      </c>
      <c r="F36" s="164">
        <f>IFERROR(E36*(1+VLOOKUP(I36,CategoryTable,2,FALSE)),0)</f>
        <v/>
      </c>
      <c r="G36" s="32">
        <f>'Client Setup'!B19</f>
        <v/>
      </c>
      <c r="H36" s="33" t="n"/>
      <c r="I36" s="238" t="inlineStr">
        <is>
          <t>Décor &amp; Design</t>
        </is>
      </c>
      <c r="J36" s="8">
        <f>IF(A39="","",A39&amp;" x"&amp;C39)</f>
        <v/>
      </c>
      <c r="K36" s="161">
        <f>IF(A39="","",ROUNDUP(F39/10,0)*10)</f>
        <v/>
      </c>
      <c r="L36" s="1" t="n"/>
      <c r="M36" s="38" t="n"/>
      <c r="O36" s="1" t="n"/>
      <c r="P36" s="1" t="n"/>
      <c r="Q36" s="1" t="n"/>
      <c r="R36" s="1" t="n"/>
      <c r="S36" s="1" t="n"/>
      <c r="T36" s="1" t="n"/>
      <c r="U36" s="1" t="n"/>
      <c r="V36" s="1" t="n"/>
      <c r="W36" s="1" t="n"/>
      <c r="X36" s="1" t="n"/>
      <c r="Y36" s="1" t="n"/>
      <c r="Z36" s="1" t="n"/>
    </row>
    <row r="37" ht="21.75" customHeight="1" s="137">
      <c r="A37" s="55" t="n"/>
      <c r="B37" s="56" t="n"/>
      <c r="C37" s="131" t="n"/>
      <c r="D37" s="160" t="n"/>
      <c r="E37" s="164">
        <f>C37*D37</f>
        <v/>
      </c>
      <c r="F37" s="164">
        <f>IFERROR(E37*(1+VLOOKUP(I37,CategoryTable,2,FALSE)),0)</f>
        <v/>
      </c>
      <c r="G37" s="32">
        <f>'Client Setup'!B19</f>
        <v/>
      </c>
      <c r="H37" s="33" t="n"/>
      <c r="I37" s="238" t="inlineStr">
        <is>
          <t>Décor &amp; Design</t>
        </is>
      </c>
      <c r="J37" s="8">
        <f>IF(A40="","",A40&amp;" x"&amp;C40)</f>
        <v/>
      </c>
      <c r="K37" s="161">
        <f>IF(A40="","",ROUNDUP(F40/10,0)*10)</f>
        <v/>
      </c>
      <c r="L37" s="1" t="n"/>
      <c r="M37" s="38" t="n"/>
      <c r="O37" s="1" t="n"/>
      <c r="P37" s="1" t="n"/>
      <c r="Q37" s="1" t="n"/>
      <c r="R37" s="1" t="n"/>
      <c r="S37" s="1" t="n"/>
      <c r="T37" s="1" t="n"/>
      <c r="U37" s="1" t="n"/>
      <c r="V37" s="1" t="n"/>
      <c r="W37" s="1" t="n"/>
      <c r="X37" s="1" t="n"/>
      <c r="Y37" s="1" t="n"/>
      <c r="Z37" s="1" t="n"/>
    </row>
    <row r="38" ht="21.75" customHeight="1" s="137">
      <c r="A38" s="55" t="n"/>
      <c r="B38" s="56" t="n"/>
      <c r="C38" s="131" t="n"/>
      <c r="D38" s="160" t="n"/>
      <c r="E38" s="164">
        <f>C38*D38</f>
        <v/>
      </c>
      <c r="F38" s="164">
        <f>IFERROR(E38*(1+VLOOKUP(I38,CategoryTable,2,FALSE)),0)</f>
        <v/>
      </c>
      <c r="G38" s="32">
        <f>'Client Setup'!B19</f>
        <v/>
      </c>
      <c r="H38" s="33" t="n"/>
      <c r="I38" s="238" t="inlineStr">
        <is>
          <t>Décor &amp; Design</t>
        </is>
      </c>
      <c r="J38" s="8">
        <f>IF(A41="","",A41&amp;" x"&amp;C41)</f>
        <v/>
      </c>
      <c r="K38" s="161">
        <f>IF(A41="","",ROUNDUP(F41/10,0)*10)</f>
        <v/>
      </c>
      <c r="L38" s="1" t="n"/>
      <c r="M38" s="37" t="inlineStr">
        <is>
          <t>Logistics:</t>
        </is>
      </c>
      <c r="O38" s="1" t="n"/>
      <c r="P38" s="1" t="n"/>
      <c r="Q38" s="1" t="n"/>
      <c r="R38" s="1" t="n"/>
      <c r="S38" s="1" t="n"/>
      <c r="T38" s="1" t="n"/>
      <c r="U38" s="1" t="n"/>
      <c r="V38" s="1" t="n"/>
      <c r="W38" s="1" t="n"/>
      <c r="X38" s="1" t="n"/>
      <c r="Y38" s="1" t="n"/>
      <c r="Z38" s="1" t="n"/>
    </row>
    <row r="39" ht="21.75" customHeight="1" s="137">
      <c r="A39" s="55" t="n"/>
      <c r="B39" s="56" t="n"/>
      <c r="C39" s="131" t="n"/>
      <c r="D39" s="160" t="n"/>
      <c r="E39" s="164">
        <f>C39*D39</f>
        <v/>
      </c>
      <c r="F39" s="164">
        <f>IFERROR(E39*(1+VLOOKUP(I39,CategoryTable,2,FALSE)),0)</f>
        <v/>
      </c>
      <c r="G39" s="32">
        <f>'Client Setup'!B19</f>
        <v/>
      </c>
      <c r="H39" s="33" t="n"/>
      <c r="I39" s="238" t="inlineStr">
        <is>
          <t>Décor &amp; Design</t>
        </is>
      </c>
      <c r="J39" s="8">
        <f>IF(A42="","",A42&amp;" x"&amp;C42)</f>
        <v/>
      </c>
      <c r="K39" s="161">
        <f>IF(A42="","",ROUNDUP(F42/10,0)*10)</f>
        <v/>
      </c>
      <c r="L39" s="1" t="n"/>
      <c r="M39" s="38" t="n"/>
      <c r="O39" s="1" t="n"/>
      <c r="P39" s="1" t="n"/>
      <c r="Q39" s="1" t="n"/>
      <c r="R39" s="1" t="n"/>
      <c r="S39" s="1" t="n"/>
      <c r="T39" s="1" t="n"/>
      <c r="U39" s="1" t="n"/>
      <c r="V39" s="1" t="n"/>
      <c r="W39" s="1" t="n"/>
      <c r="X39" s="1" t="n"/>
      <c r="Y39" s="1" t="n"/>
      <c r="Z39" s="1" t="n"/>
    </row>
    <row r="40" ht="21.75" customHeight="1" s="137">
      <c r="A40" s="55" t="n"/>
      <c r="B40" s="56" t="n"/>
      <c r="C40" s="131" t="n"/>
      <c r="D40" s="160" t="n"/>
      <c r="E40" s="164">
        <f>C40*D40</f>
        <v/>
      </c>
      <c r="F40" s="164">
        <f>IFERROR(E40*(1+VLOOKUP(I40,CategoryTable,2,FALSE)),0)</f>
        <v/>
      </c>
      <c r="G40" s="32">
        <f>'Client Setup'!B19</f>
        <v/>
      </c>
      <c r="H40" s="33" t="n"/>
      <c r="I40" s="238" t="inlineStr">
        <is>
          <t>Décor &amp; Design</t>
        </is>
      </c>
      <c r="J40" s="8">
        <f>IF(A44="","",A44&amp;" x"&amp;C44)</f>
        <v/>
      </c>
      <c r="K40" s="161">
        <f>IF(A44="","",ROUNDUP(F44/10,0)*10)</f>
        <v/>
      </c>
      <c r="L40" s="1" t="n"/>
      <c r="M40" s="37" t="inlineStr">
        <is>
          <t>Additional Notes:</t>
        </is>
      </c>
      <c r="O40" s="1" t="n"/>
      <c r="P40" s="1" t="n"/>
      <c r="Q40" s="1" t="n"/>
      <c r="R40" s="1" t="n"/>
      <c r="S40" s="1" t="n"/>
      <c r="T40" s="1" t="n"/>
      <c r="U40" s="1" t="n"/>
      <c r="V40" s="1" t="n"/>
      <c r="W40" s="1" t="n"/>
      <c r="X40" s="1" t="n"/>
      <c r="Y40" s="1" t="n"/>
      <c r="Z40" s="1" t="n"/>
    </row>
    <row r="41" ht="21.75" customHeight="1" s="137">
      <c r="A41" s="55" t="n"/>
      <c r="B41" s="56" t="n"/>
      <c r="C41" s="131" t="n"/>
      <c r="D41" s="160" t="n"/>
      <c r="E41" s="164">
        <f>C41*D41</f>
        <v/>
      </c>
      <c r="F41" s="164">
        <f>IFERROR(E41*(1+VLOOKUP(I41,CategoryTable,2,FALSE)),0)</f>
        <v/>
      </c>
      <c r="G41" s="32">
        <f>'Client Setup'!B19</f>
        <v/>
      </c>
      <c r="H41" s="33" t="n"/>
      <c r="I41" s="238" t="inlineStr">
        <is>
          <t>Décor &amp; Design</t>
        </is>
      </c>
      <c r="J41" s="8">
        <f>IF(A45="","",A45&amp;" x"&amp;C45)</f>
        <v/>
      </c>
      <c r="K41" s="161">
        <f>IF(A45="","",ROUNDUP(F45/10,0)*10)</f>
        <v/>
      </c>
      <c r="L41" s="1" t="n"/>
      <c r="M41" s="38" t="n"/>
      <c r="O41" s="1" t="n"/>
      <c r="P41" s="1" t="n"/>
      <c r="Q41" s="1" t="n"/>
      <c r="R41" s="1" t="n"/>
      <c r="S41" s="1" t="n"/>
      <c r="T41" s="1" t="n"/>
      <c r="U41" s="1" t="n"/>
      <c r="V41" s="1" t="n"/>
      <c r="W41" s="1" t="n"/>
      <c r="X41" s="1" t="n"/>
      <c r="Y41" s="1" t="n"/>
      <c r="Z41" s="1" t="n"/>
    </row>
    <row r="42" ht="21.75" customHeight="1" s="137">
      <c r="A42" s="55" t="n"/>
      <c r="B42" s="56" t="n"/>
      <c r="C42" s="131" t="n"/>
      <c r="D42" s="160" t="n"/>
      <c r="E42" s="164">
        <f>C42*D42</f>
        <v/>
      </c>
      <c r="F42" s="164">
        <f>IFERROR(E42*(1+VLOOKUP(I42,CategoryTable,2,FALSE)),0)</f>
        <v/>
      </c>
      <c r="G42" s="32">
        <f>'Client Setup'!B19</f>
        <v/>
      </c>
      <c r="H42" s="33" t="n"/>
      <c r="I42" s="238" t="inlineStr">
        <is>
          <t>Décor &amp; Design</t>
        </is>
      </c>
      <c r="J42" s="8">
        <f>IF(A46="","",A46&amp;" x"&amp;C46)</f>
        <v/>
      </c>
      <c r="K42" s="161">
        <f>IF(A46="","",ROUNDUP(F46/10,0)*10)</f>
        <v/>
      </c>
      <c r="L42" s="1" t="n"/>
      <c r="M42" s="38" t="n"/>
      <c r="O42" s="1" t="n"/>
      <c r="P42" s="1" t="n"/>
      <c r="Q42" s="1" t="n"/>
      <c r="R42" s="1" t="n"/>
      <c r="S42" s="1" t="n"/>
      <c r="T42" s="1" t="n"/>
      <c r="U42" s="1" t="n"/>
      <c r="V42" s="1" t="n"/>
      <c r="W42" s="1" t="n"/>
      <c r="X42" s="1" t="n"/>
      <c r="Y42" s="1" t="n"/>
      <c r="Z42" s="1" t="n"/>
    </row>
    <row r="43" ht="21.75" customHeight="1" s="137">
      <c r="A43" s="27" t="inlineStr">
        <is>
          <t>LOUNGE  (sofas, sectionals, club chairs)</t>
        </is>
      </c>
      <c r="I43" s="1" t="n"/>
      <c r="J43" s="8">
        <f>IF(A47="","",A47&amp;" x"&amp;C47)</f>
        <v/>
      </c>
      <c r="K43" s="161">
        <f>IF(A47="","",ROUNDUP(F47/10,0)*10)</f>
        <v/>
      </c>
      <c r="L43" s="1" t="n"/>
      <c r="M43" s="1" t="n"/>
      <c r="N43" s="1" t="n"/>
      <c r="O43" s="1" t="n"/>
      <c r="P43" s="1" t="n"/>
      <c r="Q43" s="1" t="n"/>
      <c r="R43" s="1" t="n"/>
      <c r="S43" s="1" t="n"/>
      <c r="T43" s="1" t="n"/>
      <c r="U43" s="1" t="n"/>
      <c r="V43" s="1" t="n"/>
      <c r="W43" s="1" t="n"/>
      <c r="X43" s="1" t="n"/>
      <c r="Y43" s="1" t="n"/>
      <c r="Z43" s="1" t="n"/>
    </row>
    <row r="44" ht="21.75" customHeight="1" s="137">
      <c r="A44" s="55" t="n"/>
      <c r="B44" s="56" t="n"/>
      <c r="C44" s="131" t="n"/>
      <c r="D44" s="160" t="n"/>
      <c r="E44" s="164">
        <f>C44*D44</f>
        <v/>
      </c>
      <c r="F44" s="164">
        <f>IFERROR(E44*(1+VLOOKUP(I44,CategoryTable,2,FALSE)),0)</f>
        <v/>
      </c>
      <c r="G44" s="32">
        <f>'Client Setup'!B19</f>
        <v/>
      </c>
      <c r="H44" s="33" t="n"/>
      <c r="I44" s="238" t="inlineStr">
        <is>
          <t>Décor &amp; Design</t>
        </is>
      </c>
      <c r="J44" s="8">
        <f>IF(A48="","",A48&amp;" x"&amp;C48)</f>
        <v/>
      </c>
      <c r="K44" s="161">
        <f>IF(A48="","",ROUNDUP(F48/10,0)*10)</f>
        <v/>
      </c>
      <c r="L44" s="1" t="n"/>
      <c r="M44" s="1" t="n"/>
      <c r="N44" s="1" t="n"/>
      <c r="O44" s="1" t="n"/>
      <c r="P44" s="1" t="n"/>
      <c r="Q44" s="1" t="n"/>
      <c r="R44" s="1" t="n"/>
      <c r="S44" s="1" t="n"/>
      <c r="T44" s="1" t="n"/>
      <c r="U44" s="1" t="n"/>
      <c r="V44" s="1" t="n"/>
      <c r="W44" s="1" t="n"/>
      <c r="X44" s="1" t="n"/>
      <c r="Y44" s="1" t="n"/>
      <c r="Z44" s="1" t="n"/>
    </row>
    <row r="45" ht="21.75" customHeight="1" s="137">
      <c r="A45" s="55" t="n"/>
      <c r="B45" s="56" t="n"/>
      <c r="C45" s="131" t="n"/>
      <c r="D45" s="160" t="n"/>
      <c r="E45" s="164">
        <f>C45*D45</f>
        <v/>
      </c>
      <c r="F45" s="164">
        <f>IFERROR(E45*(1+VLOOKUP(I45,CategoryTable,2,FALSE)),0)</f>
        <v/>
      </c>
      <c r="G45" s="32">
        <f>'Client Setup'!B19</f>
        <v/>
      </c>
      <c r="H45" s="33" t="n"/>
      <c r="I45" s="238" t="inlineStr">
        <is>
          <t>Décor &amp; Design</t>
        </is>
      </c>
      <c r="J45" s="8">
        <f>IF(A49="","",A49&amp;" x"&amp;C49)</f>
        <v/>
      </c>
      <c r="K45" s="161">
        <f>IF(A49="","",ROUNDUP(F49/10,0)*10)</f>
        <v/>
      </c>
      <c r="L45" s="1" t="n"/>
      <c r="M45" s="1" t="n"/>
      <c r="N45" s="1" t="n"/>
      <c r="O45" s="1" t="n"/>
      <c r="P45" s="1" t="n"/>
      <c r="Q45" s="1" t="n"/>
      <c r="R45" s="1" t="n"/>
      <c r="S45" s="1" t="n"/>
      <c r="T45" s="1" t="n"/>
      <c r="U45" s="1" t="n"/>
      <c r="V45" s="1" t="n"/>
      <c r="W45" s="1" t="n"/>
      <c r="X45" s="1" t="n"/>
      <c r="Y45" s="1" t="n"/>
      <c r="Z45" s="1" t="n"/>
    </row>
    <row r="46" ht="21.75" customHeight="1" s="137">
      <c r="A46" s="55" t="n"/>
      <c r="B46" s="56" t="n"/>
      <c r="C46" s="131" t="n"/>
      <c r="D46" s="160" t="n"/>
      <c r="E46" s="164">
        <f>C46*D46</f>
        <v/>
      </c>
      <c r="F46" s="164">
        <f>IFERROR(E46*(1+VLOOKUP(I46,CategoryTable,2,FALSE)),0)</f>
        <v/>
      </c>
      <c r="G46" s="32">
        <f>'Client Setup'!B19</f>
        <v/>
      </c>
      <c r="H46" s="33" t="n"/>
      <c r="I46" s="238" t="inlineStr">
        <is>
          <t>Décor &amp; Design</t>
        </is>
      </c>
      <c r="J46" s="8">
        <f>IF(A50="","",A50&amp;" x"&amp;C50)</f>
        <v/>
      </c>
      <c r="K46" s="161">
        <f>IF(A50="","",ROUNDUP(F50/10,0)*10)</f>
        <v/>
      </c>
      <c r="L46" s="1" t="n"/>
      <c r="M46" s="1" t="n"/>
      <c r="N46" s="1" t="n"/>
      <c r="O46" s="1" t="n"/>
      <c r="P46" s="1" t="n"/>
      <c r="Q46" s="1" t="n"/>
      <c r="R46" s="1" t="n"/>
      <c r="S46" s="1" t="n"/>
      <c r="T46" s="1" t="n"/>
      <c r="U46" s="1" t="n"/>
      <c r="V46" s="1" t="n"/>
      <c r="W46" s="1" t="n"/>
      <c r="X46" s="1" t="n"/>
      <c r="Y46" s="1" t="n"/>
      <c r="Z46" s="1" t="n"/>
    </row>
    <row r="47" ht="21.75" customHeight="1" s="137">
      <c r="A47" s="55" t="n"/>
      <c r="B47" s="56" t="n"/>
      <c r="C47" s="131" t="n"/>
      <c r="D47" s="160" t="n"/>
      <c r="E47" s="164">
        <f>C47*D47</f>
        <v/>
      </c>
      <c r="F47" s="164">
        <f>IFERROR(E47*(1+VLOOKUP(I47,CategoryTable,2,FALSE)),0)</f>
        <v/>
      </c>
      <c r="G47" s="32">
        <f>'Client Setup'!B19</f>
        <v/>
      </c>
      <c r="H47" s="33" t="n"/>
      <c r="I47" s="238" t="inlineStr">
        <is>
          <t>Décor &amp; Design</t>
        </is>
      </c>
      <c r="J47" s="8">
        <f>IF(A51="","",A51&amp;" x"&amp;C51)</f>
        <v/>
      </c>
      <c r="K47" s="161">
        <f>IF(A51="","",ROUNDUP(F51/10,0)*10)</f>
        <v/>
      </c>
      <c r="L47" s="1" t="n"/>
      <c r="M47" s="1" t="n"/>
      <c r="N47" s="1" t="n"/>
      <c r="O47" s="1" t="n"/>
      <c r="P47" s="1" t="n"/>
      <c r="Q47" s="1" t="n"/>
      <c r="R47" s="1" t="n"/>
      <c r="S47" s="1" t="n"/>
      <c r="T47" s="1" t="n"/>
      <c r="U47" s="1" t="n"/>
      <c r="V47" s="1" t="n"/>
      <c r="W47" s="1" t="n"/>
      <c r="X47" s="1" t="n"/>
      <c r="Y47" s="1" t="n"/>
      <c r="Z47" s="1" t="n"/>
    </row>
    <row r="48" ht="21.75" customHeight="1" s="137">
      <c r="A48" s="55" t="n"/>
      <c r="B48" s="56" t="n"/>
      <c r="C48" s="131" t="n"/>
      <c r="D48" s="160" t="n"/>
      <c r="E48" s="164">
        <f>C48*D48</f>
        <v/>
      </c>
      <c r="F48" s="164">
        <f>IFERROR(E48*(1+VLOOKUP(I48,CategoryTable,2,FALSE)),0)</f>
        <v/>
      </c>
      <c r="G48" s="32">
        <f>'Client Setup'!B19</f>
        <v/>
      </c>
      <c r="H48" s="33" t="n"/>
      <c r="I48" s="238" t="inlineStr">
        <is>
          <t>Décor &amp; Design</t>
        </is>
      </c>
      <c r="J48" s="8">
        <f>IF(A53="","",A53&amp;" x"&amp;C53)</f>
        <v/>
      </c>
      <c r="K48" s="161">
        <f>IF(A53="","",ROUNDUP(F53/10,0)*10)</f>
        <v/>
      </c>
      <c r="L48" s="1" t="n"/>
      <c r="M48" s="1" t="n"/>
      <c r="N48" s="1" t="n"/>
      <c r="O48" s="1" t="n"/>
      <c r="P48" s="1" t="n"/>
      <c r="Q48" s="1" t="n"/>
      <c r="R48" s="1" t="n"/>
      <c r="S48" s="1" t="n"/>
      <c r="T48" s="1" t="n"/>
      <c r="U48" s="1" t="n"/>
      <c r="V48" s="1" t="n"/>
      <c r="W48" s="1" t="n"/>
      <c r="X48" s="1" t="n"/>
      <c r="Y48" s="1" t="n"/>
      <c r="Z48" s="1" t="n"/>
    </row>
    <row r="49" ht="21.75" customHeight="1" s="137">
      <c r="A49" s="55" t="n"/>
      <c r="B49" s="56" t="n"/>
      <c r="C49" s="131" t="n"/>
      <c r="D49" s="160" t="n"/>
      <c r="E49" s="164">
        <f>C49*D49</f>
        <v/>
      </c>
      <c r="F49" s="164">
        <f>IFERROR(E49*(1+VLOOKUP(I49,CategoryTable,2,FALSE)),0)</f>
        <v/>
      </c>
      <c r="G49" s="32">
        <f>'Client Setup'!B19</f>
        <v/>
      </c>
      <c r="H49" s="33" t="n"/>
      <c r="I49" s="238" t="inlineStr">
        <is>
          <t>Décor &amp; Design</t>
        </is>
      </c>
      <c r="J49" s="8">
        <f>IF(A54="","",A54&amp;" x"&amp;C54)</f>
        <v/>
      </c>
      <c r="K49" s="161">
        <f>IF(A54="","",ROUNDUP(F54/10,0)*10)</f>
        <v/>
      </c>
      <c r="L49" s="1" t="n"/>
      <c r="M49" s="1" t="n"/>
      <c r="N49" s="1" t="n"/>
      <c r="O49" s="1" t="n"/>
      <c r="P49" s="1" t="n"/>
      <c r="Q49" s="1" t="n"/>
      <c r="R49" s="1" t="n"/>
      <c r="S49" s="1" t="n"/>
      <c r="T49" s="1" t="n"/>
      <c r="U49" s="1" t="n"/>
      <c r="V49" s="1" t="n"/>
      <c r="W49" s="1" t="n"/>
      <c r="X49" s="1" t="n"/>
      <c r="Y49" s="1" t="n"/>
      <c r="Z49" s="1" t="n"/>
    </row>
    <row r="50" ht="21.75" customHeight="1" s="137">
      <c r="A50" s="55" t="n"/>
      <c r="B50" s="56" t="n"/>
      <c r="C50" s="131" t="n"/>
      <c r="D50" s="160" t="n"/>
      <c r="E50" s="164">
        <f>C50*D50</f>
        <v/>
      </c>
      <c r="F50" s="164">
        <f>IFERROR(E50*(1+VLOOKUP(I50,CategoryTable,2,FALSE)),0)</f>
        <v/>
      </c>
      <c r="G50" s="32">
        <f>'Client Setup'!B19</f>
        <v/>
      </c>
      <c r="H50" s="33" t="n"/>
      <c r="I50" s="238" t="inlineStr">
        <is>
          <t>Décor &amp; Design</t>
        </is>
      </c>
      <c r="J50" s="8">
        <f>IF(A55="","",A55&amp;" x"&amp;C55)</f>
        <v/>
      </c>
      <c r="K50" s="161">
        <f>IF(A55="","",ROUNDUP(F55/10,0)*10)</f>
        <v/>
      </c>
      <c r="L50" s="1" t="n"/>
      <c r="M50" s="1" t="n"/>
      <c r="N50" s="1" t="n"/>
      <c r="O50" s="1" t="n"/>
      <c r="P50" s="1" t="n"/>
      <c r="Q50" s="1" t="n"/>
      <c r="R50" s="1" t="n"/>
      <c r="S50" s="1" t="n"/>
      <c r="T50" s="1" t="n"/>
      <c r="U50" s="1" t="n"/>
      <c r="V50" s="1" t="n"/>
      <c r="W50" s="1" t="n"/>
      <c r="X50" s="1" t="n"/>
      <c r="Y50" s="1" t="n"/>
      <c r="Z50" s="1" t="n"/>
    </row>
    <row r="51" ht="21.75" customHeight="1" s="137">
      <c r="A51" s="55" t="n"/>
      <c r="B51" s="56" t="n"/>
      <c r="C51" s="131" t="n"/>
      <c r="D51" s="160" t="n"/>
      <c r="E51" s="164">
        <f>C51*D51</f>
        <v/>
      </c>
      <c r="F51" s="164">
        <f>IFERROR(E51*(1+VLOOKUP(I51,CategoryTable,2,FALSE)),0)</f>
        <v/>
      </c>
      <c r="G51" s="32">
        <f>'Client Setup'!B19</f>
        <v/>
      </c>
      <c r="H51" s="33" t="n"/>
      <c r="I51" s="238" t="inlineStr">
        <is>
          <t>Décor &amp; Design</t>
        </is>
      </c>
      <c r="J51" s="8">
        <f>IF(A56="","",A56&amp;" x"&amp;C56)</f>
        <v/>
      </c>
      <c r="K51" s="161">
        <f>IF(A56="","",ROUNDUP(F56/10,0)*10)</f>
        <v/>
      </c>
      <c r="L51" s="1" t="n"/>
      <c r="M51" s="1" t="n"/>
      <c r="N51" s="1" t="n"/>
      <c r="O51" s="1" t="n"/>
      <c r="P51" s="1" t="n"/>
      <c r="Q51" s="1" t="n"/>
      <c r="R51" s="1" t="n"/>
      <c r="S51" s="1" t="n"/>
      <c r="T51" s="1" t="n"/>
      <c r="U51" s="1" t="n"/>
      <c r="V51" s="1" t="n"/>
      <c r="W51" s="1" t="n"/>
      <c r="X51" s="1" t="n"/>
      <c r="Y51" s="1" t="n"/>
      <c r="Z51" s="1" t="n"/>
    </row>
    <row r="52" ht="21.75" customHeight="1" s="137">
      <c r="A52" s="27" t="inlineStr">
        <is>
          <t>TABLES  (cocktail, coffee, side, dining)</t>
        </is>
      </c>
      <c r="I52" s="1" t="n"/>
      <c r="J52" s="8">
        <f>IF(A57="","",A57&amp;" x"&amp;C57)</f>
        <v/>
      </c>
      <c r="K52" s="161">
        <f>IF(A57="","",ROUNDUP(F57/10,0)*10)</f>
        <v/>
      </c>
      <c r="L52" s="1" t="n"/>
      <c r="M52" s="1" t="n"/>
      <c r="N52" s="1" t="n"/>
      <c r="O52" s="1" t="n"/>
      <c r="P52" s="1" t="n"/>
      <c r="Q52" s="1" t="n"/>
      <c r="R52" s="1" t="n"/>
      <c r="S52" s="1" t="n"/>
      <c r="T52" s="1" t="n"/>
      <c r="U52" s="1" t="n"/>
      <c r="V52" s="1" t="n"/>
      <c r="W52" s="1" t="n"/>
      <c r="X52" s="1" t="n"/>
      <c r="Y52" s="1" t="n"/>
      <c r="Z52" s="1" t="n"/>
    </row>
    <row r="53" ht="21.75" customHeight="1" s="137">
      <c r="A53" s="55" t="n"/>
      <c r="B53" s="56" t="n"/>
      <c r="C53" s="131" t="n"/>
      <c r="D53" s="160" t="n"/>
      <c r="E53" s="164">
        <f>C53*D53</f>
        <v/>
      </c>
      <c r="F53" s="164">
        <f>IFERROR(E53*(1+VLOOKUP(I53,CategoryTable,2,FALSE)),0)</f>
        <v/>
      </c>
      <c r="G53" s="32">
        <f>'Client Setup'!B19</f>
        <v/>
      </c>
      <c r="H53" s="33" t="n"/>
      <c r="I53" s="238" t="inlineStr">
        <is>
          <t>Décor &amp; Design</t>
        </is>
      </c>
      <c r="J53" s="8">
        <f>IF(A58="","",A58&amp;" x"&amp;C58)</f>
        <v/>
      </c>
      <c r="K53" s="161">
        <f>IF(A58="","",ROUNDUP(F58/10,0)*10)</f>
        <v/>
      </c>
      <c r="L53" s="1" t="n"/>
      <c r="M53" s="1" t="n"/>
      <c r="N53" s="1" t="n"/>
      <c r="O53" s="1" t="n"/>
      <c r="P53" s="1" t="n"/>
      <c r="Q53" s="1" t="n"/>
      <c r="R53" s="1" t="n"/>
      <c r="S53" s="1" t="n"/>
      <c r="T53" s="1" t="n"/>
      <c r="U53" s="1" t="n"/>
      <c r="V53" s="1" t="n"/>
      <c r="W53" s="1" t="n"/>
      <c r="X53" s="1" t="n"/>
      <c r="Y53" s="1" t="n"/>
      <c r="Z53" s="1" t="n"/>
    </row>
    <row r="54" ht="21.75" customHeight="1" s="137">
      <c r="A54" s="55" t="n"/>
      <c r="B54" s="56" t="n"/>
      <c r="C54" s="131" t="n"/>
      <c r="D54" s="160" t="n"/>
      <c r="E54" s="164">
        <f>C54*D54</f>
        <v/>
      </c>
      <c r="F54" s="164">
        <f>IFERROR(E54*(1+VLOOKUP(I54,CategoryTable,2,FALSE)),0)</f>
        <v/>
      </c>
      <c r="G54" s="32">
        <f>'Client Setup'!B19</f>
        <v/>
      </c>
      <c r="H54" s="33" t="n"/>
      <c r="I54" s="238" t="inlineStr">
        <is>
          <t>Décor &amp; Design</t>
        </is>
      </c>
      <c r="J54" s="8">
        <f>IF(A59="","",A59&amp;" x"&amp;C59)</f>
        <v/>
      </c>
      <c r="K54" s="161">
        <f>IF(A59="","",ROUNDUP(F59/10,0)*10)</f>
        <v/>
      </c>
      <c r="L54" s="1" t="n"/>
      <c r="M54" s="1" t="n"/>
      <c r="N54" s="1" t="n"/>
      <c r="O54" s="1" t="n"/>
      <c r="P54" s="1" t="n"/>
      <c r="Q54" s="1" t="n"/>
      <c r="R54" s="1" t="n"/>
      <c r="S54" s="1" t="n"/>
      <c r="T54" s="1" t="n"/>
      <c r="U54" s="1" t="n"/>
      <c r="V54" s="1" t="n"/>
      <c r="W54" s="1" t="n"/>
      <c r="X54" s="1" t="n"/>
      <c r="Y54" s="1" t="n"/>
      <c r="Z54" s="1" t="n"/>
    </row>
    <row r="55" ht="21.75" customHeight="1" s="137">
      <c r="A55" s="55" t="n"/>
      <c r="B55" s="56" t="n"/>
      <c r="C55" s="131" t="n"/>
      <c r="D55" s="160" t="n"/>
      <c r="E55" s="164">
        <f>C55*D55</f>
        <v/>
      </c>
      <c r="F55" s="164">
        <f>IFERROR(E55*(1+VLOOKUP(I55,CategoryTable,2,FALSE)),0)</f>
        <v/>
      </c>
      <c r="G55" s="32">
        <f>'Client Setup'!B19</f>
        <v/>
      </c>
      <c r="H55" s="33" t="n"/>
      <c r="I55" s="238" t="inlineStr">
        <is>
          <t>Décor &amp; Design</t>
        </is>
      </c>
      <c r="J55" s="8">
        <f>IF(A60="","",A60&amp;" x"&amp;C60)</f>
        <v/>
      </c>
      <c r="K55" s="161">
        <f>IF(A60="","",ROUNDUP(F60/10,0)*10)</f>
        <v/>
      </c>
      <c r="L55" s="1" t="n"/>
      <c r="M55" s="1" t="n"/>
      <c r="N55" s="1" t="n"/>
      <c r="O55" s="1" t="n"/>
      <c r="P55" s="1" t="n"/>
      <c r="Q55" s="1" t="n"/>
      <c r="R55" s="1" t="n"/>
      <c r="S55" s="1" t="n"/>
      <c r="T55" s="1" t="n"/>
      <c r="U55" s="1" t="n"/>
      <c r="V55" s="1" t="n"/>
      <c r="W55" s="1" t="n"/>
      <c r="X55" s="1" t="n"/>
      <c r="Y55" s="1" t="n"/>
      <c r="Z55" s="1" t="n"/>
    </row>
    <row r="56" ht="21.75" customHeight="1" s="137">
      <c r="A56" s="55" t="n"/>
      <c r="B56" s="56" t="n"/>
      <c r="C56" s="131" t="n"/>
      <c r="D56" s="160" t="n"/>
      <c r="E56" s="164">
        <f>C56*D56</f>
        <v/>
      </c>
      <c r="F56" s="164">
        <f>IFERROR(E56*(1+VLOOKUP(I56,CategoryTable,2,FALSE)),0)</f>
        <v/>
      </c>
      <c r="G56" s="32">
        <f>'Client Setup'!B19</f>
        <v/>
      </c>
      <c r="H56" s="33" t="n"/>
      <c r="I56" s="238" t="inlineStr">
        <is>
          <t>Décor &amp; Design</t>
        </is>
      </c>
      <c r="J56" s="8">
        <f>IF(A62="","",A62&amp;" x"&amp;C62)</f>
        <v/>
      </c>
      <c r="K56" s="161">
        <f>IF(A62="","",ROUNDUP(F62/10,0)*10)</f>
        <v/>
      </c>
      <c r="L56" s="1" t="n"/>
      <c r="M56" s="1" t="n"/>
      <c r="N56" s="1" t="n"/>
      <c r="O56" s="1" t="n"/>
      <c r="P56" s="1" t="n"/>
      <c r="Q56" s="1" t="n"/>
      <c r="R56" s="1" t="n"/>
      <c r="S56" s="1" t="n"/>
      <c r="T56" s="1" t="n"/>
      <c r="U56" s="1" t="n"/>
      <c r="V56" s="1" t="n"/>
      <c r="W56" s="1" t="n"/>
      <c r="X56" s="1" t="n"/>
      <c r="Y56" s="1" t="n"/>
      <c r="Z56" s="1" t="n"/>
    </row>
    <row r="57" ht="21.75" customHeight="1" s="137">
      <c r="A57" s="55" t="n"/>
      <c r="B57" s="56" t="n"/>
      <c r="C57" s="131" t="n"/>
      <c r="D57" s="160" t="n"/>
      <c r="E57" s="164">
        <f>C57*D57</f>
        <v/>
      </c>
      <c r="F57" s="164">
        <f>IFERROR(E57*(1+VLOOKUP(I57,CategoryTable,2,FALSE)),0)</f>
        <v/>
      </c>
      <c r="G57" s="32">
        <f>'Client Setup'!B19</f>
        <v/>
      </c>
      <c r="H57" s="33" t="n"/>
      <c r="I57" s="238" t="inlineStr">
        <is>
          <t>Décor &amp; Design</t>
        </is>
      </c>
      <c r="J57" s="8">
        <f>IF(A63="","",A63&amp;" x"&amp;C63)</f>
        <v/>
      </c>
      <c r="K57" s="161">
        <f>IF(A63="","",ROUNDUP(F63/10,0)*10)</f>
        <v/>
      </c>
      <c r="L57" s="1" t="n"/>
      <c r="M57" s="1" t="n"/>
      <c r="N57" s="1" t="n"/>
      <c r="O57" s="1" t="n"/>
      <c r="P57" s="1" t="n"/>
      <c r="Q57" s="1" t="n"/>
      <c r="R57" s="1" t="n"/>
      <c r="S57" s="1" t="n"/>
      <c r="T57" s="1" t="n"/>
      <c r="U57" s="1" t="n"/>
      <c r="V57" s="1" t="n"/>
      <c r="W57" s="1" t="n"/>
      <c r="X57" s="1" t="n"/>
      <c r="Y57" s="1" t="n"/>
      <c r="Z57" s="1" t="n"/>
    </row>
    <row r="58" ht="21.75" customHeight="1" s="137">
      <c r="A58" s="55" t="n"/>
      <c r="B58" s="56" t="n"/>
      <c r="C58" s="131" t="n"/>
      <c r="D58" s="160" t="n"/>
      <c r="E58" s="164">
        <f>C58*D58</f>
        <v/>
      </c>
      <c r="F58" s="164">
        <f>IFERROR(E58*(1+VLOOKUP(I58,CategoryTable,2,FALSE)),0)</f>
        <v/>
      </c>
      <c r="G58" s="32">
        <f>'Client Setup'!B19</f>
        <v/>
      </c>
      <c r="H58" s="33" t="n"/>
      <c r="I58" s="238" t="inlineStr">
        <is>
          <t>Décor &amp; Design</t>
        </is>
      </c>
      <c r="J58" s="8">
        <f>IF(A64="","",A64&amp;" x"&amp;C64)</f>
        <v/>
      </c>
      <c r="K58" s="161">
        <f>IF(A64="","",ROUNDUP(F64/10,0)*10)</f>
        <v/>
      </c>
      <c r="L58" s="1" t="n"/>
      <c r="M58" s="1" t="n"/>
      <c r="N58" s="1" t="n"/>
      <c r="O58" s="1" t="n"/>
      <c r="P58" s="1" t="n"/>
      <c r="Q58" s="1" t="n"/>
      <c r="R58" s="1" t="n"/>
      <c r="S58" s="1" t="n"/>
      <c r="T58" s="1" t="n"/>
      <c r="U58" s="1" t="n"/>
      <c r="V58" s="1" t="n"/>
      <c r="W58" s="1" t="n"/>
      <c r="X58" s="1" t="n"/>
      <c r="Y58" s="1" t="n"/>
      <c r="Z58" s="1" t="n"/>
    </row>
    <row r="59" ht="21.75" customHeight="1" s="137">
      <c r="A59" s="55" t="n"/>
      <c r="B59" s="56" t="n"/>
      <c r="C59" s="131" t="n"/>
      <c r="D59" s="160" t="n"/>
      <c r="E59" s="164">
        <f>C59*D59</f>
        <v/>
      </c>
      <c r="F59" s="164">
        <f>IFERROR(E59*(1+VLOOKUP(I59,CategoryTable,2,FALSE)),0)</f>
        <v/>
      </c>
      <c r="G59" s="32">
        <f>'Client Setup'!B19</f>
        <v/>
      </c>
      <c r="H59" s="33" t="n"/>
      <c r="I59" s="238" t="inlineStr">
        <is>
          <t>Décor &amp; Design</t>
        </is>
      </c>
      <c r="J59" s="8">
        <f>IF(A65="","",A65&amp;" x"&amp;C65)</f>
        <v/>
      </c>
      <c r="K59" s="161">
        <f>IF(A65="","",ROUNDUP(F65/10,0)*10)</f>
        <v/>
      </c>
      <c r="L59" s="1" t="n"/>
      <c r="M59" s="1" t="n"/>
      <c r="N59" s="1" t="n"/>
      <c r="O59" s="1" t="n"/>
      <c r="P59" s="1" t="n"/>
      <c r="Q59" s="1" t="n"/>
      <c r="R59" s="1" t="n"/>
      <c r="S59" s="1" t="n"/>
      <c r="T59" s="1" t="n"/>
      <c r="U59" s="1" t="n"/>
      <c r="V59" s="1" t="n"/>
      <c r="W59" s="1" t="n"/>
      <c r="X59" s="1" t="n"/>
      <c r="Y59" s="1" t="n"/>
      <c r="Z59" s="1" t="n"/>
    </row>
    <row r="60" ht="21.75" customHeight="1" s="137">
      <c r="A60" s="55" t="n"/>
      <c r="B60" s="56" t="n"/>
      <c r="C60" s="131" t="n"/>
      <c r="D60" s="160" t="n"/>
      <c r="E60" s="164">
        <f>C60*D60</f>
        <v/>
      </c>
      <c r="F60" s="164">
        <f>IFERROR(E60*(1+VLOOKUP(I60,CategoryTable,2,FALSE)),0)</f>
        <v/>
      </c>
      <c r="G60" s="32">
        <f>'Client Setup'!B19</f>
        <v/>
      </c>
      <c r="H60" s="33" t="n"/>
      <c r="I60" s="238" t="inlineStr">
        <is>
          <t>Décor &amp; Design</t>
        </is>
      </c>
      <c r="J60" s="8">
        <f>IF(A66="","",A66&amp;" x"&amp;C66)</f>
        <v/>
      </c>
      <c r="K60" s="161">
        <f>IF(A66="","",ROUNDUP(F66/10,0)*10)</f>
        <v/>
      </c>
      <c r="L60" s="1" t="n"/>
      <c r="M60" s="1" t="n"/>
      <c r="N60" s="1" t="n"/>
      <c r="O60" s="1" t="n"/>
      <c r="P60" s="1" t="n"/>
      <c r="Q60" s="1" t="n"/>
      <c r="R60" s="1" t="n"/>
      <c r="S60" s="1" t="n"/>
      <c r="T60" s="1" t="n"/>
      <c r="U60" s="1" t="n"/>
      <c r="V60" s="1" t="n"/>
      <c r="W60" s="1" t="n"/>
      <c r="X60" s="1" t="n"/>
      <c r="Y60" s="1" t="n"/>
      <c r="Z60" s="1" t="n"/>
    </row>
    <row r="61" ht="21.75" customHeight="1" s="137">
      <c r="A61" s="27" t="inlineStr">
        <is>
          <t>RUGS, DECOR &amp; ACCESSORIES</t>
        </is>
      </c>
      <c r="I61" s="1" t="n"/>
      <c r="J61" s="8">
        <f>IF(A67="","",A67&amp;" x"&amp;C67)</f>
        <v/>
      </c>
      <c r="K61" s="161">
        <f>IF(A67="","",ROUNDUP(F67/10,0)*10)</f>
        <v/>
      </c>
      <c r="L61" s="1" t="n"/>
      <c r="M61" s="1" t="n"/>
      <c r="N61" s="1" t="n"/>
      <c r="O61" s="1" t="n"/>
      <c r="P61" s="1" t="n"/>
      <c r="Q61" s="1" t="n"/>
      <c r="R61" s="1" t="n"/>
      <c r="S61" s="1" t="n"/>
      <c r="T61" s="1" t="n"/>
      <c r="U61" s="1" t="n"/>
      <c r="V61" s="1" t="n"/>
      <c r="W61" s="1" t="n"/>
      <c r="X61" s="1" t="n"/>
      <c r="Y61" s="1" t="n"/>
      <c r="Z61" s="1" t="n"/>
    </row>
    <row r="62" ht="21.75" customHeight="1" s="137">
      <c r="A62" s="55" t="n"/>
      <c r="B62" s="56" t="n"/>
      <c r="C62" s="131" t="n"/>
      <c r="D62" s="160" t="n"/>
      <c r="E62" s="164">
        <f>C62*D62</f>
        <v/>
      </c>
      <c r="F62" s="164">
        <f>IFERROR(E62*(1+VLOOKUP(I62,CategoryTable,2,FALSE)),0)</f>
        <v/>
      </c>
      <c r="G62" s="32">
        <f>'Client Setup'!B19</f>
        <v/>
      </c>
      <c r="H62" s="33" t="n"/>
      <c r="I62" s="238" t="inlineStr">
        <is>
          <t>Décor &amp; Design</t>
        </is>
      </c>
      <c r="J62" s="8">
        <f>IF(A69="","",A69)</f>
        <v/>
      </c>
      <c r="K62" s="161">
        <f>IF(A69="","",ROUNDUP(F69/10,0)*10)</f>
        <v/>
      </c>
      <c r="L62" s="1" t="n"/>
      <c r="M62" s="1" t="n"/>
      <c r="N62" s="1" t="n"/>
      <c r="O62" s="1" t="n"/>
      <c r="P62" s="1" t="n"/>
      <c r="Q62" s="1" t="n"/>
      <c r="R62" s="1" t="n"/>
      <c r="S62" s="1" t="n"/>
      <c r="T62" s="1" t="n"/>
      <c r="U62" s="1" t="n"/>
      <c r="V62" s="1" t="n"/>
      <c r="W62" s="1" t="n"/>
      <c r="X62" s="1" t="n"/>
      <c r="Y62" s="1" t="n"/>
      <c r="Z62" s="1" t="n"/>
    </row>
    <row r="63" ht="21.75" customHeight="1" s="137">
      <c r="A63" s="55" t="n"/>
      <c r="B63" s="56" t="n"/>
      <c r="C63" s="131" t="n"/>
      <c r="D63" s="160" t="n"/>
      <c r="E63" s="164">
        <f>C63*D63</f>
        <v/>
      </c>
      <c r="F63" s="164">
        <f>IFERROR(E63*(1+VLOOKUP(I63,CategoryTable,2,FALSE)),0)</f>
        <v/>
      </c>
      <c r="G63" s="32">
        <f>'Client Setup'!B19</f>
        <v/>
      </c>
      <c r="H63" s="33" t="n"/>
      <c r="I63" s="238" t="inlineStr">
        <is>
          <t>Décor &amp; Design</t>
        </is>
      </c>
      <c r="J63" s="8">
        <f>IF(A70="","",A70)</f>
        <v/>
      </c>
      <c r="K63" s="161">
        <f>IF(A70="","",ROUNDUP(F70/10,0)*10)</f>
        <v/>
      </c>
      <c r="L63" s="1" t="n"/>
      <c r="M63" s="1" t="n"/>
      <c r="N63" s="1" t="n"/>
      <c r="O63" s="1" t="n"/>
      <c r="P63" s="1" t="n"/>
      <c r="Q63" s="1" t="n"/>
      <c r="R63" s="1" t="n"/>
      <c r="S63" s="1" t="n"/>
      <c r="T63" s="1" t="n"/>
      <c r="U63" s="1" t="n"/>
      <c r="V63" s="1" t="n"/>
      <c r="W63" s="1" t="n"/>
      <c r="X63" s="1" t="n"/>
      <c r="Y63" s="1" t="n"/>
      <c r="Z63" s="1" t="n"/>
    </row>
    <row r="64" ht="21.75" customHeight="1" s="137">
      <c r="A64" s="55" t="n"/>
      <c r="B64" s="56" t="n"/>
      <c r="C64" s="131" t="n"/>
      <c r="D64" s="160" t="n"/>
      <c r="E64" s="164">
        <f>C64*D64</f>
        <v/>
      </c>
      <c r="F64" s="164">
        <f>IFERROR(E64*(1+VLOOKUP(I64,CategoryTable,2,FALSE)),0)</f>
        <v/>
      </c>
      <c r="G64" s="32">
        <f>'Client Setup'!B19</f>
        <v/>
      </c>
      <c r="H64" s="33" t="n"/>
      <c r="I64" s="238" t="inlineStr">
        <is>
          <t>Décor &amp; Design</t>
        </is>
      </c>
      <c r="J64" s="8">
        <f>IF(A71="","",A71)</f>
        <v/>
      </c>
      <c r="K64" s="161">
        <f>IF(A71="","",ROUNDUP(F71/10,0)*10)</f>
        <v/>
      </c>
      <c r="L64" s="1" t="n"/>
      <c r="M64" s="1" t="n"/>
      <c r="N64" s="1" t="n"/>
      <c r="O64" s="1" t="n"/>
      <c r="P64" s="1" t="n"/>
      <c r="Q64" s="1" t="n"/>
      <c r="R64" s="1" t="n"/>
      <c r="S64" s="1" t="n"/>
      <c r="T64" s="1" t="n"/>
      <c r="U64" s="1" t="n"/>
      <c r="V64" s="1" t="n"/>
      <c r="W64" s="1" t="n"/>
      <c r="X64" s="1" t="n"/>
      <c r="Y64" s="1" t="n"/>
      <c r="Z64" s="1" t="n"/>
    </row>
    <row r="65" ht="24" customHeight="1" s="137">
      <c r="A65" s="55" t="n"/>
      <c r="B65" s="56" t="n"/>
      <c r="C65" s="131" t="n"/>
      <c r="D65" s="160" t="n"/>
      <c r="E65" s="164">
        <f>C65*D65</f>
        <v/>
      </c>
      <c r="F65" s="164">
        <f>IFERROR(E65*(1+VLOOKUP(I65,CategoryTable,2,FALSE)),0)</f>
        <v/>
      </c>
      <c r="G65" s="32">
        <f>'Client Setup'!B19</f>
        <v/>
      </c>
      <c r="H65" s="33" t="n"/>
      <c r="I65" s="238" t="inlineStr">
        <is>
          <t>Décor &amp; Design</t>
        </is>
      </c>
      <c r="J65" s="8">
        <f>IF(A72="","",A72)</f>
        <v/>
      </c>
      <c r="K65" s="161">
        <f>IF(A72="","",ROUNDUP(F72/10,0)*10)</f>
        <v/>
      </c>
      <c r="L65" s="1" t="n"/>
      <c r="M65" s="1" t="n"/>
      <c r="N65" s="1" t="n"/>
      <c r="O65" s="1" t="n"/>
      <c r="P65" s="1" t="n"/>
      <c r="Q65" s="1" t="n"/>
      <c r="R65" s="1" t="n"/>
      <c r="S65" s="1" t="n"/>
      <c r="T65" s="1" t="n"/>
      <c r="U65" s="1" t="n"/>
      <c r="V65" s="1" t="n"/>
      <c r="W65" s="1" t="n"/>
      <c r="X65" s="1" t="n"/>
      <c r="Y65" s="1" t="n"/>
      <c r="Z65" s="1" t="n"/>
    </row>
    <row r="66" ht="15" customHeight="1" s="137">
      <c r="A66" s="55" t="n"/>
      <c r="B66" s="56" t="n"/>
      <c r="C66" s="131" t="n"/>
      <c r="D66" s="160" t="n"/>
      <c r="E66" s="164">
        <f>C66*D66</f>
        <v/>
      </c>
      <c r="F66" s="164">
        <f>IFERROR(E66*(1+VLOOKUP(I66,CategoryTable,2,FALSE)),0)</f>
        <v/>
      </c>
      <c r="G66" s="32">
        <f>'Client Setup'!B19</f>
        <v/>
      </c>
      <c r="H66" s="33" t="n"/>
      <c r="I66" s="238" t="inlineStr">
        <is>
          <t>Décor &amp; Design</t>
        </is>
      </c>
      <c r="J66" s="8">
        <f>IF(A73="","",A73)</f>
        <v/>
      </c>
      <c r="K66" s="161">
        <f>IF(A73="","",ROUNDUP(F73/10,0)*10)</f>
        <v/>
      </c>
      <c r="L66" s="1" t="n"/>
      <c r="M66" s="1" t="n"/>
      <c r="N66" s="1" t="n"/>
      <c r="O66" s="1" t="n"/>
      <c r="P66" s="1" t="n"/>
      <c r="Q66" s="1" t="n"/>
      <c r="R66" s="1" t="n"/>
      <c r="S66" s="1" t="n"/>
      <c r="T66" s="1" t="n"/>
      <c r="U66" s="1" t="n"/>
      <c r="V66" s="1" t="n"/>
      <c r="W66" s="1" t="n"/>
      <c r="X66" s="1" t="n"/>
      <c r="Y66" s="1" t="n"/>
      <c r="Z66" s="1" t="n"/>
    </row>
    <row r="67" ht="21.75" customHeight="1" s="137">
      <c r="A67" s="55" t="n"/>
      <c r="B67" s="56" t="n"/>
      <c r="C67" s="131" t="n"/>
      <c r="D67" s="160" t="n"/>
      <c r="E67" s="164">
        <f>C67*D67</f>
        <v/>
      </c>
      <c r="F67" s="164">
        <f>IFERROR(E67*(1+VLOOKUP(I67,CategoryTable,2,FALSE)),0)</f>
        <v/>
      </c>
      <c r="G67" s="32">
        <f>'Client Setup'!B19</f>
        <v/>
      </c>
      <c r="H67" s="33" t="n"/>
      <c r="I67" s="238" t="inlineStr">
        <is>
          <t>Décor &amp; Design</t>
        </is>
      </c>
      <c r="J67" s="8">
        <f>IF(A74="","",A74)</f>
        <v/>
      </c>
      <c r="K67" s="161">
        <f>IF(A74="","",ROUNDUP(F74/10,0)*10)</f>
        <v/>
      </c>
      <c r="L67" s="1" t="n"/>
      <c r="M67" s="1" t="n"/>
      <c r="N67" s="1" t="n"/>
      <c r="O67" s="1" t="n"/>
      <c r="P67" s="1" t="n"/>
      <c r="Q67" s="1" t="n"/>
      <c r="R67" s="1" t="n"/>
      <c r="S67" s="1" t="n"/>
      <c r="T67" s="1" t="n"/>
      <c r="U67" s="1" t="n"/>
      <c r="V67" s="1" t="n"/>
      <c r="W67" s="1" t="n"/>
      <c r="X67" s="1" t="n"/>
      <c r="Y67" s="1" t="n"/>
      <c r="Z67" s="1" t="n"/>
    </row>
    <row r="68" ht="21.75" customHeight="1" s="137">
      <c r="A68" s="39" t="inlineStr">
        <is>
          <t>NON-TAXABLE RENTAL FEES</t>
        </is>
      </c>
      <c r="I68" s="1" t="n"/>
      <c r="J68" s="60" t="inlineStr">
        <is>
          <t>Rentals &amp; Lounge Subtotal</t>
        </is>
      </c>
      <c r="K68" s="179">
        <f>SUM(K32:K67)</f>
        <v/>
      </c>
      <c r="L68" s="1" t="n"/>
      <c r="M68" s="1" t="n"/>
      <c r="N68" s="1" t="n"/>
      <c r="O68" s="1" t="n"/>
      <c r="P68" s="1" t="n"/>
      <c r="Q68" s="1" t="n"/>
      <c r="R68" s="1" t="n"/>
      <c r="S68" s="1" t="n"/>
      <c r="T68" s="1" t="n"/>
      <c r="U68" s="1" t="n"/>
      <c r="V68" s="1" t="n"/>
      <c r="W68" s="1" t="n"/>
      <c r="X68" s="1" t="n"/>
      <c r="Y68" s="1" t="n"/>
      <c r="Z68" s="1" t="n"/>
    </row>
    <row r="69" ht="21.75" customHeight="1" s="137">
      <c r="A69" s="55" t="n"/>
      <c r="B69" s="56" t="n"/>
      <c r="C69" s="59" t="n"/>
      <c r="D69" s="160" t="n"/>
      <c r="E69" s="164">
        <f>D69</f>
        <v/>
      </c>
      <c r="F69" s="164">
        <f>IFERROR(E69*(1+VLOOKUP(I69,CategoryTable,2,FALSE)),0)</f>
        <v/>
      </c>
      <c r="G69" s="32" t="n">
        <v>0</v>
      </c>
      <c r="H69" s="33" t="n"/>
      <c r="I69" s="238" t="inlineStr">
        <is>
          <t>Delivery &amp; Logistics</t>
        </is>
      </c>
      <c r="J69" s="63" t="n"/>
      <c r="K69" s="63" t="n"/>
      <c r="L69" s="1" t="n"/>
      <c r="M69" s="1" t="n"/>
      <c r="N69" s="1" t="n"/>
      <c r="O69" s="1" t="n"/>
      <c r="P69" s="1" t="n"/>
      <c r="Q69" s="1" t="n"/>
      <c r="R69" s="1" t="n"/>
      <c r="S69" s="1" t="n"/>
      <c r="T69" s="1" t="n"/>
      <c r="U69" s="1" t="n"/>
      <c r="V69" s="1" t="n"/>
      <c r="W69" s="1" t="n"/>
      <c r="X69" s="1" t="n"/>
      <c r="Y69" s="1" t="n"/>
      <c r="Z69" s="1" t="n"/>
    </row>
    <row r="70" ht="21.75" customHeight="1" s="137">
      <c r="A70" s="55" t="n"/>
      <c r="B70" s="56" t="n"/>
      <c r="C70" s="59" t="n"/>
      <c r="D70" s="160" t="n"/>
      <c r="E70" s="164">
        <f>D70</f>
        <v/>
      </c>
      <c r="F70" s="164">
        <f>IFERROR(E70*(1+VLOOKUP(I70,CategoryTable,2,FALSE)),0)</f>
        <v/>
      </c>
      <c r="G70" s="32" t="n">
        <v>0</v>
      </c>
      <c r="H70" s="33" t="n"/>
      <c r="I70" s="238" t="inlineStr">
        <is>
          <t>Delivery &amp; Logistics</t>
        </is>
      </c>
      <c r="J70" s="54">
        <f>A77</f>
        <v/>
      </c>
      <c r="L70" s="1" t="n"/>
      <c r="M70" s="1" t="n"/>
      <c r="N70" s="1" t="n"/>
      <c r="O70" s="1" t="n"/>
      <c r="P70" s="1" t="n"/>
      <c r="Q70" s="1" t="n"/>
      <c r="R70" s="1" t="n"/>
      <c r="S70" s="1" t="n"/>
      <c r="T70" s="1" t="n"/>
      <c r="U70" s="1" t="n"/>
      <c r="V70" s="1" t="n"/>
      <c r="W70" s="1" t="n"/>
      <c r="X70" s="1" t="n"/>
      <c r="Y70" s="1" t="n"/>
      <c r="Z70" s="1" t="n"/>
    </row>
    <row r="71" ht="21.75" customHeight="1" s="137">
      <c r="A71" s="55" t="n"/>
      <c r="B71" s="56" t="n"/>
      <c r="C71" s="59" t="n"/>
      <c r="D71" s="160" t="n"/>
      <c r="E71" s="164">
        <f>D71</f>
        <v/>
      </c>
      <c r="F71" s="164">
        <f>IFERROR(E71*(1+VLOOKUP(I71,CategoryTable,2,FALSE)),0)</f>
        <v/>
      </c>
      <c r="G71" s="32" t="n">
        <v>0</v>
      </c>
      <c r="H71" s="33" t="n"/>
      <c r="I71" s="238" t="inlineStr">
        <is>
          <t>Delivery &amp; Logistics</t>
        </is>
      </c>
      <c r="J71" s="8">
        <f>IF(A80="","",A80&amp;" x"&amp;C80)</f>
        <v/>
      </c>
      <c r="K71" s="161">
        <f>IF(A80="","",ROUNDUP(F80/10,0)*10)</f>
        <v/>
      </c>
      <c r="L71" s="1" t="n"/>
      <c r="M71" s="1" t="n"/>
      <c r="N71" s="1" t="n"/>
      <c r="O71" s="1" t="n"/>
      <c r="P71" s="1" t="n"/>
      <c r="Q71" s="1" t="n"/>
      <c r="R71" s="1" t="n"/>
      <c r="S71" s="1" t="n"/>
      <c r="T71" s="1" t="n"/>
      <c r="U71" s="1" t="n"/>
      <c r="V71" s="1" t="n"/>
      <c r="W71" s="1" t="n"/>
      <c r="X71" s="1" t="n"/>
      <c r="Y71" s="1" t="n"/>
      <c r="Z71" s="1" t="n"/>
    </row>
    <row r="72" ht="21.75" customHeight="1" s="137">
      <c r="A72" s="55" t="n"/>
      <c r="B72" s="56" t="n"/>
      <c r="C72" s="59" t="n"/>
      <c r="D72" s="160" t="n"/>
      <c r="E72" s="164">
        <f>D72</f>
        <v/>
      </c>
      <c r="F72" s="164">
        <f>IFERROR(E72*(1+VLOOKUP(I72,CategoryTable,2,FALSE)),0)</f>
        <v/>
      </c>
      <c r="G72" s="32" t="n">
        <v>0</v>
      </c>
      <c r="H72" s="33" t="n"/>
      <c r="I72" s="238" t="inlineStr">
        <is>
          <t>Delivery &amp; Logistics</t>
        </is>
      </c>
      <c r="J72" s="8">
        <f>IF(A81="","",A81&amp;" x"&amp;C81)</f>
        <v/>
      </c>
      <c r="K72" s="161">
        <f>IF(A81="","",ROUNDUP(F81/10,0)*10)</f>
        <v/>
      </c>
      <c r="L72" s="1" t="n"/>
      <c r="M72" s="1" t="n"/>
      <c r="N72" s="1" t="n"/>
      <c r="O72" s="1" t="n"/>
      <c r="P72" s="1" t="n"/>
      <c r="Q72" s="1" t="n"/>
      <c r="R72" s="1" t="n"/>
      <c r="S72" s="1" t="n"/>
      <c r="T72" s="1" t="n"/>
      <c r="U72" s="1" t="n"/>
      <c r="V72" s="1" t="n"/>
      <c r="W72" s="1" t="n"/>
      <c r="X72" s="1" t="n"/>
      <c r="Y72" s="1" t="n"/>
      <c r="Z72" s="1" t="n"/>
    </row>
    <row r="73" ht="21.75" customHeight="1" s="137">
      <c r="A73" s="55" t="n"/>
      <c r="B73" s="56" t="n"/>
      <c r="C73" s="59" t="n"/>
      <c r="D73" s="160" t="n"/>
      <c r="E73" s="164">
        <f>D73</f>
        <v/>
      </c>
      <c r="F73" s="164">
        <f>IFERROR(E73*(1+VLOOKUP(I73,CategoryTable,2,FALSE)),0)</f>
        <v/>
      </c>
      <c r="G73" s="32" t="n">
        <v>0</v>
      </c>
      <c r="H73" s="33" t="n"/>
      <c r="I73" s="238" t="inlineStr">
        <is>
          <t>Delivery &amp; Logistics</t>
        </is>
      </c>
      <c r="J73" s="8">
        <f>IF(A82="","",A82&amp;" x"&amp;C82)</f>
        <v/>
      </c>
      <c r="K73" s="161">
        <f>IF(A82="","",ROUNDUP(F82/10,0)*10)</f>
        <v/>
      </c>
      <c r="L73" s="1" t="n"/>
      <c r="M73" s="1" t="n"/>
      <c r="N73" s="1" t="n"/>
      <c r="O73" s="1" t="n"/>
      <c r="P73" s="1" t="n"/>
      <c r="Q73" s="1" t="n"/>
      <c r="R73" s="1" t="n"/>
      <c r="S73" s="1" t="n"/>
      <c r="T73" s="1" t="n"/>
      <c r="U73" s="1" t="n"/>
      <c r="V73" s="1" t="n"/>
      <c r="W73" s="1" t="n"/>
      <c r="X73" s="1" t="n"/>
      <c r="Y73" s="1" t="n"/>
      <c r="Z73" s="1" t="n"/>
    </row>
    <row r="74" ht="21.75" customHeight="1" s="137">
      <c r="A74" s="55" t="n"/>
      <c r="B74" s="56" t="n"/>
      <c r="C74" s="59" t="n"/>
      <c r="D74" s="160" t="n"/>
      <c r="E74" s="164">
        <f>D74</f>
        <v/>
      </c>
      <c r="F74" s="164">
        <f>IFERROR(E74*(1+VLOOKUP(I74,CategoryTable,2,FALSE)),0)</f>
        <v/>
      </c>
      <c r="G74" s="32" t="n">
        <v>0</v>
      </c>
      <c r="H74" s="33" t="n"/>
      <c r="I74" s="238" t="inlineStr">
        <is>
          <t>Delivery &amp; Logistics</t>
        </is>
      </c>
      <c r="J74" s="8">
        <f>IF(A83="","",A83&amp;" x"&amp;C83)</f>
        <v/>
      </c>
      <c r="K74" s="161">
        <f>IF(A83="","",ROUNDUP(F83/10,0)*10)</f>
        <v/>
      </c>
      <c r="L74" s="1" t="n"/>
      <c r="M74" s="1" t="n"/>
      <c r="N74" s="1" t="n"/>
      <c r="O74" s="1" t="n"/>
      <c r="P74" s="1" t="n"/>
      <c r="Q74" s="1" t="n"/>
      <c r="R74" s="1" t="n"/>
      <c r="S74" s="1" t="n"/>
      <c r="T74" s="1" t="n"/>
      <c r="U74" s="1" t="n"/>
      <c r="V74" s="1" t="n"/>
      <c r="W74" s="1" t="n"/>
      <c r="X74" s="1" t="n"/>
      <c r="Y74" s="1" t="n"/>
      <c r="Z74" s="1" t="n"/>
    </row>
    <row r="75" ht="21.75" customHeight="1" s="137">
      <c r="A75" s="43" t="inlineStr">
        <is>
          <t>RENTALS &amp; LOUNGE SUBTOTAL</t>
        </is>
      </c>
      <c r="B75" s="62" t="n"/>
      <c r="C75" s="62" t="n"/>
      <c r="D75" s="62" t="n"/>
      <c r="E75" s="166">
        <f>SUM(E35:E42)+SUM(E44:E51)+SUM(E53:E60)+SUM(E62:E67)+SUM(E69:E74)</f>
        <v/>
      </c>
      <c r="F75" s="166">
        <f>SUM(F35:F42)+SUM(F44:F51)+SUM(F53:F60)+SUM(F62:F67)+SUM(F69:F74)</f>
        <v/>
      </c>
      <c r="G75" s="62" t="n"/>
      <c r="H75" s="62" t="n"/>
      <c r="I75" s="1" t="n"/>
      <c r="J75" s="8">
        <f>IF(A84="","",A84&amp;" x"&amp;C84)</f>
        <v/>
      </c>
      <c r="K75" s="161">
        <f>IF(A84="","",ROUNDUP(F84/10,0)*10)</f>
        <v/>
      </c>
      <c r="L75" s="1" t="n"/>
      <c r="M75" s="1" t="n"/>
      <c r="N75" s="1" t="n"/>
      <c r="O75" s="1" t="n"/>
      <c r="P75" s="1" t="n"/>
      <c r="Q75" s="1" t="n"/>
      <c r="R75" s="1" t="n"/>
      <c r="S75" s="1" t="n"/>
      <c r="T75" s="1" t="n"/>
      <c r="U75" s="1" t="n"/>
      <c r="V75" s="1" t="n"/>
      <c r="W75" s="1" t="n"/>
      <c r="X75" s="1" t="n"/>
      <c r="Y75" s="1" t="n"/>
      <c r="Z75" s="1" t="n"/>
    </row>
    <row r="76" ht="21.75" customHeight="1" s="137">
      <c r="A76" s="1" t="n"/>
      <c r="B76" s="1" t="n"/>
      <c r="C76" s="1" t="n"/>
      <c r="D76" s="1" t="n"/>
      <c r="E76" s="1" t="n"/>
      <c r="F76" s="1" t="n"/>
      <c r="G76" s="1" t="n"/>
      <c r="H76" s="1" t="n"/>
      <c r="I76" s="1" t="n"/>
      <c r="J76" s="8">
        <f>IF(A85="","",A85&amp;" x"&amp;C85)</f>
        <v/>
      </c>
      <c r="K76" s="161">
        <f>IF(A85="","",ROUNDUP(F85/10,0)*10)</f>
        <v/>
      </c>
      <c r="L76" s="1" t="n"/>
      <c r="M76" s="1" t="n"/>
      <c r="N76" s="1" t="n"/>
      <c r="O76" s="1" t="n"/>
      <c r="P76" s="1" t="n"/>
      <c r="Q76" s="1" t="n"/>
      <c r="R76" s="1" t="n"/>
      <c r="S76" s="1" t="n"/>
      <c r="T76" s="1" t="n"/>
      <c r="U76" s="1" t="n"/>
      <c r="V76" s="1" t="n"/>
      <c r="W76" s="1" t="n"/>
      <c r="X76" s="1" t="n"/>
      <c r="Y76" s="1" t="n"/>
      <c r="Z76" s="1" t="n"/>
    </row>
    <row r="77" ht="21.75" customHeight="1" s="137">
      <c r="A77" s="133" t="inlineStr">
        <is>
          <t>AV / PRODUCTION</t>
        </is>
      </c>
      <c r="I77" s="1" t="n"/>
      <c r="J77" s="8">
        <f>IF(A86="","",A86&amp;" x"&amp;C86)</f>
        <v/>
      </c>
      <c r="K77" s="161">
        <f>IF(A86="","",ROUNDUP(F86/10,0)*10)</f>
        <v/>
      </c>
      <c r="L77" s="1" t="n"/>
      <c r="M77" s="1" t="n"/>
      <c r="N77" s="1" t="n"/>
      <c r="O77" s="1" t="n"/>
      <c r="P77" s="1" t="n"/>
      <c r="Q77" s="1" t="n"/>
      <c r="R77" s="1" t="n"/>
      <c r="S77" s="1" t="n"/>
      <c r="T77" s="1" t="n"/>
      <c r="U77" s="1" t="n"/>
      <c r="V77" s="1" t="n"/>
      <c r="W77" s="1" t="n"/>
      <c r="X77" s="1" t="n"/>
      <c r="Y77" s="1" t="n"/>
      <c r="Z77" s="1" t="n"/>
    </row>
    <row r="78" ht="21.75" customHeight="1" s="137">
      <c r="A78" s="22" t="inlineStr">
        <is>
          <t>Item</t>
        </is>
      </c>
      <c r="B78" s="22" t="inlineStr">
        <is>
          <t>Vendor</t>
        </is>
      </c>
      <c r="C78" s="22" t="inlineStr">
        <is>
          <t>Qty</t>
        </is>
      </c>
      <c r="D78" s="22" t="inlineStr">
        <is>
          <t>Unit Price</t>
        </is>
      </c>
      <c r="E78" s="22" t="inlineStr">
        <is>
          <t>Our Cost</t>
        </is>
      </c>
      <c r="F78" s="22" t="inlineStr">
        <is>
          <t>Client Cost</t>
        </is>
      </c>
      <c r="G78" s="22" t="inlineStr">
        <is>
          <t>Tax Rate</t>
        </is>
      </c>
      <c r="H78" s="22" t="inlineStr">
        <is>
          <t>Notes / Description</t>
        </is>
      </c>
      <c r="I78" s="1" t="n"/>
      <c r="J78" s="8">
        <f>IF(A87="","",A87&amp;" x"&amp;C87)</f>
        <v/>
      </c>
      <c r="K78" s="161">
        <f>IF(A87="","",ROUNDUP(F87/10,0)*10)</f>
        <v/>
      </c>
      <c r="L78" s="1" t="n"/>
      <c r="M78" s="1" t="n"/>
      <c r="N78" s="1" t="n"/>
      <c r="O78" s="1" t="n"/>
      <c r="P78" s="1" t="n"/>
      <c r="Q78" s="1" t="n"/>
      <c r="R78" s="1" t="n"/>
      <c r="S78" s="1" t="n"/>
      <c r="T78" s="1" t="n"/>
      <c r="U78" s="1" t="n"/>
      <c r="V78" s="1" t="n"/>
      <c r="W78" s="1" t="n"/>
      <c r="X78" s="1" t="n"/>
      <c r="Y78" s="1" t="n"/>
      <c r="Z78" s="1" t="n"/>
    </row>
    <row r="79" ht="21.75" customHeight="1" s="137">
      <c r="A79" s="27" t="inlineStr">
        <is>
          <t>TAXABLE AV &amp; PRODUCTION EQUIPMENT</t>
        </is>
      </c>
      <c r="I79" s="1" t="n"/>
      <c r="J79" s="8">
        <f>IF(A88="","",A88&amp;" x"&amp;C88)</f>
        <v/>
      </c>
      <c r="K79" s="161">
        <f>IF(A88="","",ROUNDUP(F88/10,0)*10)</f>
        <v/>
      </c>
      <c r="L79" s="1" t="n"/>
      <c r="M79" s="1" t="n"/>
      <c r="N79" s="1" t="n"/>
      <c r="O79" s="1" t="n"/>
      <c r="P79" s="1" t="n"/>
      <c r="Q79" s="1" t="n"/>
      <c r="R79" s="1" t="n"/>
      <c r="S79" s="1" t="n"/>
      <c r="T79" s="1" t="n"/>
      <c r="U79" s="1" t="n"/>
      <c r="V79" s="1" t="n"/>
      <c r="W79" s="1" t="n"/>
      <c r="X79" s="1" t="n"/>
      <c r="Y79" s="1" t="n"/>
      <c r="Z79" s="1" t="n"/>
    </row>
    <row r="80" ht="21.75" customHeight="1" s="137">
      <c r="A80" s="55" t="n"/>
      <c r="B80" s="56" t="n"/>
      <c r="C80" s="131" t="n"/>
      <c r="D80" s="160" t="n"/>
      <c r="E80" s="164">
        <f>C80*D80</f>
        <v/>
      </c>
      <c r="F80" s="164">
        <f>IFERROR(E80*(1+VLOOKUP(I80,CategoryTable,2,FALSE)),0)</f>
        <v/>
      </c>
      <c r="G80" s="32">
        <f>'Client Setup'!B19</f>
        <v/>
      </c>
      <c r="H80" s="33" t="n"/>
      <c r="I80" s="238" t="inlineStr">
        <is>
          <t>AV &amp; Production</t>
        </is>
      </c>
      <c r="J80" s="8">
        <f>IF(A89="","",A89&amp;" x"&amp;C89)</f>
        <v/>
      </c>
      <c r="K80" s="161">
        <f>IF(A89="","",ROUNDUP(F89/10,0)*10)</f>
        <v/>
      </c>
      <c r="L80" s="1" t="n"/>
      <c r="M80" s="1" t="n"/>
      <c r="N80" s="1" t="n"/>
      <c r="O80" s="1" t="n"/>
      <c r="P80" s="1" t="n"/>
      <c r="Q80" s="1" t="n"/>
      <c r="R80" s="1" t="n"/>
      <c r="S80" s="1" t="n"/>
      <c r="T80" s="1" t="n"/>
      <c r="U80" s="1" t="n"/>
      <c r="V80" s="1" t="n"/>
      <c r="W80" s="1" t="n"/>
      <c r="X80" s="1" t="n"/>
      <c r="Y80" s="1" t="n"/>
      <c r="Z80" s="1" t="n"/>
    </row>
    <row r="81" ht="21.75" customHeight="1" s="137">
      <c r="A81" s="55" t="n"/>
      <c r="B81" s="56" t="n"/>
      <c r="C81" s="131" t="n"/>
      <c r="D81" s="160" t="n"/>
      <c r="E81" s="164">
        <f>C81*D81</f>
        <v/>
      </c>
      <c r="F81" s="164">
        <f>IFERROR(E81*(1+VLOOKUP(I81,CategoryTable,2,FALSE)),0)</f>
        <v/>
      </c>
      <c r="G81" s="32">
        <f>'Client Setup'!B19</f>
        <v/>
      </c>
      <c r="H81" s="33" t="n"/>
      <c r="I81" s="238" t="inlineStr">
        <is>
          <t>AV &amp; Production</t>
        </is>
      </c>
      <c r="J81" s="8">
        <f>IF(A91="","",A91)</f>
        <v/>
      </c>
      <c r="K81" s="161">
        <f>IF(A91="","",ROUNDUP(F91/10,0)*10)</f>
        <v/>
      </c>
      <c r="L81" s="1" t="n"/>
      <c r="M81" s="1" t="n"/>
      <c r="N81" s="1" t="n"/>
      <c r="O81" s="1" t="n"/>
      <c r="P81" s="1" t="n"/>
      <c r="Q81" s="1" t="n"/>
      <c r="R81" s="1" t="n"/>
      <c r="S81" s="1" t="n"/>
      <c r="T81" s="1" t="n"/>
      <c r="U81" s="1" t="n"/>
      <c r="V81" s="1" t="n"/>
      <c r="W81" s="1" t="n"/>
      <c r="X81" s="1" t="n"/>
      <c r="Y81" s="1" t="n"/>
      <c r="Z81" s="1" t="n"/>
    </row>
    <row r="82" ht="21.75" customHeight="1" s="137">
      <c r="A82" s="55" t="n"/>
      <c r="B82" s="56" t="n"/>
      <c r="C82" s="131" t="n"/>
      <c r="D82" s="160" t="n"/>
      <c r="E82" s="164">
        <f>C82*D82</f>
        <v/>
      </c>
      <c r="F82" s="164">
        <f>IFERROR(E82*(1+VLOOKUP(I82,CategoryTable,2,FALSE)),0)</f>
        <v/>
      </c>
      <c r="G82" s="32">
        <f>'Client Setup'!B19</f>
        <v/>
      </c>
      <c r="H82" s="33" t="n"/>
      <c r="I82" s="238" t="inlineStr">
        <is>
          <t>AV &amp; Production</t>
        </is>
      </c>
      <c r="J82" s="8">
        <f>IF(A92="","",A92)</f>
        <v/>
      </c>
      <c r="K82" s="161">
        <f>IF(A92="","",ROUNDUP(F92/10,0)*10)</f>
        <v/>
      </c>
      <c r="L82" s="1" t="n"/>
      <c r="M82" s="1" t="n"/>
      <c r="N82" s="1" t="n"/>
      <c r="O82" s="1" t="n"/>
      <c r="P82" s="1" t="n"/>
      <c r="Q82" s="1" t="n"/>
      <c r="R82" s="1" t="n"/>
      <c r="S82" s="1" t="n"/>
      <c r="T82" s="1" t="n"/>
      <c r="U82" s="1" t="n"/>
      <c r="V82" s="1" t="n"/>
      <c r="W82" s="1" t="n"/>
      <c r="X82" s="1" t="n"/>
      <c r="Y82" s="1" t="n"/>
      <c r="Z82" s="1" t="n"/>
    </row>
    <row r="83" ht="24" customHeight="1" s="137">
      <c r="A83" s="55" t="n"/>
      <c r="B83" s="56" t="n"/>
      <c r="C83" s="131" t="n"/>
      <c r="D83" s="160" t="n"/>
      <c r="E83" s="164">
        <f>C83*D83</f>
        <v/>
      </c>
      <c r="F83" s="164">
        <f>IFERROR(E83*(1+VLOOKUP(I83,CategoryTable,2,FALSE)),0)</f>
        <v/>
      </c>
      <c r="G83" s="32">
        <f>'Client Setup'!B19</f>
        <v/>
      </c>
      <c r="H83" s="33" t="n"/>
      <c r="I83" s="238" t="inlineStr">
        <is>
          <t>AV &amp; Production</t>
        </is>
      </c>
      <c r="J83" s="8">
        <f>IF(A93="","",A93)</f>
        <v/>
      </c>
      <c r="K83" s="161">
        <f>IF(A93="","",ROUNDUP(F93/10,0)*10)</f>
        <v/>
      </c>
      <c r="L83" s="1" t="n"/>
      <c r="M83" s="1" t="n"/>
      <c r="N83" s="1" t="n"/>
      <c r="O83" s="1" t="n"/>
      <c r="P83" s="1" t="n"/>
      <c r="Q83" s="1" t="n"/>
      <c r="R83" s="1" t="n"/>
      <c r="S83" s="1" t="n"/>
      <c r="T83" s="1" t="n"/>
      <c r="U83" s="1" t="n"/>
      <c r="V83" s="1" t="n"/>
      <c r="W83" s="1" t="n"/>
      <c r="X83" s="1" t="n"/>
      <c r="Y83" s="1" t="n"/>
      <c r="Z83" s="1" t="n"/>
    </row>
    <row r="84" ht="15" customHeight="1" s="137">
      <c r="A84" s="55" t="n"/>
      <c r="B84" s="56" t="n"/>
      <c r="C84" s="131" t="n"/>
      <c r="D84" s="160" t="n"/>
      <c r="E84" s="164">
        <f>C84*D84</f>
        <v/>
      </c>
      <c r="F84" s="164">
        <f>IFERROR(E84*(1+VLOOKUP(I84,CategoryTable,2,FALSE)),0)</f>
        <v/>
      </c>
      <c r="G84" s="32">
        <f>'Client Setup'!B19</f>
        <v/>
      </c>
      <c r="H84" s="33" t="n"/>
      <c r="I84" s="238" t="inlineStr">
        <is>
          <t>AV &amp; Production</t>
        </is>
      </c>
      <c r="J84" s="8">
        <f>IF(A94="","",A94)</f>
        <v/>
      </c>
      <c r="K84" s="161">
        <f>IF(A94="","",ROUNDUP(F94/10,0)*10)</f>
        <v/>
      </c>
      <c r="L84" s="1" t="n"/>
      <c r="M84" s="1" t="n"/>
      <c r="N84" s="1" t="n"/>
      <c r="O84" s="1" t="n"/>
      <c r="P84" s="1" t="n"/>
      <c r="Q84" s="1" t="n"/>
      <c r="R84" s="1" t="n"/>
      <c r="S84" s="1" t="n"/>
      <c r="T84" s="1" t="n"/>
      <c r="U84" s="1" t="n"/>
      <c r="V84" s="1" t="n"/>
      <c r="W84" s="1" t="n"/>
      <c r="X84" s="1" t="n"/>
      <c r="Y84" s="1" t="n"/>
      <c r="Z84" s="1" t="n"/>
    </row>
    <row r="85" ht="21.75" customHeight="1" s="137">
      <c r="A85" s="55" t="n"/>
      <c r="B85" s="56" t="n"/>
      <c r="C85" s="131" t="n"/>
      <c r="D85" s="160" t="n"/>
      <c r="E85" s="164">
        <f>C85*D85</f>
        <v/>
      </c>
      <c r="F85" s="164">
        <f>IFERROR(E85*(1+VLOOKUP(I85,CategoryTable,2,FALSE)),0)</f>
        <v/>
      </c>
      <c r="G85" s="32">
        <f>'Client Setup'!B19</f>
        <v/>
      </c>
      <c r="H85" s="33" t="n"/>
      <c r="I85" s="238" t="inlineStr">
        <is>
          <t>AV &amp; Production</t>
        </is>
      </c>
      <c r="J85" s="8">
        <f>IF(A95="","",A95)</f>
        <v/>
      </c>
      <c r="K85" s="161">
        <f>IF(A95="","",ROUNDUP(F95/10,0)*10)</f>
        <v/>
      </c>
      <c r="L85" s="1" t="n"/>
      <c r="M85" s="1" t="n"/>
      <c r="N85" s="1" t="n"/>
      <c r="O85" s="1" t="n"/>
      <c r="P85" s="1" t="n"/>
      <c r="Q85" s="1" t="n"/>
      <c r="R85" s="1" t="n"/>
      <c r="S85" s="1" t="n"/>
      <c r="T85" s="1" t="n"/>
      <c r="U85" s="1" t="n"/>
      <c r="V85" s="1" t="n"/>
      <c r="W85" s="1" t="n"/>
      <c r="X85" s="1" t="n"/>
      <c r="Y85" s="1" t="n"/>
      <c r="Z85" s="1" t="n"/>
    </row>
    <row r="86" ht="24" customHeight="1" s="137">
      <c r="A86" s="55" t="n"/>
      <c r="B86" s="56" t="n"/>
      <c r="C86" s="131" t="n"/>
      <c r="D86" s="160" t="n"/>
      <c r="E86" s="164">
        <f>C86*D86</f>
        <v/>
      </c>
      <c r="F86" s="164">
        <f>IFERROR(E86*(1+VLOOKUP(I86,CategoryTable,2,FALSE)),0)</f>
        <v/>
      </c>
      <c r="G86" s="32">
        <f>'Client Setup'!B19</f>
        <v/>
      </c>
      <c r="H86" s="33" t="n"/>
      <c r="I86" s="238" t="inlineStr">
        <is>
          <t>AV &amp; Production</t>
        </is>
      </c>
      <c r="J86" s="60" t="inlineStr">
        <is>
          <t>AV / Production Subtotal</t>
        </is>
      </c>
      <c r="K86" s="179">
        <f>SUM(K71:K85)</f>
        <v/>
      </c>
      <c r="L86" s="1" t="n"/>
      <c r="M86" s="1" t="n"/>
      <c r="N86" s="1" t="n"/>
      <c r="O86" s="1" t="n"/>
      <c r="P86" s="1" t="n"/>
      <c r="Q86" s="1" t="n"/>
      <c r="R86" s="1" t="n"/>
      <c r="S86" s="1" t="n"/>
      <c r="T86" s="1" t="n"/>
      <c r="U86" s="1" t="n"/>
      <c r="V86" s="1" t="n"/>
      <c r="W86" s="1" t="n"/>
      <c r="X86" s="1" t="n"/>
      <c r="Y86" s="1" t="n"/>
      <c r="Z86" s="1" t="n"/>
    </row>
    <row r="87" ht="30" customHeight="1" s="137">
      <c r="A87" s="55" t="n"/>
      <c r="B87" s="56" t="n"/>
      <c r="C87" s="131" t="n"/>
      <c r="D87" s="160" t="n"/>
      <c r="E87" s="164">
        <f>C87*D87</f>
        <v/>
      </c>
      <c r="F87" s="164">
        <f>IFERROR(E87*(1+VLOOKUP(I87,CategoryTable,2,FALSE)),0)</f>
        <v/>
      </c>
      <c r="G87" s="32">
        <f>'Client Setup'!B19</f>
        <v/>
      </c>
      <c r="H87" s="33" t="n"/>
      <c r="I87" s="238" t="inlineStr">
        <is>
          <t>AV &amp; Production</t>
        </is>
      </c>
      <c r="J87" s="63" t="n"/>
      <c r="K87" s="63" t="n"/>
      <c r="L87" s="1" t="n"/>
      <c r="M87" s="1" t="n"/>
      <c r="N87" s="1" t="n"/>
      <c r="O87" s="1" t="n"/>
      <c r="P87" s="1" t="n"/>
      <c r="Q87" s="1" t="n"/>
      <c r="R87" s="1" t="n"/>
      <c r="S87" s="1" t="n"/>
      <c r="T87" s="1" t="n"/>
      <c r="U87" s="1" t="n"/>
      <c r="V87" s="1" t="n"/>
      <c r="W87" s="1" t="n"/>
      <c r="X87" s="1" t="n"/>
      <c r="Y87" s="1" t="n"/>
      <c r="Z87" s="1" t="n"/>
    </row>
    <row r="88" ht="24" customHeight="1" s="137">
      <c r="A88" s="55" t="n"/>
      <c r="B88" s="56" t="n"/>
      <c r="C88" s="131" t="n"/>
      <c r="D88" s="160" t="n"/>
      <c r="E88" s="164">
        <f>C88*D88</f>
        <v/>
      </c>
      <c r="F88" s="164">
        <f>IFERROR(E88*(1+VLOOKUP(I88,CategoryTable,2,FALSE)),0)</f>
        <v/>
      </c>
      <c r="G88" s="32">
        <f>'Client Setup'!B19</f>
        <v/>
      </c>
      <c r="H88" s="33" t="n"/>
      <c r="I88" s="238" t="inlineStr">
        <is>
          <t>AV &amp; Production</t>
        </is>
      </c>
      <c r="J88" s="149" t="inlineStr">
        <is>
          <t>Tax</t>
        </is>
      </c>
      <c r="K88" s="161">
        <f>ROUNDUP(F100/10,0)*10</f>
        <v/>
      </c>
      <c r="L88" s="1" t="n"/>
      <c r="M88" s="1" t="n"/>
      <c r="N88" s="1" t="n"/>
      <c r="O88" s="1" t="n"/>
      <c r="P88" s="1" t="n"/>
      <c r="Q88" s="1" t="n"/>
      <c r="R88" s="1" t="n"/>
      <c r="S88" s="1" t="n"/>
      <c r="T88" s="1" t="n"/>
      <c r="U88" s="1" t="n"/>
      <c r="V88" s="1" t="n"/>
      <c r="W88" s="1" t="n"/>
      <c r="X88" s="1" t="n"/>
      <c r="Y88" s="1" t="n"/>
      <c r="Z88" s="1" t="n"/>
    </row>
    <row r="89" ht="24" customHeight="1" s="137">
      <c r="A89" s="55" t="n"/>
      <c r="B89" s="56" t="n"/>
      <c r="C89" s="131" t="n"/>
      <c r="D89" s="160" t="n"/>
      <c r="E89" s="164">
        <f>C89*D89</f>
        <v/>
      </c>
      <c r="F89" s="164">
        <f>IFERROR(E89*(1+VLOOKUP(I89,CategoryTable,2,FALSE)),0)</f>
        <v/>
      </c>
      <c r="G89" s="32">
        <f>'Client Setup'!B19</f>
        <v/>
      </c>
      <c r="H89" s="33" t="n"/>
      <c r="I89" s="238" t="inlineStr">
        <is>
          <t>AV &amp; Production</t>
        </is>
      </c>
      <c r="J89" s="57" t="n"/>
      <c r="K89" s="57" t="n"/>
      <c r="L89" s="1" t="n"/>
      <c r="M89" s="1" t="n"/>
      <c r="N89" s="1" t="n"/>
      <c r="O89" s="1" t="n"/>
      <c r="P89" s="1" t="n"/>
      <c r="Q89" s="1" t="n"/>
      <c r="R89" s="1" t="n"/>
      <c r="S89" s="1" t="n"/>
      <c r="T89" s="1" t="n"/>
      <c r="U89" s="1" t="n"/>
      <c r="V89" s="1" t="n"/>
      <c r="W89" s="1" t="n"/>
      <c r="X89" s="1" t="n"/>
      <c r="Y89" s="1" t="n"/>
      <c r="Z89" s="1" t="n"/>
    </row>
    <row r="90" ht="24" customHeight="1" s="137">
      <c r="A90" s="39" t="inlineStr">
        <is>
          <t>NON-TAXABLE AV FEES &amp; LABOR</t>
        </is>
      </c>
      <c r="I90" s="1" t="n"/>
      <c r="J90" s="148" t="inlineStr">
        <is>
          <t>TOTAL</t>
        </is>
      </c>
      <c r="K90" s="163">
        <f>K29+K68+K86+K88</f>
        <v/>
      </c>
      <c r="L90" s="1" t="n"/>
      <c r="M90" s="1" t="n"/>
      <c r="N90" s="1" t="n"/>
      <c r="O90" s="1" t="n"/>
      <c r="P90" s="1" t="n"/>
      <c r="Q90" s="1" t="n"/>
      <c r="R90" s="1" t="n"/>
      <c r="S90" s="1" t="n"/>
      <c r="T90" s="1" t="n"/>
      <c r="U90" s="1" t="n"/>
      <c r="V90" s="1" t="n"/>
      <c r="W90" s="1" t="n"/>
      <c r="X90" s="1" t="n"/>
      <c r="Y90" s="1" t="n"/>
      <c r="Z90" s="1" t="n"/>
    </row>
    <row r="91" ht="24" customHeight="1" s="137">
      <c r="A91" s="55" t="inlineStr">
        <is>
          <t>AV Tech Labor</t>
        </is>
      </c>
      <c r="B91" s="56" t="n"/>
      <c r="C91" s="59" t="n"/>
      <c r="D91" s="160" t="n"/>
      <c r="E91" s="164">
        <f>D91</f>
        <v/>
      </c>
      <c r="F91" s="164">
        <f>IFERROR(E91*(1+VLOOKUP(I91,CategoryTable,2,FALSE)),0)</f>
        <v/>
      </c>
      <c r="G91" s="32" t="n">
        <v>0</v>
      </c>
      <c r="H91" s="33" t="n"/>
      <c r="I91" s="238" t="inlineStr">
        <is>
          <t>Staffing &amp; Labor</t>
        </is>
      </c>
      <c r="J91" s="1" t="n"/>
      <c r="K91" s="1" t="n"/>
      <c r="L91" s="1" t="n"/>
      <c r="M91" s="1" t="n"/>
      <c r="N91" s="1" t="n"/>
      <c r="O91" s="1" t="n"/>
      <c r="P91" s="1" t="n"/>
      <c r="Q91" s="1" t="n"/>
      <c r="R91" s="1" t="n"/>
      <c r="S91" s="1" t="n"/>
      <c r="T91" s="1" t="n"/>
      <c r="U91" s="1" t="n"/>
      <c r="V91" s="1" t="n"/>
      <c r="W91" s="1" t="n"/>
      <c r="X91" s="1" t="n"/>
      <c r="Y91" s="1" t="n"/>
      <c r="Z91" s="1" t="n"/>
    </row>
    <row r="92" ht="24" customHeight="1" s="137">
      <c r="A92" s="55" t="inlineStr">
        <is>
          <t>Delivery / Setup</t>
        </is>
      </c>
      <c r="B92" s="56" t="n"/>
      <c r="C92" s="59" t="n"/>
      <c r="D92" s="160" t="n"/>
      <c r="E92" s="164">
        <f>D92</f>
        <v/>
      </c>
      <c r="F92" s="164">
        <f>IFERROR(E92*(1+VLOOKUP(I92,CategoryTable,2,FALSE)),0)</f>
        <v/>
      </c>
      <c r="G92" s="32" t="n">
        <v>0</v>
      </c>
      <c r="H92" s="33" t="n"/>
      <c r="I92" s="238" t="inlineStr">
        <is>
          <t>Staffing &amp; Labor</t>
        </is>
      </c>
      <c r="J92" s="1" t="n"/>
      <c r="K92" s="1" t="n"/>
      <c r="L92" s="1" t="n"/>
      <c r="M92" s="1" t="n"/>
      <c r="N92" s="1" t="n"/>
      <c r="O92" s="1" t="n"/>
      <c r="P92" s="1" t="n"/>
      <c r="Q92" s="1" t="n"/>
      <c r="R92" s="1" t="n"/>
      <c r="S92" s="1" t="n"/>
      <c r="T92" s="1" t="n"/>
      <c r="U92" s="1" t="n"/>
      <c r="V92" s="1" t="n"/>
      <c r="W92" s="1" t="n"/>
      <c r="X92" s="1" t="n"/>
      <c r="Y92" s="1" t="n"/>
      <c r="Z92" s="1" t="n"/>
    </row>
    <row r="93" ht="25.5" customHeight="1" s="137">
      <c r="A93" s="55" t="inlineStr">
        <is>
          <t>Strike / Removal</t>
        </is>
      </c>
      <c r="B93" s="56" t="n"/>
      <c r="C93" s="59" t="n"/>
      <c r="D93" s="160" t="n"/>
      <c r="E93" s="164">
        <f>D93</f>
        <v/>
      </c>
      <c r="F93" s="164">
        <f>IFERROR(E93*(1+VLOOKUP(I93,CategoryTable,2,FALSE)),0)</f>
        <v/>
      </c>
      <c r="G93" s="32" t="n">
        <v>0</v>
      </c>
      <c r="H93" s="33" t="n"/>
      <c r="I93" s="238" t="inlineStr">
        <is>
          <t>Staffing &amp; Labor</t>
        </is>
      </c>
      <c r="J93" s="1" t="n"/>
      <c r="K93" s="1" t="n"/>
      <c r="L93" s="1" t="n"/>
      <c r="M93" s="1" t="n"/>
      <c r="N93" s="1" t="n"/>
      <c r="O93" s="1" t="n"/>
      <c r="P93" s="1" t="n"/>
      <c r="Q93" s="1" t="n"/>
      <c r="R93" s="1" t="n"/>
      <c r="S93" s="1" t="n"/>
      <c r="T93" s="1" t="n"/>
      <c r="U93" s="1" t="n"/>
      <c r="V93" s="1" t="n"/>
      <c r="W93" s="1" t="n"/>
      <c r="X93" s="1" t="n"/>
      <c r="Y93" s="1" t="n"/>
      <c r="Z93" s="1" t="n"/>
    </row>
    <row r="94" ht="6" customHeight="1" s="137">
      <c r="A94" s="55" t="n"/>
      <c r="B94" s="56" t="n"/>
      <c r="C94" s="59" t="n"/>
      <c r="D94" s="160" t="n"/>
      <c r="E94" s="164">
        <f>D94</f>
        <v/>
      </c>
      <c r="F94" s="164">
        <f>IFERROR(E94*(1+VLOOKUP(I94,CategoryTable,2,FALSE)),0)</f>
        <v/>
      </c>
      <c r="G94" s="32" t="n">
        <v>0</v>
      </c>
      <c r="H94" s="33" t="n"/>
      <c r="I94" s="238" t="inlineStr">
        <is>
          <t>Staffing &amp; Labor</t>
        </is>
      </c>
      <c r="J94" s="1" t="n"/>
      <c r="K94" s="1" t="n"/>
      <c r="L94" s="1" t="n"/>
      <c r="M94" s="1" t="n"/>
      <c r="N94" s="1" t="n"/>
      <c r="O94" s="1" t="n"/>
      <c r="P94" s="1" t="n"/>
      <c r="Q94" s="1" t="n"/>
      <c r="R94" s="1" t="n"/>
      <c r="S94" s="1" t="n"/>
      <c r="T94" s="1" t="n"/>
      <c r="U94" s="1" t="n"/>
      <c r="V94" s="1" t="n"/>
      <c r="W94" s="1" t="n"/>
      <c r="X94" s="1" t="n"/>
      <c r="Y94" s="1" t="n"/>
      <c r="Z94" s="1" t="n"/>
    </row>
    <row r="95" ht="27.75" customHeight="1" s="137">
      <c r="A95" s="55" t="n"/>
      <c r="B95" s="56" t="n"/>
      <c r="C95" s="59" t="n"/>
      <c r="D95" s="160" t="n"/>
      <c r="E95" s="164">
        <f>D95</f>
        <v/>
      </c>
      <c r="F95" s="164">
        <f>IFERROR(E95*(1+VLOOKUP(I95,CategoryTable,2,FALSE)),0)</f>
        <v/>
      </c>
      <c r="G95" s="32" t="n">
        <v>0</v>
      </c>
      <c r="H95" s="33" t="n"/>
      <c r="I95" s="238" t="inlineStr">
        <is>
          <t>Staffing &amp; Labor</t>
        </is>
      </c>
      <c r="J95" s="1" t="n"/>
      <c r="K95" s="1" t="n"/>
      <c r="L95" s="1" t="n"/>
      <c r="M95" s="1" t="n"/>
      <c r="N95" s="1" t="n"/>
      <c r="O95" s="1" t="n"/>
      <c r="P95" s="1" t="n"/>
      <c r="Q95" s="1" t="n"/>
      <c r="R95" s="1" t="n"/>
      <c r="S95" s="1" t="n"/>
      <c r="T95" s="1" t="n"/>
      <c r="U95" s="1" t="n"/>
      <c r="V95" s="1" t="n"/>
      <c r="W95" s="1" t="n"/>
      <c r="X95" s="1" t="n"/>
      <c r="Y95" s="1" t="n"/>
      <c r="Z95" s="1" t="n"/>
    </row>
    <row r="96" ht="25.5" customHeight="1" s="137">
      <c r="A96" s="43" t="inlineStr">
        <is>
          <t>AV / PRODUCTION SUBTOTAL</t>
        </is>
      </c>
      <c r="B96" s="62" t="n"/>
      <c r="C96" s="62" t="n"/>
      <c r="D96" s="62" t="n"/>
      <c r="E96" s="166">
        <f>SUM(E80:E89)+SUM(E91:E95)</f>
        <v/>
      </c>
      <c r="F96" s="166">
        <f>SUM(F80:F89)+SUM(F91:F95)</f>
        <v/>
      </c>
      <c r="G96" s="62" t="n"/>
      <c r="H96" s="62" t="n"/>
      <c r="I96" s="1" t="n"/>
      <c r="J96" s="1" t="n"/>
      <c r="K96" s="1" t="n"/>
      <c r="L96" s="1" t="n"/>
      <c r="M96" s="1" t="n"/>
      <c r="N96" s="1" t="n"/>
      <c r="O96" s="1" t="n"/>
      <c r="P96" s="1" t="n"/>
      <c r="Q96" s="1" t="n"/>
      <c r="R96" s="1" t="n"/>
      <c r="S96" s="1" t="n"/>
      <c r="T96" s="1" t="n"/>
      <c r="U96" s="1" t="n"/>
      <c r="V96" s="1" t="n"/>
      <c r="W96" s="1" t="n"/>
      <c r="X96" s="1" t="n"/>
      <c r="Y96" s="1" t="n"/>
      <c r="Z96" s="1" t="n"/>
    </row>
    <row r="97" ht="25.5" customHeight="1" s="13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25.5" customHeight="1" s="137">
      <c r="A98" s="133" t="inlineStr">
        <is>
          <t>ESTIMATE SUMMARY</t>
        </is>
      </c>
      <c r="I98" s="1" t="n"/>
      <c r="J98" s="1" t="n"/>
      <c r="K98" s="1" t="n"/>
      <c r="L98" s="1" t="n"/>
      <c r="M98" s="1" t="n"/>
      <c r="N98" s="1" t="n"/>
      <c r="O98" s="1" t="n"/>
      <c r="P98" s="1" t="n"/>
      <c r="Q98" s="1" t="n"/>
      <c r="R98" s="1" t="n"/>
      <c r="S98" s="1" t="n"/>
      <c r="T98" s="1" t="n"/>
      <c r="U98" s="1" t="n"/>
      <c r="V98" s="1" t="n"/>
      <c r="W98" s="1" t="n"/>
      <c r="X98" s="1" t="n"/>
      <c r="Y98" s="1" t="n"/>
      <c r="Z98" s="1" t="n"/>
    </row>
    <row r="99" ht="25.5" customHeight="1" s="137">
      <c r="A99" s="40" t="inlineStr">
        <is>
          <t>Taxable Product Subtotal</t>
        </is>
      </c>
      <c r="B99" s="64" t="n"/>
      <c r="C99" s="64" t="n"/>
      <c r="D99" s="64" t="n"/>
      <c r="E99" s="165">
        <f>SUM(E16:E25)+SUM(E35:E42)+SUM(E44:E51)+SUM(E53:E60)+SUM(E62:E67)+SUM(E80:E89)</f>
        <v/>
      </c>
      <c r="F99" s="165">
        <f>SUM(F16:F25)+SUM(F35:F42)+SUM(F44:F51)+SUM(F53:F60)+SUM(F62:F67)+SUM(F80:F89)</f>
        <v/>
      </c>
      <c r="G99" s="64" t="n"/>
      <c r="H99" s="64" t="n"/>
      <c r="I99" s="1" t="n"/>
      <c r="J99" s="1" t="n"/>
      <c r="K99" s="1" t="n"/>
      <c r="L99" s="1" t="n"/>
      <c r="M99" s="1" t="n"/>
      <c r="N99" s="1" t="n"/>
      <c r="O99" s="1" t="n"/>
      <c r="P99" s="1" t="n"/>
      <c r="Q99" s="1" t="n"/>
      <c r="R99" s="1" t="n"/>
      <c r="S99" s="1" t="n"/>
      <c r="T99" s="1" t="n"/>
      <c r="U99" s="1" t="n"/>
      <c r="V99" s="1" t="n"/>
      <c r="W99" s="1" t="n"/>
      <c r="X99" s="1" t="n"/>
      <c r="Y99" s="1" t="n"/>
      <c r="Z99" s="1" t="n"/>
    </row>
    <row r="100" ht="25.5" customHeight="1" s="137">
      <c r="A100" s="40" t="inlineStr">
        <is>
          <t>Sales Tax</t>
        </is>
      </c>
      <c r="B100" s="64" t="n"/>
      <c r="C100" s="64" t="n"/>
      <c r="D100" s="64" t="n"/>
      <c r="E100" s="165">
        <f>IFERROR(E99*'Client Setup'!B19,0)</f>
        <v/>
      </c>
      <c r="F100" s="165">
        <f>IFERROR(F99*'Client Setup'!B19,0)</f>
        <v/>
      </c>
      <c r="G100" s="64" t="n"/>
      <c r="H100" s="64" t="n"/>
      <c r="I100" s="1" t="n"/>
      <c r="J100" s="1" t="n"/>
      <c r="K100" s="1" t="n"/>
      <c r="L100" s="1" t="n"/>
      <c r="M100" s="1" t="n"/>
      <c r="N100" s="1" t="n"/>
      <c r="O100" s="1" t="n"/>
      <c r="P100" s="1" t="n"/>
      <c r="Q100" s="1" t="n"/>
      <c r="R100" s="1" t="n"/>
      <c r="S100" s="1" t="n"/>
      <c r="T100" s="1" t="n"/>
      <c r="U100" s="1" t="n"/>
      <c r="V100" s="1" t="n"/>
      <c r="W100" s="1" t="n"/>
      <c r="X100" s="1" t="n"/>
      <c r="Y100" s="1" t="n"/>
      <c r="Z100" s="1" t="n"/>
    </row>
    <row r="101" ht="33.75" customHeight="1" s="137">
      <c r="A101" s="40" t="inlineStr">
        <is>
          <t>Non-Taxable Fees Subtotal</t>
        </is>
      </c>
      <c r="B101" s="64" t="n"/>
      <c r="C101" s="64" t="n"/>
      <c r="D101" s="64" t="n"/>
      <c r="E101" s="165">
        <f>SUM(E27:E29)+SUM(E69:E74)+SUM(E91:E95)</f>
        <v/>
      </c>
      <c r="F101" s="165">
        <f>SUM(F27:F29)+SUM(F69:F74)+SUM(F91:F95)</f>
        <v/>
      </c>
      <c r="G101" s="64" t="n"/>
      <c r="H101" s="64" t="n"/>
      <c r="I101" s="1" t="n"/>
      <c r="J101" s="1" t="n"/>
      <c r="K101" s="1" t="n"/>
      <c r="L101" s="1" t="n"/>
      <c r="M101" s="1" t="n"/>
      <c r="N101" s="1" t="n"/>
      <c r="O101" s="1" t="n"/>
      <c r="P101" s="1" t="n"/>
      <c r="Q101" s="1" t="n"/>
      <c r="R101" s="1" t="n"/>
      <c r="S101" s="1" t="n"/>
      <c r="T101" s="1" t="n"/>
      <c r="U101" s="1" t="n"/>
      <c r="V101" s="1" t="n"/>
      <c r="W101" s="1" t="n"/>
      <c r="X101" s="1" t="n"/>
      <c r="Y101" s="1" t="n"/>
      <c r="Z101" s="1" t="n"/>
    </row>
    <row r="102" ht="6" customHeight="1" s="137">
      <c r="A102" s="40" t="inlineStr">
        <is>
          <t>CC Processing Fee</t>
        </is>
      </c>
      <c r="B102" s="64" t="n"/>
      <c r="C102" s="64" t="n"/>
      <c r="D102" s="64" t="n"/>
      <c r="E102" s="165">
        <f>F102</f>
        <v/>
      </c>
      <c r="F102" s="165">
        <f>IFERROR((F99+F100+F101)*'Client Setup'!C35,0)</f>
        <v/>
      </c>
      <c r="G102" s="64" t="n"/>
      <c r="H102" s="64" t="n"/>
      <c r="I102" s="1" t="n"/>
      <c r="J102" s="1" t="n"/>
      <c r="K102" s="1" t="n"/>
      <c r="L102" s="1" t="n"/>
      <c r="M102" s="1" t="n"/>
      <c r="N102" s="1" t="n"/>
      <c r="O102" s="1" t="n"/>
      <c r="P102" s="1" t="n"/>
      <c r="Q102" s="1" t="n"/>
      <c r="R102" s="1" t="n"/>
      <c r="S102" s="1" t="n"/>
      <c r="T102" s="1" t="n"/>
      <c r="U102" s="1" t="n"/>
      <c r="V102" s="1" t="n"/>
      <c r="W102" s="1" t="n"/>
      <c r="X102" s="1" t="n"/>
      <c r="Y102" s="1" t="n"/>
      <c r="Z102" s="1" t="n"/>
    </row>
    <row r="103" ht="27.75" customHeight="1" s="137">
      <c r="A103" s="40" t="inlineStr">
        <is>
          <t>Third-Party Commission</t>
        </is>
      </c>
      <c r="B103" s="64" t="n"/>
      <c r="C103" s="64" t="n"/>
      <c r="D103" s="64" t="n"/>
      <c r="E103" s="165">
        <f>F103</f>
        <v/>
      </c>
      <c r="F103" s="165">
        <f>IFERROR((F99+F100+F101)*'Client Setup'!C36,0)</f>
        <v/>
      </c>
      <c r="G103" s="64" t="n"/>
      <c r="H103" s="64" t="n"/>
      <c r="I103" s="1" t="n"/>
      <c r="J103" s="1" t="n"/>
      <c r="K103" s="1" t="n"/>
      <c r="L103" s="1" t="n"/>
      <c r="M103" s="1" t="n"/>
      <c r="N103" s="1" t="n"/>
      <c r="O103" s="1" t="n"/>
      <c r="P103" s="1" t="n"/>
      <c r="Q103" s="1" t="n"/>
      <c r="R103" s="1" t="n"/>
      <c r="S103" s="1" t="n"/>
      <c r="T103" s="1" t="n"/>
      <c r="U103" s="1" t="n"/>
      <c r="V103" s="1" t="n"/>
      <c r="W103" s="1" t="n"/>
      <c r="X103" s="1" t="n"/>
      <c r="Y103" s="1" t="n"/>
      <c r="Z103" s="1" t="n"/>
    </row>
    <row r="104" ht="30" customHeight="1" s="137">
      <c r="A104" s="247" t="inlineStr">
        <is>
          <t>TOTAL DECOR ESTIMATE</t>
        </is>
      </c>
      <c r="E104" s="248">
        <f>SUM(E99:E103)</f>
        <v/>
      </c>
      <c r="F104" s="248">
        <f>SUM(F99:F103)</f>
        <v/>
      </c>
      <c r="G104" s="65" t="n"/>
      <c r="H104" s="65" t="n"/>
      <c r="I104" s="1" t="n"/>
      <c r="J104" s="1" t="n"/>
      <c r="K104" s="1" t="n"/>
      <c r="L104" s="1" t="n"/>
      <c r="M104" s="1" t="n"/>
      <c r="N104" s="1" t="n"/>
      <c r="O104" s="1" t="n"/>
      <c r="P104" s="1" t="n"/>
      <c r="Q104" s="1" t="n"/>
      <c r="R104" s="1" t="n"/>
      <c r="S104" s="1" t="n"/>
      <c r="T104" s="1" t="n"/>
      <c r="U104" s="1" t="n"/>
      <c r="V104" s="1" t="n"/>
      <c r="W104" s="1" t="n"/>
      <c r="X104" s="1" t="n"/>
      <c r="Y104" s="1" t="n"/>
      <c r="Z104" s="1" t="n"/>
    </row>
    <row r="105" ht="6" customHeight="1" s="13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27.75" customHeight="1" s="137">
      <c r="A106" s="133" t="inlineStr">
        <is>
          <t>CLIENT PRICING</t>
        </is>
      </c>
      <c r="I106" s="1" t="n"/>
      <c r="J106" s="1" t="n"/>
      <c r="K106" s="1" t="n"/>
      <c r="L106" s="1" t="n"/>
      <c r="M106" s="1" t="n"/>
      <c r="N106" s="1" t="n"/>
      <c r="O106" s="1" t="n"/>
      <c r="P106" s="1" t="n"/>
      <c r="Q106" s="1" t="n"/>
      <c r="R106" s="1" t="n"/>
      <c r="S106" s="1" t="n"/>
      <c r="T106" s="1" t="n"/>
      <c r="U106" s="1" t="n"/>
      <c r="V106" s="1" t="n"/>
      <c r="W106" s="1" t="n"/>
      <c r="X106" s="1" t="n"/>
      <c r="Y106" s="1" t="n"/>
      <c r="Z106" s="1" t="n"/>
    </row>
    <row r="107" ht="25.5" customHeight="1" s="137">
      <c r="A107" s="3" t="inlineStr">
        <is>
          <t>Total Client Cost</t>
        </is>
      </c>
      <c r="B107" s="169">
        <f>F104</f>
        <v/>
      </c>
      <c r="C107" s="5" t="n"/>
      <c r="D107" s="5" t="n"/>
      <c r="E107" s="5" t="n"/>
      <c r="F107" s="5" t="n"/>
      <c r="G107" s="5" t="n"/>
      <c r="H107" s="5" t="n"/>
      <c r="I107" s="1" t="n"/>
      <c r="J107" s="1" t="n"/>
      <c r="K107" s="1" t="n"/>
      <c r="L107" s="1" t="n"/>
      <c r="M107" s="1" t="n"/>
      <c r="N107" s="1" t="n"/>
      <c r="O107" s="1" t="n"/>
      <c r="P107" s="1" t="n"/>
      <c r="Q107" s="1" t="n"/>
      <c r="R107" s="1" t="n"/>
      <c r="S107" s="1" t="n"/>
      <c r="T107" s="1" t="n"/>
      <c r="U107" s="1" t="n"/>
      <c r="V107" s="1" t="n"/>
      <c r="W107" s="1" t="n"/>
      <c r="X107" s="1" t="n"/>
      <c r="Y107" s="1" t="n"/>
      <c r="Z107" s="1" t="n"/>
    </row>
    <row r="108" ht="25.5" customHeight="1" s="13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25.5" customHeight="1" s="137">
      <c r="A109" s="115" t="n"/>
      <c r="B109" s="115" t="n"/>
      <c r="C109" s="115" t="n"/>
      <c r="D109" s="115" t="n"/>
      <c r="E109" s="115" t="n"/>
    </row>
    <row r="110" ht="25.5" customHeight="1" s="137">
      <c r="A110" s="192" t="inlineStr">
        <is>
          <t>QC TRAVEL EXPENSES</t>
        </is>
      </c>
      <c r="B110" s="203" t="inlineStr">
        <is>
          <t>Trip 1</t>
        </is>
      </c>
      <c r="C110" s="203" t="inlineStr">
        <is>
          <t>Trip 2</t>
        </is>
      </c>
      <c r="D110" s="203" t="inlineStr">
        <is>
          <t>Trip 3</t>
        </is>
      </c>
      <c r="E110" s="115" t="n"/>
    </row>
    <row r="111" ht="30" customHeight="1" s="137">
      <c r="A111" s="185" t="inlineStr">
        <is>
          <t>Trip Label</t>
        </is>
      </c>
      <c r="B111" s="184" t="n"/>
      <c r="C111" s="184" t="n"/>
      <c r="D111" s="184" t="n"/>
      <c r="E111" s="115" t="n"/>
    </row>
    <row r="112" ht="15.75" customHeight="1" s="137">
      <c r="A112" s="185" t="inlineStr">
        <is>
          <t>Origin</t>
        </is>
      </c>
      <c r="B112" s="232" t="n"/>
      <c r="C112" s="232" t="n"/>
      <c r="D112" s="232" t="n"/>
      <c r="E112" s="115" t="n"/>
    </row>
    <row r="113" ht="15.75" customHeight="1" s="137">
      <c r="A113" s="185" t="inlineStr">
        <is>
          <t>Destination</t>
        </is>
      </c>
      <c r="B113" s="232" t="n"/>
      <c r="C113" s="232" t="n"/>
      <c r="D113" s="232" t="n"/>
      <c r="E113" s="115" t="n"/>
    </row>
    <row r="114" ht="15.75" customHeight="1" s="137">
      <c r="A114" s="185" t="inlineStr">
        <is>
          <t>Travel Type</t>
        </is>
      </c>
      <c r="B114" s="232" t="n"/>
      <c r="C114" s="232" t="n"/>
      <c r="D114" s="232" t="n"/>
      <c r="E114" s="115" t="n"/>
    </row>
    <row r="115" ht="15.75" customHeight="1" s="137">
      <c r="A115" s="185" t="inlineStr">
        <is>
          <t>Flight Type</t>
        </is>
      </c>
      <c r="B115" s="232" t="n"/>
      <c r="C115" s="232" t="n"/>
      <c r="D115" s="232" t="n"/>
      <c r="E115" s="115" t="n"/>
    </row>
    <row r="116" ht="15.75" customHeight="1" s="137">
      <c r="A116" s="185" t="inlineStr">
        <is>
          <t>Last Minute Buffer</t>
        </is>
      </c>
      <c r="B116" s="232" t="n"/>
      <c r="C116" s="232" t="n"/>
      <c r="D116" s="232" t="n"/>
      <c r="E116" s="115" t="n"/>
    </row>
    <row r="117" ht="15.75" customHeight="1" s="137">
      <c r="A117" s="185" t="inlineStr">
        <is>
          <t>Staff Traveling</t>
        </is>
      </c>
      <c r="B117" s="232" t="n"/>
      <c r="C117" s="232" t="n"/>
      <c r="D117" s="232" t="n"/>
      <c r="E117" s="115" t="n"/>
    </row>
    <row r="118" ht="15.75" customHeight="1" s="137">
      <c r="A118" s="185" t="inlineStr">
        <is>
          <t>Nights</t>
        </is>
      </c>
      <c r="B118" s="232" t="n"/>
      <c r="C118" s="232" t="n"/>
      <c r="D118" s="232" t="n"/>
      <c r="E118" s="115" t="n"/>
    </row>
    <row r="119" ht="15.75" customHeight="1" s="137">
      <c r="A119" s="185" t="inlineStr">
        <is>
          <t>Hotel Budget</t>
        </is>
      </c>
      <c r="B119" s="232" t="n"/>
      <c r="C119" s="232" t="n"/>
      <c r="D119" s="232" t="n"/>
      <c r="E119" s="115" t="n"/>
    </row>
    <row r="120" ht="15.75" customHeight="1" s="137">
      <c r="A120" s="185" t="inlineStr">
        <is>
          <t>Vehicle Type</t>
        </is>
      </c>
      <c r="B120" s="232" t="n"/>
      <c r="C120" s="232" t="n"/>
      <c r="D120" s="232" t="n"/>
      <c r="E120" s="115" t="n"/>
    </row>
    <row r="121" ht="15.75" customHeight="1" s="137">
      <c r="A121" s="185" t="inlineStr">
        <is>
          <t>Vehicle Service</t>
        </is>
      </c>
      <c r="B121" s="232" t="n"/>
      <c r="C121" s="232" t="n"/>
      <c r="D121" s="232" t="n"/>
      <c r="E121" s="115" t="n"/>
    </row>
    <row r="122" ht="15.75" customHeight="1" s="137">
      <c r="A122" s="185" t="inlineStr">
        <is>
          <t>Vehicle Hours</t>
        </is>
      </c>
      <c r="B122" s="232" t="n"/>
      <c r="C122" s="232" t="n"/>
      <c r="D122" s="232" t="n"/>
      <c r="E122" s="115" t="n"/>
    </row>
    <row r="123" ht="15.75" customHeight="1" s="137">
      <c r="A123" s="185" t="inlineStr">
        <is>
          <t>Custom Vehicle Cost</t>
        </is>
      </c>
      <c r="B123" s="197" t="n"/>
      <c r="C123" s="197" t="n"/>
      <c r="D123" s="197" t="n"/>
      <c r="E123" s="115" t="n"/>
    </row>
    <row r="124" ht="15.75" customHeight="1" s="137">
      <c r="A124" s="115" t="n"/>
      <c r="B124" s="115" t="n"/>
      <c r="C124" s="115" t="n"/>
      <c r="D124" s="115" t="n"/>
      <c r="E124" s="115" t="n"/>
    </row>
    <row r="125" ht="15.75" customHeight="1" s="137">
      <c r="A125" s="185" t="inlineStr">
        <is>
          <t>Travel Cost</t>
        </is>
      </c>
      <c r="B125" s="201">
        <f>IF(OR(B113="",B117=""),0,IF(B114="Drive",IFERROR(VLOOKUP(B112&amp;" to "&amp;B113,DriveRoutes,2,FALSE),0),IF(B114="Train",IFERROR(VLOOKUP(B112&amp;" to "&amp;B113,TrainRoutes,2,FALSE),0)*B117,IF(B114="Flight",IFERROR(VLOOKUP(B115,FlightTypes,2,FALSE),0)*B117+IF(B116="Yes",150*B117,0),0))))</f>
        <v/>
      </c>
      <c r="C125" s="201">
        <f>IF(OR(C113="",C117=""),0,IF(C114="Drive",IFERROR(VLOOKUP(C112&amp;" to "&amp;C113,DriveRoutes,2,FALSE),0),IF(C114="Train",IFERROR(VLOOKUP(C112&amp;" to "&amp;C113,TrainRoutes,2,FALSE),0)*C117,IF(C114="Flight",IFERROR(VLOOKUP(C115,FlightTypes,2,FALSE),0)*C117+IF(C116="Yes",150*C117,0),0))))</f>
        <v/>
      </c>
      <c r="D125" s="201">
        <f>IF(OR(D113="",D117=""),0,IF(D114="Drive",IFERROR(VLOOKUP(D112&amp;" to "&amp;D113,DriveRoutes,2,FALSE),0),IF(D114="Train",IFERROR(VLOOKUP(D112&amp;" to "&amp;D113,TrainRoutes,2,FALSE),0)*D117,IF(D114="Flight",IFERROR(VLOOKUP(D115,FlightTypes,2,FALSE),0)*D117+IF(D116="Yes",150*D117,0),0))))</f>
        <v/>
      </c>
      <c r="E125" s="115" t="n"/>
    </row>
    <row r="126" ht="15.75" customHeight="1" s="137">
      <c r="A126" s="185" t="inlineStr">
        <is>
          <t>Hotel Cost</t>
        </is>
      </c>
      <c r="B126" s="201">
        <f>IF(OR(B113="",B117="",B118=""),0,B118*IFERROR(IF(B119="High",VLOOKUP(B113,HotelRates,3,FALSE),VLOOKUP(B113,HotelRates,2,FALSE)),0)*B117)</f>
        <v/>
      </c>
      <c r="C126" s="201">
        <f>IF(OR(C113="",C117="",C118=""),0,C118*IFERROR(IF(C119="High",VLOOKUP(C113,HotelRates,3,FALSE),VLOOKUP(C113,HotelRates,2,FALSE)),0)*C117)</f>
        <v/>
      </c>
      <c r="D126" s="201">
        <f>IF(OR(D113="",D117="",D118=""),0,D118*IFERROR(IF(D119="High",VLOOKUP(D113,HotelRates,3,FALSE),VLOOKUP(D113,HotelRates,2,FALSE)),0)*D117)</f>
        <v/>
      </c>
      <c r="E126" s="115" t="n"/>
    </row>
    <row r="127" ht="15.75" customHeight="1" s="137">
      <c r="A127" s="185" t="inlineStr">
        <is>
          <t>Per Diem Cost</t>
        </is>
      </c>
      <c r="B127" s="201">
        <f>IF(OR(B113="",B117=""),0,IF(B113="NYC",IF(B118=0,'Client Setup'!C95,IF(B118=1,'Client Setup'!C95+'Client Setup'!B95,2*'Client Setup'!C95+(B118-1)*'Client Setup'!B95)),IF(B118=0,'Client Setup'!C94,IF(B118=1,'Client Setup'!C94+'Client Setup'!B94,2*'Client Setup'!C94+(B118-1)*'Client Setup'!B94)))*B117)</f>
        <v/>
      </c>
      <c r="C127" s="201">
        <f>IF(OR(C113="",C117=""),0,IF(C113="NYC",IF(C118=0,'Client Setup'!C95,IF(C118=1,'Client Setup'!C95+'Client Setup'!B95,2*'Client Setup'!C95+(C118-1)*'Client Setup'!B95)),IF(C118=0,'Client Setup'!C94,IF(C118=1,'Client Setup'!C94+'Client Setup'!B94,2*'Client Setup'!C94+(C118-1)*'Client Setup'!B94)))*C117)</f>
        <v/>
      </c>
      <c r="D127" s="201">
        <f>IF(OR(D113="",D117=""),0,IF(D113="NYC",IF(D118=0,'Client Setup'!C95,IF(D118=1,'Client Setup'!C95+'Client Setup'!B95,2*'Client Setup'!C95+(D118-1)*'Client Setup'!B95)),IF(D118=0,'Client Setup'!C94,IF(D118=1,'Client Setup'!C94+'Client Setup'!B94,2*'Client Setup'!C94+(D118-1)*'Client Setup'!B94)))*D117)</f>
        <v/>
      </c>
      <c r="E127" s="115" t="n"/>
    </row>
    <row r="128" ht="15.75" customHeight="1" s="137">
      <c r="A128" s="185" t="inlineStr">
        <is>
          <t>Vehicle Cost</t>
        </is>
      </c>
      <c r="B128" s="201">
        <f>IF(AND(ISNUMBER(B123),B123&gt;0),B123,IF(OR(B120="",B120="None"),0,IF(B121="Airport Transfer",IFERROR(VLOOKUP(B113,VehicleRates,IF(B120="Sedan",3,IF(B120="SUV",5,7)),FALSE),0),IF(B121="Hourly",IFERROR(VLOOKUP(B113,VehicleRates,IF(B120="Sedan",2,IF(B120="SUV",4,6)),FALSE),0)*B122,0))))</f>
        <v/>
      </c>
      <c r="C128" s="201">
        <f>IF(AND(ISNUMBER(C123),C123&gt;0),C123,IF(OR(C120="",C120="None"),0,IF(C121="Airport Transfer",IFERROR(VLOOKUP(C113,VehicleRates,IF(C120="Sedan",3,IF(C120="SUV",5,7)),FALSE),0),IF(C121="Hourly",IFERROR(VLOOKUP(C113,VehicleRates,IF(C120="Sedan",2,IF(C120="SUV",4,6)),FALSE),0)*C122,0))))</f>
        <v/>
      </c>
      <c r="D128" s="201">
        <f>IF(AND(ISNUMBER(D123),D123&gt;0),D123,IF(OR(D120="",D120="None"),0,IF(D121="Airport Transfer",IFERROR(VLOOKUP(D113,VehicleRates,IF(D120="Sedan",3,IF(D120="SUV",5,7)),FALSE),0),IF(D121="Hourly",IFERROR(VLOOKUP(D113,VehicleRates,IF(D120="Sedan",2,IF(D120="SUV",4,6)),FALSE),0)*D122,0))))</f>
        <v/>
      </c>
      <c r="E128" s="115" t="n"/>
    </row>
    <row r="129" ht="15.75" customHeight="1" s="137">
      <c r="A129" s="183" t="inlineStr">
        <is>
          <t>Trip Total</t>
        </is>
      </c>
      <c r="B129" s="204">
        <f>B125+B126+B127+B128</f>
        <v/>
      </c>
      <c r="C129" s="204">
        <f>C125+C126+C127+C128</f>
        <v/>
      </c>
      <c r="D129" s="204">
        <f>D125+D126+D127+D128</f>
        <v/>
      </c>
      <c r="E129" s="115" t="n"/>
    </row>
    <row r="130" ht="15.75" customHeight="1" s="137">
      <c r="A130" s="115" t="n"/>
      <c r="B130" s="115" t="n"/>
      <c r="C130" s="115" t="n"/>
      <c r="D130" s="115" t="n"/>
      <c r="E130" s="115" t="n"/>
    </row>
    <row r="131" ht="15.75" customHeight="1" s="137">
      <c r="A131" s="189" t="inlineStr">
        <is>
          <t>Total Travel Expenses</t>
        </is>
      </c>
      <c r="B131" s="205" t="n"/>
      <c r="C131" s="205" t="n"/>
      <c r="D131" s="206">
        <f>B129+C129+D129</f>
        <v/>
      </c>
      <c r="E131" s="115" t="n"/>
    </row>
    <row r="132" ht="15.75" customHeight="1" s="137">
      <c r="A132" s="115" t="n"/>
      <c r="B132" s="115" t="n"/>
      <c r="C132" s="115" t="n"/>
      <c r="D132" s="115" t="n"/>
      <c r="E132" s="115" t="n"/>
    </row>
    <row r="133" ht="15.75" customHeight="1" s="137">
      <c r="A133" s="192" t="inlineStr">
        <is>
          <t>PROFIT &amp; MARGIN</t>
        </is>
      </c>
      <c r="B133" s="116" t="n"/>
      <c r="C133" s="116" t="n"/>
      <c r="D133" s="116" t="n"/>
      <c r="E133" s="116" t="n"/>
      <c r="F133" s="115"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37">
      <c r="A134" s="185" t="inlineStr">
        <is>
          <t>Third-Party Commission</t>
        </is>
      </c>
      <c r="B134" s="115" t="n"/>
      <c r="C134" s="212">
        <f>'Client Setup'!C36</f>
        <v/>
      </c>
      <c r="D134" s="201">
        <f>F104*C134</f>
        <v/>
      </c>
      <c r="E134" s="115" t="n"/>
      <c r="F134" s="115" t="n"/>
      <c r="G134" s="59" t="n"/>
      <c r="H134" s="59"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37">
      <c r="A135" s="185" t="inlineStr">
        <is>
          <t>Global DMC Fee (6.5%)</t>
        </is>
      </c>
      <c r="B135" s="115" t="n"/>
      <c r="C135" s="213">
        <f>IF('Client Setup'!C37="Yes",0.065,0)</f>
        <v/>
      </c>
      <c r="D135" s="201">
        <f>IF('Client Setup'!C37="Yes",F104*0.065,0)</f>
        <v/>
      </c>
      <c r="E135" s="115" t="n"/>
      <c r="F135" s="115" t="n"/>
      <c r="G135" s="59" t="n"/>
      <c r="H135" s="59"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37">
      <c r="A136" s="185" t="inlineStr">
        <is>
          <t>Total Vendor Costs (incl. CC fee)</t>
        </is>
      </c>
      <c r="B136" s="115" t="n"/>
      <c r="C136" s="115" t="n"/>
      <c r="D136" s="201">
        <f>E99+E100+E101+E102</f>
        <v/>
      </c>
      <c r="E136" s="115" t="n"/>
      <c r="F136" s="115" t="n"/>
      <c r="G136" s="59" t="n"/>
      <c r="H136" s="59"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37">
      <c r="A137" s="183" t="inlineStr">
        <is>
          <t>QC Revenue</t>
        </is>
      </c>
      <c r="B137" s="115" t="n"/>
      <c r="C137" s="115" t="n"/>
      <c r="D137" s="201">
        <f>IFERROR(F104-D134-D135-D136,0)</f>
        <v/>
      </c>
      <c r="E137" s="115" t="n"/>
      <c r="F137" s="115" t="n"/>
      <c r="G137" s="59" t="n"/>
      <c r="H137" s="59"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37">
      <c r="A138" s="185" t="inlineStr">
        <is>
          <t>QC Margin %</t>
        </is>
      </c>
      <c r="B138" s="115" t="n"/>
      <c r="C138" s="115" t="n"/>
      <c r="D138" s="209">
        <f>IFERROR(IF(F104&gt;0,D137/F104,0),0)</f>
        <v/>
      </c>
      <c r="E138" s="115" t="n"/>
      <c r="F138" s="115" t="n"/>
      <c r="G138" s="62" t="n"/>
      <c r="H138" s="62"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37">
      <c r="A139" s="183" t="inlineStr">
        <is>
          <t>Margin Health</t>
        </is>
      </c>
      <c r="B139" s="115" t="n"/>
      <c r="C139" s="115" t="n"/>
      <c r="D139" s="207">
        <f>IF(D138&gt;=0.45,"✓ STRONG",IF(D138&gt;=0.35,"→ ON TARGET",IF(D138&gt;=0.25,"⚠ REVIEW","✗ BELOW FLOOR")))</f>
        <v/>
      </c>
      <c r="E139" s="115" t="n"/>
      <c r="F139" s="115" t="n"/>
      <c r="G139" s="84" t="n"/>
      <c r="H139" s="84" t="n"/>
      <c r="I139" s="84" t="n"/>
      <c r="J139" s="1" t="n"/>
      <c r="K139" s="1" t="n"/>
      <c r="L139" s="1" t="n"/>
      <c r="M139" s="1" t="n"/>
      <c r="N139" s="1" t="n"/>
      <c r="O139" s="1" t="n"/>
      <c r="P139" s="1" t="n"/>
      <c r="Q139" s="1" t="n"/>
      <c r="R139" s="1" t="n"/>
      <c r="S139" s="1" t="n"/>
      <c r="T139" s="1" t="n"/>
      <c r="U139" s="1" t="n"/>
      <c r="V139" s="1" t="n"/>
      <c r="W139" s="1" t="n"/>
      <c r="X139" s="1" t="n"/>
      <c r="Y139" s="1" t="n"/>
      <c r="Z139" s="1" t="n"/>
    </row>
    <row r="140" ht="15.75" customHeight="1" s="137">
      <c r="A140" s="115" t="n"/>
      <c r="B140" s="115" t="n"/>
      <c r="C140" s="115" t="n"/>
      <c r="D140" s="115" t="n"/>
      <c r="E140" s="115" t="n"/>
      <c r="F140" s="115"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37">
      <c r="A141" s="185" t="inlineStr">
        <is>
          <t>Estimated Team Hours</t>
        </is>
      </c>
      <c r="B141" s="115" t="n"/>
      <c r="C141" s="119" t="n"/>
      <c r="D141" s="201">
        <f>IF(ISNUMBER(C141),C141*90,0)</f>
        <v/>
      </c>
      <c r="E141" s="214" t="inlineStr">
        <is>
          <t>Hours × $90/hr</t>
        </is>
      </c>
      <c r="F141" s="115" t="n"/>
      <c r="G141" s="84" t="n"/>
      <c r="H141" s="84" t="n"/>
      <c r="I141" s="84" t="n"/>
      <c r="J141" s="1" t="n"/>
      <c r="K141" s="1" t="n"/>
      <c r="L141" s="1" t="n"/>
      <c r="M141" s="1" t="n"/>
      <c r="N141" s="1" t="n"/>
      <c r="O141" s="1" t="n"/>
      <c r="P141" s="1" t="n"/>
      <c r="Q141" s="1" t="n"/>
      <c r="R141" s="1" t="n"/>
      <c r="S141" s="1" t="n"/>
      <c r="T141" s="1" t="n"/>
      <c r="U141" s="1" t="n"/>
      <c r="V141" s="1" t="n"/>
      <c r="W141" s="1" t="n"/>
      <c r="X141" s="1" t="n"/>
      <c r="Y141" s="1" t="n"/>
      <c r="Z141" s="1" t="n"/>
    </row>
    <row r="142" ht="15.75" customHeight="1" s="137">
      <c r="A142" s="183" t="inlineStr">
        <is>
          <t>True Net Profit</t>
        </is>
      </c>
      <c r="B142" s="115" t="n"/>
      <c r="C142" s="115" t="n"/>
      <c r="D142" s="201">
        <f>D137-D141-D131</f>
        <v/>
      </c>
      <c r="E142" s="115" t="n"/>
      <c r="F142" s="115" t="n"/>
      <c r="G142" s="84" t="n"/>
      <c r="H142" s="84" t="n"/>
      <c r="I142" s="84" t="n"/>
      <c r="J142" s="1" t="n"/>
      <c r="K142" s="1" t="n"/>
      <c r="L142" s="1" t="n"/>
      <c r="M142" s="1" t="n"/>
      <c r="N142" s="1" t="n"/>
      <c r="O142" s="1" t="n"/>
      <c r="P142" s="1" t="n"/>
      <c r="Q142" s="1" t="n"/>
      <c r="R142" s="1" t="n"/>
      <c r="S142" s="1" t="n"/>
      <c r="T142" s="1" t="n"/>
      <c r="U142" s="1" t="n"/>
      <c r="V142" s="1" t="n"/>
      <c r="W142" s="1" t="n"/>
      <c r="X142" s="1" t="n"/>
      <c r="Y142" s="1" t="n"/>
      <c r="Z142" s="1" t="n"/>
    </row>
    <row r="143" ht="15.75" customHeight="1" s="137">
      <c r="A143" s="185" t="inlineStr">
        <is>
          <t>True Net Margin %</t>
        </is>
      </c>
      <c r="B143" s="115" t="n"/>
      <c r="C143" s="115" t="n"/>
      <c r="D143" s="209">
        <f>IFERROR(IF(F104&gt;0,D142/F104,0),0)</f>
        <v/>
      </c>
      <c r="E143" s="115" t="n"/>
      <c r="F143" s="115" t="n"/>
      <c r="G143" s="85" t="n"/>
      <c r="H143" s="85" t="n"/>
      <c r="I143" s="85" t="n"/>
      <c r="J143" s="1" t="n"/>
      <c r="K143" s="1" t="n"/>
      <c r="L143" s="1" t="n"/>
      <c r="M143" s="1" t="n"/>
      <c r="N143" s="1" t="n"/>
      <c r="O143" s="1" t="n"/>
      <c r="P143" s="1" t="n"/>
      <c r="Q143" s="1" t="n"/>
      <c r="R143" s="1" t="n"/>
      <c r="S143" s="1" t="n"/>
      <c r="T143" s="1" t="n"/>
      <c r="U143" s="1" t="n"/>
      <c r="V143" s="1" t="n"/>
      <c r="W143" s="1" t="n"/>
      <c r="X143" s="1" t="n"/>
      <c r="Y143" s="1" t="n"/>
      <c r="Z143" s="1" t="n"/>
    </row>
    <row r="144" ht="15.75" customHeight="1" s="137">
      <c r="A144" s="183" t="inlineStr">
        <is>
          <t>True Net Health</t>
        </is>
      </c>
      <c r="B144" s="115" t="n"/>
      <c r="C144" s="115" t="n"/>
      <c r="D144" s="207">
        <f>IF(D143&gt;=0.15,"✓ STRONG",IF(D143&gt;=0.07,"→ ON TARGET",IF(D143&gt;=0,"⚠ THIN","✗ LOSING MONEY")))</f>
        <v/>
      </c>
      <c r="E144" s="115" t="n"/>
      <c r="F144" s="115" t="n"/>
      <c r="G144" s="84" t="n"/>
      <c r="H144" s="84" t="n"/>
      <c r="I144" s="84" t="n"/>
      <c r="J144" s="1" t="n"/>
      <c r="K144" s="1" t="n"/>
      <c r="L144" s="1" t="n"/>
      <c r="M144" s="1" t="n"/>
      <c r="N144" s="1" t="n"/>
      <c r="O144" s="1" t="n"/>
      <c r="P144" s="1" t="n"/>
      <c r="Q144" s="1" t="n"/>
      <c r="R144" s="1" t="n"/>
      <c r="S144" s="1" t="n"/>
      <c r="T144" s="1" t="n"/>
      <c r="U144" s="1" t="n"/>
      <c r="V144" s="1" t="n"/>
      <c r="W144" s="1" t="n"/>
      <c r="X144" s="1" t="n"/>
      <c r="Y144" s="1" t="n"/>
      <c r="Z144" s="1" t="n"/>
    </row>
    <row r="145" ht="15.75" customHeight="1" s="13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3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3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3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3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3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3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3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3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3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3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3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3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3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3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3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3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3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3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3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3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3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3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3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3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3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3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3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3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3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3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3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3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3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3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3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3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3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3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3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3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3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3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3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3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3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3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3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3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3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3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3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3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3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3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3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3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3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3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3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3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3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3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3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3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3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3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3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3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3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3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3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3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3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3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3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3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3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3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3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3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3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3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3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3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3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3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3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3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3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3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3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3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3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3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3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3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3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3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3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3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3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3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3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3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3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3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3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3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3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3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3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3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3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3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3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3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3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3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3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3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3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3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3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3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3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3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3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3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3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3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3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3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3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3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3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3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3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3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3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3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3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3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3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3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3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3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3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3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3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3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3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3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3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3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3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3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3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3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3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3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3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3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3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3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3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3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3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3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3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3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3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3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3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3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3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3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3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3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3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3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3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3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3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3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3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3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3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3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3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3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3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3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3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3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3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3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3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3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3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3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3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3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3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3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3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3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3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3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3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3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3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3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3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3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3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3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3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3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3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3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3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3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3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3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3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3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3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3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3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3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3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3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3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3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3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3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3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3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3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3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3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3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3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3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3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3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3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3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3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3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3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3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3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3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3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3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3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3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3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3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3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3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3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3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3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3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3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3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3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3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3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3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3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3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3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3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3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3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3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3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3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3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3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3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3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3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3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3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3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3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3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3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3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3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3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3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3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3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3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3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3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3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3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3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3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3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3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3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3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3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3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3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3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3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3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3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3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3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3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3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3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3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3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3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3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3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3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3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3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3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3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3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3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3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3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3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3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3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3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3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3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3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3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3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3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3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3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3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3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3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3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3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3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3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3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3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3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3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3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3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3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3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3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3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3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3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3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3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3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3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3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3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3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3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3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3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3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3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3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3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3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3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3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3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3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3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3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3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3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3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3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3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3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3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3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3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3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3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3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3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3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3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3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3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3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3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3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3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3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3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3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3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3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3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3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3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3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3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3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3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3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3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3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3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3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3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3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3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3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3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3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3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3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3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3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3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3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3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3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3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3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3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3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3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3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3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3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3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3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3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3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3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3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3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3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3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3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3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3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3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3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3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3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3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3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3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3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3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3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3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3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3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3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3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3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3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3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3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3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3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3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3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3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3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3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3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3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3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3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3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3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3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3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3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3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3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3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3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3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3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3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3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3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3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3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3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3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3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3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3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3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3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3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3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3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3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3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3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3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3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3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3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3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3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3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3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3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3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3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3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3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3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3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3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3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3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3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3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3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3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3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3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3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3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3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3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3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3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3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3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3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3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3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3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3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3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3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3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3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3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3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3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3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3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3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3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3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3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3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3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3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3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3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3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3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3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3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3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3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3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3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3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3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3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3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3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3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3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3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3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3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3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3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3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3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3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3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3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3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3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3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3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3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3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3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3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3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3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3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3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3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3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3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3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3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3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3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3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3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3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3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3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3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3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3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3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3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3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3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3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3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3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3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3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3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3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3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3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3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3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3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3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3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3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3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3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3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3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3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3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3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3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3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3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3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3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3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3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3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3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3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3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3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3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3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3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3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3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3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3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3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3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3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3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3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3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3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3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3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3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3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3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3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3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3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3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3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3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3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3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3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3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3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3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3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3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3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3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3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3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3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3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3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3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3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3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3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3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3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3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3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3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3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3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3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3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3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3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3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3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3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3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3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3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3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3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3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3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3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3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3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3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3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3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3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3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3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3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3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3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3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3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3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3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3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3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3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3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3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3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3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3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3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3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3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3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3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3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3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3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3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3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3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3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3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3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3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3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3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3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3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3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3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3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3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3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3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3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3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3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3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3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3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3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3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3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3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3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3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3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3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3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3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3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3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3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3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3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3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3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3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3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3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3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3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3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3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3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3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3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3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3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3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3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3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3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3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3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3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3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3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3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3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3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3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3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3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3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3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3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3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3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3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3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3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3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3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3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3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3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3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3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3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3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3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3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3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6" customHeight="1" s="137">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6" customHeight="1" s="137">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6" customHeight="1" s="137">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6" customHeight="1" s="137">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6" customHeight="1" s="137">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6" customHeight="1" s="137">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6" customHeight="1" s="13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6" customHeight="1" s="137">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6" customHeight="1" s="137">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6" customHeight="1" s="137">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6" customHeight="1" s="137">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6" customHeight="1" s="137">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6" customHeight="1" s="137">
      <c r="A1013" s="1" t="n"/>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6" customHeight="1" s="137">
      <c r="A1014" s="1" t="n"/>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6" customHeight="1" s="137">
      <c r="A1015" s="1" t="n"/>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6" customHeight="1" s="137">
      <c r="A1016" s="1" t="n"/>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6" customHeight="1" s="137">
      <c r="A1017" s="1" t="n"/>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6" customHeight="1" s="137">
      <c r="A1018" s="1" t="n"/>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6" customHeight="1" s="137">
      <c r="A1019" s="1" t="n"/>
      <c r="B1019" s="1" t="n"/>
      <c r="C1019" s="1"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6" customHeight="1" s="137">
      <c r="A1020" s="1" t="n"/>
      <c r="B1020" s="1" t="n"/>
      <c r="C1020" s="1"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6" customHeight="1" s="137">
      <c r="A1021" s="1" t="n"/>
      <c r="B1021" s="1" t="n"/>
      <c r="C1021" s="1"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6" customHeight="1" s="137">
      <c r="A1022" s="1" t="n"/>
      <c r="B1022" s="1" t="n"/>
      <c r="C1022" s="1" t="n"/>
      <c r="D1022" s="1" t="n"/>
      <c r="E1022" s="1" t="n"/>
      <c r="F1022" s="1" t="n"/>
      <c r="G1022" s="1" t="n"/>
      <c r="H1022" s="1" t="n"/>
      <c r="I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6" customHeight="1" s="137">
      <c r="A1023" s="1" t="n"/>
      <c r="B1023" s="1" t="n"/>
      <c r="C1023" s="1" t="n"/>
      <c r="D1023" s="1" t="n"/>
      <c r="E1023" s="1" t="n"/>
      <c r="F1023" s="1" t="n"/>
      <c r="G1023" s="1" t="n"/>
      <c r="H1023" s="1" t="n"/>
      <c r="I1023" s="1" t="n"/>
      <c r="J1023" s="1" t="n"/>
      <c r="K1023" s="1" t="n"/>
      <c r="L1023" s="1" t="n"/>
      <c r="M1023" s="1" t="n"/>
      <c r="N1023" s="1" t="n"/>
      <c r="O1023" s="1" t="n"/>
      <c r="P1023" s="1" t="n"/>
      <c r="Q1023" s="1" t="n"/>
      <c r="R1023" s="1" t="n"/>
      <c r="S1023" s="1" t="n"/>
      <c r="T1023" s="1" t="n"/>
      <c r="U1023" s="1" t="n"/>
      <c r="V1023" s="1" t="n"/>
      <c r="W1023" s="1" t="n"/>
      <c r="X1023" s="1" t="n"/>
      <c r="Y1023" s="1" t="n"/>
      <c r="Z1023" s="1" t="n"/>
    </row>
    <row r="1024" ht="16" customHeight="1" s="137">
      <c r="A1024" s="1" t="n"/>
      <c r="B1024" s="1" t="n"/>
      <c r="C1024" s="1" t="n"/>
      <c r="D1024" s="1" t="n"/>
      <c r="E1024" s="1" t="n"/>
      <c r="F1024" s="1" t="n"/>
      <c r="G1024" s="1" t="n"/>
      <c r="H1024" s="1" t="n"/>
      <c r="I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6" customHeight="1" s="137">
      <c r="A1025" s="1" t="n"/>
      <c r="B1025" s="1" t="n"/>
      <c r="C1025" s="1" t="n"/>
      <c r="D1025" s="1" t="n"/>
      <c r="E1025" s="1" t="n"/>
      <c r="F1025" s="1" t="n"/>
      <c r="G1025" s="1" t="n"/>
      <c r="H1025" s="1" t="n"/>
      <c r="I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6" customHeight="1" s="137">
      <c r="A1026" s="1" t="n"/>
      <c r="B1026" s="1" t="n"/>
      <c r="C1026" s="1" t="n"/>
      <c r="D1026" s="1" t="n"/>
      <c r="E1026" s="1" t="n"/>
      <c r="F1026" s="1" t="n"/>
      <c r="G1026" s="1" t="n"/>
      <c r="H1026" s="1" t="n"/>
      <c r="I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6" customHeight="1" s="137">
      <c r="A1027" s="1" t="n"/>
      <c r="B1027" s="1" t="n"/>
      <c r="C1027" s="1" t="n"/>
      <c r="D1027" s="1" t="n"/>
      <c r="E1027" s="1" t="n"/>
      <c r="F1027" s="1" t="n"/>
      <c r="G1027" s="1" t="n"/>
      <c r="H1027" s="1" t="n"/>
      <c r="I1027" s="1" t="n"/>
      <c r="J1027" s="1" t="n"/>
      <c r="K1027" s="1" t="n"/>
      <c r="L1027" s="1" t="n"/>
      <c r="M1027" s="1" t="n"/>
      <c r="N1027" s="1" t="n"/>
      <c r="O1027" s="1" t="n"/>
      <c r="P1027" s="1" t="n"/>
      <c r="Q1027" s="1" t="n"/>
      <c r="R1027" s="1" t="n"/>
      <c r="S1027" s="1" t="n"/>
      <c r="T1027" s="1" t="n"/>
      <c r="U1027" s="1" t="n"/>
      <c r="V1027" s="1" t="n"/>
      <c r="W1027" s="1" t="n"/>
      <c r="X1027" s="1" t="n"/>
      <c r="Y1027" s="1" t="n"/>
      <c r="Z1027" s="1" t="n"/>
    </row>
  </sheetData>
  <mergeCells count="14">
    <mergeCell ref="A4:H4"/>
    <mergeCell ref="B6:C6"/>
    <mergeCell ref="J4:K4"/>
    <mergeCell ref="M7:N7"/>
    <mergeCell ref="B7:C7"/>
    <mergeCell ref="J5:K5"/>
    <mergeCell ref="B5:C5"/>
    <mergeCell ref="A2:H2"/>
    <mergeCell ref="J7:K7"/>
    <mergeCell ref="M5:N5"/>
    <mergeCell ref="A1:H1"/>
    <mergeCell ref="B9:C9"/>
    <mergeCell ref="B8:C8"/>
    <mergeCell ref="M4:N4"/>
  </mergeCells>
  <dataValidations count="12">
    <dataValidation sqref="I16 I17 I18 I19 I20 I21 I22 I23 I24 I25 I27 I28 I29 I35 I36 I37 I38 I39 I40 I41 I42 I44 I45 I46 I47 I48 I49 I50 I51 I53 I54 I55 I56 I57 I58 I59 I60 I62 I63 I64 I65 I66 I67 I69 I70 I71 I72 I73 I74 I80 I81 I82 I83 I84 I85 I86 I87 I88 I89 I91 I92 I93 I94 I95" showDropDown="0" showInputMessage="0" showErrorMessage="0" allowBlank="1" type="list">
      <formula1>CategoryList</formula1>
    </dataValidation>
    <dataValidation sqref="B112 C112 D112" showDropDown="0" showInputMessage="0" showErrorMessage="0" allowBlank="1" type="list">
      <formula1>OriginList</formula1>
    </dataValidation>
    <dataValidation sqref="B113 C113 D113" showDropDown="0" showInputMessage="0" showErrorMessage="0" allowBlank="1" type="list">
      <formula1>DestinationList</formula1>
    </dataValidation>
    <dataValidation sqref="B114 C114 D114" showDropDown="0" showInputMessage="0" showErrorMessage="0" allowBlank="1" type="list">
      <formula1>"Drive,Train,Flight"</formula1>
    </dataValidation>
    <dataValidation sqref="B115 C115 D115" showDropDown="0" showInputMessage="0" showErrorMessage="0" allowBlank="1" type="list">
      <formula1>"Short Haul,Medium Haul,Major Market to NYC"</formula1>
    </dataValidation>
    <dataValidation sqref="B116 C116 D116" showDropDown="0" showInputMessage="0" showErrorMessage="0" allowBlank="1" type="list">
      <formula1>"No,Yes"</formula1>
    </dataValidation>
    <dataValidation sqref="B117 C117 D117" showDropDown="0" showInputMessage="0" showErrorMessage="0" allowBlank="1" type="list">
      <formula1>"1,2,3,4,5"</formula1>
    </dataValidation>
    <dataValidation sqref="B118 C118 D118" showDropDown="0" showInputMessage="0" showErrorMessage="0" allowBlank="1" type="list">
      <formula1>"0,1,2,3,4,5"</formula1>
    </dataValidation>
    <dataValidation sqref="B119 C119 D119" showDropDown="0" showInputMessage="0" showErrorMessage="0" allowBlank="1" type="list">
      <formula1>"Low,High"</formula1>
    </dataValidation>
    <dataValidation sqref="B120 C120 D120" showDropDown="0" showInputMessage="0" showErrorMessage="0" allowBlank="1" type="list">
      <formula1>"None,Sedan,SUV,Sprinter"</formula1>
    </dataValidation>
    <dataValidation sqref="B121 C121 D121" showDropDown="0" showInputMessage="0" showErrorMessage="0" allowBlank="1" type="list">
      <formula1>"Hourly,Airport Transfer"</formula1>
    </dataValidation>
    <dataValidation sqref="B122 C122 D122" showDropDown="0" showInputMessage="0" showErrorMessage="0" allowBlank="1" type="list">
      <formula1>"1,2,3,4,5,6,7,8,10,12"</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1027"/>
  <sheetViews>
    <sheetView zoomScaleNormal="100" workbookViewId="0">
      <selection activeCell="A1" sqref="A1"/>
    </sheetView>
  </sheetViews>
  <sheetFormatPr baseColWidth="10" defaultColWidth="14.5" defaultRowHeight="15"/>
  <cols>
    <col width="32" customWidth="1" style="137" min="1" max="1"/>
    <col width="16" customWidth="1" style="137" min="2" max="2"/>
    <col width="10" customWidth="1" style="137" min="3" max="3"/>
    <col width="12" customWidth="1" style="137" min="4" max="4"/>
    <col width="14" customWidth="1" style="137" min="5" max="6"/>
    <col width="10" customWidth="1" style="137" min="7" max="7"/>
    <col width="44" customWidth="1" style="137" min="8" max="8"/>
    <col width="3" customWidth="1" style="137" min="9" max="9"/>
    <col width="38" customWidth="1" style="137" min="10" max="10"/>
    <col width="14" customWidth="1" style="137" min="11" max="11"/>
    <col width="3" customWidth="1" style="137" min="12" max="12"/>
    <col width="28" customWidth="1" style="137" min="13" max="13"/>
    <col width="14" customWidth="1" style="137" min="14" max="14"/>
    <col width="8.6640625" customWidth="1" style="137" min="15" max="26"/>
  </cols>
  <sheetData>
    <row r="1" ht="63.75" customHeight="1" s="137">
      <c r="A1" s="140" t="n"/>
      <c r="B1" s="134" t="n"/>
      <c r="C1" s="134" t="n"/>
      <c r="D1" s="134" t="n"/>
      <c r="E1" s="134" t="n"/>
      <c r="F1" s="134" t="n"/>
      <c r="G1" s="134" t="n"/>
      <c r="H1" s="132" t="n"/>
      <c r="I1" s="1" t="n"/>
      <c r="J1" s="1" t="n"/>
      <c r="K1" s="1" t="n"/>
      <c r="L1" s="1" t="n"/>
      <c r="M1" s="1" t="n"/>
      <c r="N1" s="1" t="n"/>
      <c r="O1" s="1" t="n"/>
      <c r="P1" s="1" t="n"/>
      <c r="Q1" s="1" t="n"/>
      <c r="R1" s="1" t="n"/>
      <c r="S1" s="1" t="n"/>
      <c r="T1" s="1" t="n"/>
      <c r="U1" s="1" t="n"/>
      <c r="V1" s="1" t="n"/>
      <c r="W1" s="1" t="n"/>
      <c r="X1" s="1" t="n"/>
      <c r="Y1" s="1" t="n"/>
      <c r="Z1" s="1" t="n"/>
    </row>
    <row r="2" ht="21.75" customHeight="1" s="137">
      <c r="A2" s="143" t="inlineStr">
        <is>
          <t>Decor &amp; Production Estimate</t>
        </is>
      </c>
      <c r="B2" s="134" t="n"/>
      <c r="C2" s="134" t="n"/>
      <c r="D2" s="134" t="n"/>
      <c r="E2" s="134" t="n"/>
      <c r="F2" s="134" t="n"/>
      <c r="G2" s="134" t="n"/>
      <c r="H2" s="132" t="n"/>
      <c r="I2" s="1" t="n"/>
      <c r="J2" s="1" t="n"/>
      <c r="K2" s="1" t="n"/>
      <c r="L2" s="1" t="n"/>
      <c r="M2" s="1" t="n"/>
      <c r="N2" s="1" t="n"/>
      <c r="O2" s="1" t="n"/>
      <c r="P2" s="1" t="n"/>
      <c r="Q2" s="1" t="n"/>
      <c r="R2" s="1" t="n"/>
      <c r="S2" s="1" t="n"/>
      <c r="T2" s="1" t="n"/>
      <c r="U2" s="1" t="n"/>
      <c r="V2" s="1" t="n"/>
      <c r="W2" s="1" t="n"/>
      <c r="X2" s="1" t="n"/>
      <c r="Y2" s="1" t="n"/>
      <c r="Z2" s="1" t="n"/>
    </row>
    <row r="3" ht="6" customHeight="1" s="137">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137">
      <c r="A4" s="133" t="inlineStr">
        <is>
          <t>EVENT INFO (from Client Setup)</t>
        </is>
      </c>
      <c r="B4" s="134" t="n"/>
      <c r="C4" s="134" t="n"/>
      <c r="D4" s="134" t="n"/>
      <c r="E4" s="134" t="n"/>
      <c r="F4" s="134" t="n"/>
      <c r="G4" s="134" t="n"/>
      <c r="H4" s="132" t="n"/>
      <c r="I4" s="1" t="n"/>
      <c r="J4" s="133" t="inlineStr">
        <is>
          <t>DETAILED CLIENT VIEW</t>
        </is>
      </c>
      <c r="K4" s="132" t="n"/>
      <c r="L4" s="1" t="n"/>
      <c r="M4" s="133" t="inlineStr">
        <is>
          <t>SUMMARY VIEW</t>
        </is>
      </c>
      <c r="N4" s="132" t="n"/>
      <c r="O4" s="1" t="n"/>
      <c r="P4" s="1" t="n"/>
      <c r="Q4" s="1" t="n"/>
      <c r="R4" s="1" t="n"/>
      <c r="S4" s="1" t="n"/>
      <c r="T4" s="1" t="n"/>
      <c r="U4" s="1" t="n"/>
      <c r="V4" s="1" t="n"/>
      <c r="W4" s="1" t="n"/>
      <c r="X4" s="1" t="n"/>
      <c r="Y4" s="1" t="n"/>
      <c r="Z4" s="1" t="n"/>
    </row>
    <row r="5" ht="21.75" customHeight="1" s="137">
      <c r="A5" s="146" t="inlineStr">
        <is>
          <t>Client:</t>
        </is>
      </c>
      <c r="B5" s="145">
        <f>'Client Setup'!B5</f>
        <v/>
      </c>
      <c r="C5" s="132" t="n"/>
      <c r="D5" s="5" t="n"/>
      <c r="E5" s="5" t="n"/>
      <c r="F5" s="5" t="n"/>
      <c r="G5" s="5" t="n"/>
      <c r="H5" s="5" t="n"/>
      <c r="I5" s="1" t="n"/>
      <c r="J5" s="146" t="inlineStr">
        <is>
          <t>Itemized — each section is one Canva slide</t>
        </is>
      </c>
      <c r="K5" s="132" t="n"/>
      <c r="L5" s="1" t="n"/>
      <c r="M5" s="146" t="inlineStr">
        <is>
          <t>Category totals for client</t>
        </is>
      </c>
      <c r="N5" s="132" t="n"/>
      <c r="O5" s="1" t="n"/>
      <c r="P5" s="1" t="n"/>
      <c r="Q5" s="1" t="n"/>
      <c r="R5" s="1" t="n"/>
      <c r="S5" s="1" t="n"/>
      <c r="T5" s="1" t="n"/>
      <c r="U5" s="1" t="n"/>
      <c r="V5" s="1" t="n"/>
      <c r="W5" s="1" t="n"/>
      <c r="X5" s="1" t="n"/>
      <c r="Y5" s="1" t="n"/>
      <c r="Z5" s="1" t="n"/>
    </row>
    <row r="6" ht="21.75" customHeight="1" s="137">
      <c r="A6" s="146" t="inlineStr">
        <is>
          <t>Event Date:</t>
        </is>
      </c>
      <c r="B6" s="178">
        <f>'Client Setup'!B6</f>
        <v/>
      </c>
      <c r="C6" s="132" t="n"/>
      <c r="D6" s="5" t="n"/>
      <c r="E6" s="5" t="n"/>
      <c r="F6" s="5" t="n"/>
      <c r="G6" s="5" t="n"/>
      <c r="H6" s="5" t="n"/>
      <c r="I6" s="1" t="n"/>
      <c r="J6" s="1" t="n"/>
      <c r="K6" s="1" t="n"/>
      <c r="L6" s="1" t="n"/>
      <c r="M6" s="1" t="n"/>
      <c r="N6" s="1" t="n"/>
      <c r="O6" s="1" t="n"/>
      <c r="P6" s="1" t="n"/>
      <c r="Q6" s="1" t="n"/>
      <c r="R6" s="1" t="n"/>
      <c r="S6" s="1" t="n"/>
      <c r="T6" s="1" t="n"/>
      <c r="U6" s="1" t="n"/>
      <c r="V6" s="1" t="n"/>
      <c r="W6" s="1" t="n"/>
      <c r="X6" s="1" t="n"/>
      <c r="Y6" s="1" t="n"/>
      <c r="Z6" s="1" t="n"/>
    </row>
    <row r="7" ht="21.75" customHeight="1" s="137">
      <c r="A7" s="146" t="inlineStr">
        <is>
          <t>Guest Count:</t>
        </is>
      </c>
      <c r="B7" s="147">
        <f>'Client Setup'!B7</f>
        <v/>
      </c>
      <c r="C7" s="132" t="n"/>
      <c r="D7" s="5" t="n"/>
      <c r="E7" s="5" t="n"/>
      <c r="F7" s="5" t="n"/>
      <c r="G7" s="5" t="n"/>
      <c r="H7" s="5" t="n"/>
      <c r="I7" s="1" t="n"/>
      <c r="J7" s="150" t="inlineStr">
        <is>
          <t>DECOR &amp; PRODUCTION ESTIMATE</t>
        </is>
      </c>
      <c r="K7" s="132" t="n"/>
      <c r="L7" s="1" t="n"/>
      <c r="M7" s="150" t="inlineStr">
        <is>
          <t>DECOR &amp; PRODUCTION ESTIMATE</t>
        </is>
      </c>
      <c r="N7" s="132" t="n"/>
      <c r="O7" s="1" t="n"/>
      <c r="P7" s="1" t="n"/>
      <c r="Q7" s="1" t="n"/>
      <c r="R7" s="1" t="n"/>
      <c r="S7" s="1" t="n"/>
      <c r="T7" s="1" t="n"/>
      <c r="U7" s="1" t="n"/>
      <c r="V7" s="1" t="n"/>
      <c r="W7" s="1" t="n"/>
      <c r="X7" s="1" t="n"/>
      <c r="Y7" s="1" t="n"/>
      <c r="Z7" s="1" t="n"/>
    </row>
    <row r="8" ht="21.75" customHeight="1" s="137">
      <c r="A8" s="146" t="inlineStr">
        <is>
          <t>Location:</t>
        </is>
      </c>
      <c r="B8" s="145">
        <f>'Client Setup'!B16</f>
        <v/>
      </c>
      <c r="C8" s="132" t="n"/>
      <c r="D8" s="5" t="n"/>
      <c r="E8" s="5" t="n"/>
      <c r="F8" s="5" t="n"/>
      <c r="G8" s="5" t="n"/>
      <c r="H8" s="5" t="n"/>
      <c r="I8" s="1" t="n"/>
      <c r="J8" s="233" t="inlineStr">
        <is>
          <t>Color</t>
        </is>
      </c>
      <c r="K8" s="234" t="inlineStr">
        <is>
          <t>Meaning</t>
        </is>
      </c>
      <c r="L8" s="1" t="n"/>
      <c r="M8" s="148">
        <f>'Client Setup'!B5</f>
        <v/>
      </c>
      <c r="N8" s="19">
        <f>'Client Setup'!B7&amp;" Guests"</f>
        <v/>
      </c>
      <c r="O8" s="1" t="n"/>
      <c r="P8" s="1" t="n"/>
      <c r="Q8" s="1" t="n"/>
      <c r="R8" s="1" t="n"/>
      <c r="S8" s="1" t="n"/>
      <c r="T8" s="1" t="n"/>
      <c r="U8" s="1" t="n"/>
      <c r="V8" s="1" t="n"/>
      <c r="W8" s="1" t="n"/>
      <c r="X8" s="1" t="n"/>
      <c r="Y8" s="1" t="n"/>
      <c r="Z8" s="1" t="n"/>
    </row>
    <row r="9" ht="21.75" customHeight="1" s="137">
      <c r="A9" s="146" t="inlineStr">
        <is>
          <t>Venue:</t>
        </is>
      </c>
      <c r="B9" s="139" t="inlineStr">
        <is>
          <t>101 Constitution Ave NW, Washington DC</t>
        </is>
      </c>
      <c r="C9" s="132" t="n"/>
      <c r="D9" s="5" t="n"/>
      <c r="E9" s="90" t="inlineStr">
        <is>
          <t>Event Time:</t>
        </is>
      </c>
      <c r="F9" s="91">
        <f>'Client Setup'!B10</f>
        <v/>
      </c>
      <c r="G9" s="5" t="n"/>
      <c r="H9" s="5" t="n"/>
      <c r="I9" s="1" t="n"/>
      <c r="J9" s="242">
        <f>TEXT('Client Setup'!B6,"MMMM D, YYYY")</f>
        <v/>
      </c>
      <c r="K9" s="236" t="inlineStr">
        <is>
          <t>Dropdown — click to select</t>
        </is>
      </c>
      <c r="L9" s="1" t="n"/>
      <c r="M9" s="149">
        <f>TEXT('Client Setup'!B6,"MMMM D, YYYY")</f>
        <v/>
      </c>
      <c r="N9" s="5" t="n"/>
      <c r="O9" s="1" t="n"/>
      <c r="P9" s="1" t="n"/>
      <c r="Q9" s="1" t="n"/>
      <c r="R9" s="1" t="n"/>
      <c r="S9" s="1" t="n"/>
      <c r="T9" s="1" t="n"/>
      <c r="U9" s="1" t="n"/>
      <c r="V9" s="1" t="n"/>
      <c r="W9" s="1" t="n"/>
      <c r="X9" s="1" t="n"/>
      <c r="Y9" s="1" t="n"/>
      <c r="Z9" s="1" t="n"/>
    </row>
    <row r="10" ht="15" customHeight="1" s="137">
      <c r="A10" s="240" t="inlineStr">
        <is>
          <t>Company:</t>
        </is>
      </c>
      <c r="B10" s="246">
        <f>'Client Setup'!B11</f>
        <v/>
      </c>
      <c r="C10" s="67" t="n"/>
      <c r="D10" s="67" t="n"/>
      <c r="E10" s="67" t="n"/>
      <c r="F10" s="67" t="n"/>
      <c r="G10" s="67" t="n"/>
      <c r="H10" s="67" t="n"/>
      <c r="J10" s="237" t="n"/>
      <c r="K10" s="218" t="inlineStr">
        <is>
          <t>Manual entry or formula</t>
        </is>
      </c>
    </row>
    <row r="11" ht="25.5" customHeight="1" s="137">
      <c r="A11" s="240" t="inlineStr">
        <is>
          <t>Program:</t>
        </is>
      </c>
      <c r="B11" s="246">
        <f>'Client Setup'!B12</f>
        <v/>
      </c>
      <c r="C11" s="67" t="n"/>
      <c r="D11" s="67" t="n"/>
      <c r="E11" s="67" t="n"/>
      <c r="F11" s="67" t="n"/>
      <c r="G11" s="67" t="n"/>
      <c r="H11" s="67" t="n"/>
    </row>
    <row r="12" ht="27.75" customHeight="1" s="137">
      <c r="A12" s="240" t="inlineStr">
        <is>
          <t>Client Hotel:</t>
        </is>
      </c>
      <c r="B12" s="246">
        <f>'Client Setup'!B13</f>
        <v/>
      </c>
      <c r="C12" s="67" t="n"/>
      <c r="D12" s="67" t="n"/>
      <c r="E12" s="67" t="n"/>
      <c r="F12" s="67" t="n"/>
      <c r="G12" s="67" t="n"/>
      <c r="H12" s="67" t="n"/>
    </row>
    <row r="13" ht="27.75" customHeight="1" s="137">
      <c r="A13" s="133" t="inlineStr">
        <is>
          <t>FLORALS</t>
        </is>
      </c>
      <c r="I13" s="1" t="n"/>
      <c r="J13" s="1" t="n"/>
      <c r="K13" s="1" t="n"/>
      <c r="L13" s="1" t="n"/>
      <c r="M13" s="1" t="n"/>
      <c r="N13" s="1" t="n"/>
      <c r="O13" s="1" t="n"/>
      <c r="P13" s="1" t="n"/>
      <c r="Q13" s="1" t="n"/>
      <c r="R13" s="1" t="n"/>
      <c r="S13" s="1" t="n"/>
      <c r="T13" s="1" t="n"/>
      <c r="U13" s="1" t="n"/>
      <c r="V13" s="1" t="n"/>
      <c r="W13" s="1" t="n"/>
      <c r="X13" s="1" t="n"/>
      <c r="Y13" s="1" t="n"/>
      <c r="Z13" s="1" t="n"/>
    </row>
    <row r="14" ht="27.75" customHeight="1" s="137">
      <c r="A14" s="22" t="inlineStr">
        <is>
          <t>Item</t>
        </is>
      </c>
      <c r="B14" s="22" t="inlineStr">
        <is>
          <t>Vendor</t>
        </is>
      </c>
      <c r="C14" s="22" t="inlineStr">
        <is>
          <t>Qty</t>
        </is>
      </c>
      <c r="D14" s="22" t="inlineStr">
        <is>
          <t>Unit Price</t>
        </is>
      </c>
      <c r="E14" s="22" t="inlineStr">
        <is>
          <t>Our Cost</t>
        </is>
      </c>
      <c r="F14" s="22" t="inlineStr">
        <is>
          <t>Client Cost</t>
        </is>
      </c>
      <c r="G14" s="22" t="inlineStr">
        <is>
          <t>Tax Rate</t>
        </is>
      </c>
      <c r="H14" s="22" t="inlineStr">
        <is>
          <t>Notes / Description</t>
        </is>
      </c>
      <c r="I14" s="210" t="inlineStr">
        <is>
          <t>Category</t>
        </is>
      </c>
      <c r="J14" s="21" t="inlineStr">
        <is>
          <t>Item</t>
        </is>
      </c>
      <c r="K14" s="22" t="inlineStr">
        <is>
          <t>Amount</t>
        </is>
      </c>
      <c r="L14" s="1" t="n"/>
      <c r="M14" s="21" t="inlineStr">
        <is>
          <t>Category</t>
        </is>
      </c>
      <c r="N14" s="22" t="inlineStr">
        <is>
          <t>Amount</t>
        </is>
      </c>
      <c r="O14" s="1" t="n"/>
      <c r="P14" s="1" t="n"/>
      <c r="Q14" s="1" t="n"/>
      <c r="R14" s="1" t="n"/>
      <c r="S14" s="1" t="n"/>
      <c r="T14" s="1" t="n"/>
      <c r="U14" s="1" t="n"/>
      <c r="V14" s="1" t="n"/>
      <c r="W14" s="1" t="n"/>
      <c r="X14" s="1" t="n"/>
      <c r="Y14" s="1" t="n"/>
      <c r="Z14" s="1" t="n"/>
    </row>
    <row r="15" ht="27.75" customHeight="1" s="137">
      <c r="A15" s="27" t="inlineStr">
        <is>
          <t>TAXABLE FLORAL PRODUCT</t>
        </is>
      </c>
      <c r="I15" s="1" t="n"/>
      <c r="J15" s="54">
        <f>A13</f>
        <v/>
      </c>
      <c r="L15" s="1" t="n"/>
      <c r="M15" s="149">
        <f>A13</f>
        <v/>
      </c>
      <c r="N15" s="161">
        <f>ROUNDUP(F30/50,0)*50</f>
        <v/>
      </c>
      <c r="O15" s="1" t="n"/>
      <c r="P15" s="1" t="n"/>
      <c r="Q15" s="1" t="n"/>
      <c r="R15" s="1" t="n"/>
      <c r="S15" s="1" t="n"/>
      <c r="T15" s="1" t="n"/>
      <c r="U15" s="1" t="n"/>
      <c r="V15" s="1" t="n"/>
      <c r="W15" s="1" t="n"/>
      <c r="X15" s="1" t="n"/>
      <c r="Y15" s="1" t="n"/>
      <c r="Z15" s="1" t="n"/>
    </row>
    <row r="16" ht="27.75" customHeight="1" s="137">
      <c r="A16" s="55" t="inlineStr">
        <is>
          <t>4ft Table Florals</t>
        </is>
      </c>
      <c r="B16" s="56" t="inlineStr">
        <is>
          <t>Flowers at 38</t>
        </is>
      </c>
      <c r="C16" s="131" t="n">
        <v>14</v>
      </c>
      <c r="D16" s="160" t="n">
        <v>90</v>
      </c>
      <c r="E16" s="164">
        <f>C16*D16</f>
        <v/>
      </c>
      <c r="F16" s="164">
        <f>IFERROR(E16*(1+VLOOKUP(I16,CategoryTable,2,FALSE)),0)</f>
        <v/>
      </c>
      <c r="G16" s="32">
        <f>'Client Setup'!B19</f>
        <v/>
      </c>
      <c r="H16" s="33" t="inlineStr">
        <is>
          <t>Trio gold bud vases, cherry blossom, ranunculus, astilbe + 2 votives</t>
        </is>
      </c>
      <c r="I16" s="238" t="inlineStr">
        <is>
          <t>Décor &amp; Design</t>
        </is>
      </c>
      <c r="J16" s="8">
        <f>IF(A16="","",A16&amp;" x"&amp;C16)</f>
        <v/>
      </c>
      <c r="K16" s="161">
        <f>IF(A16="","",ROUNDUP(F16/10,0)*10)</f>
        <v/>
      </c>
      <c r="L16" s="1" t="n"/>
      <c r="M16" s="149" t="inlineStr">
        <is>
          <t>Seating</t>
        </is>
      </c>
      <c r="N16" s="161">
        <f>ROUNDUP(SUM(F35:F42)/50,0)*50</f>
        <v/>
      </c>
      <c r="O16" s="1" t="n"/>
      <c r="P16" s="1" t="n"/>
      <c r="Q16" s="1" t="n"/>
      <c r="R16" s="1" t="n"/>
      <c r="S16" s="1" t="n"/>
      <c r="T16" s="1" t="n"/>
      <c r="U16" s="1" t="n"/>
      <c r="V16" s="1" t="n"/>
      <c r="W16" s="1" t="n"/>
      <c r="X16" s="1" t="n"/>
      <c r="Y16" s="1" t="n"/>
      <c r="Z16" s="1" t="n"/>
    </row>
    <row r="17" ht="27.75" customHeight="1" s="137">
      <c r="A17" s="55" t="inlineStr">
        <is>
          <t>Cocktail Table Florals</t>
        </is>
      </c>
      <c r="B17" s="56" t="inlineStr">
        <is>
          <t>Flowers at 38</t>
        </is>
      </c>
      <c r="C17" s="131" t="n">
        <v>14</v>
      </c>
      <c r="D17" s="160" t="n">
        <v>31</v>
      </c>
      <c r="E17" s="164">
        <f>C17*D17</f>
        <v/>
      </c>
      <c r="F17" s="164">
        <f>IFERROR(E17*(1+VLOOKUP(I17,CategoryTable,2,FALSE)),0)</f>
        <v/>
      </c>
      <c r="G17" s="32">
        <f>'Client Setup'!B19</f>
        <v/>
      </c>
      <c r="H17" s="33" t="inlineStr">
        <is>
          <t>Single bud vase + single ribbed votive</t>
        </is>
      </c>
      <c r="I17" s="238" t="inlineStr">
        <is>
          <t>Décor &amp; Design</t>
        </is>
      </c>
      <c r="J17" s="8">
        <f>IF(A17="","",A17&amp;" x"&amp;C17)</f>
        <v/>
      </c>
      <c r="K17" s="161">
        <f>IF(A17="","",ROUNDUP(F17/10,0)*10)</f>
        <v/>
      </c>
      <c r="L17" s="1" t="n"/>
      <c r="M17" s="149" t="inlineStr">
        <is>
          <t>Lounge Furniture</t>
        </is>
      </c>
      <c r="N17" s="161">
        <f>ROUNDUP(SUM(F44:F51)/50,0)*50</f>
        <v/>
      </c>
      <c r="O17" s="1" t="n"/>
      <c r="P17" s="1" t="n"/>
      <c r="Q17" s="1" t="n"/>
      <c r="R17" s="1" t="n"/>
      <c r="S17" s="1" t="n"/>
      <c r="T17" s="1" t="n"/>
      <c r="U17" s="1" t="n"/>
      <c r="V17" s="1" t="n"/>
      <c r="W17" s="1" t="n"/>
      <c r="X17" s="1" t="n"/>
      <c r="Y17" s="1" t="n"/>
      <c r="Z17" s="1" t="n"/>
    </row>
    <row r="18" ht="27.75" customHeight="1" s="137">
      <c r="A18" s="55" t="inlineStr">
        <is>
          <t>Side Table Florals</t>
        </is>
      </c>
      <c r="B18" s="56" t="inlineStr">
        <is>
          <t>Flowers at 38</t>
        </is>
      </c>
      <c r="C18" s="131" t="n">
        <v>2</v>
      </c>
      <c r="D18" s="160" t="n">
        <v>96</v>
      </c>
      <c r="E18" s="164">
        <f>C18*D18</f>
        <v/>
      </c>
      <c r="F18" s="164">
        <f>IFERROR(E18*(1+VLOOKUP(I18,CategoryTable,2,FALSE)),0)</f>
        <v/>
      </c>
      <c r="G18" s="32">
        <f>'Client Setup'!B19</f>
        <v/>
      </c>
      <c r="H18" s="33" t="inlineStr">
        <is>
          <t>Trio gold bud vases, cherry blossom, ranunculus, astilbe + 4 votives</t>
        </is>
      </c>
      <c r="I18" s="238" t="inlineStr">
        <is>
          <t>Décor &amp; Design</t>
        </is>
      </c>
      <c r="J18" s="8">
        <f>IF(A18="","",A18&amp;" x"&amp;C18)</f>
        <v/>
      </c>
      <c r="K18" s="161">
        <f>IF(A18="","",ROUNDUP(F18/10,0)*10)</f>
        <v/>
      </c>
      <c r="L18" s="1" t="n"/>
      <c r="M18" s="149" t="inlineStr">
        <is>
          <t>Tables</t>
        </is>
      </c>
      <c r="N18" s="161">
        <f>ROUNDUP(SUM(F53:F60)/50,0)*50</f>
        <v/>
      </c>
      <c r="O18" s="1" t="n"/>
      <c r="P18" s="1" t="n"/>
      <c r="Q18" s="1" t="n"/>
      <c r="R18" s="1" t="n"/>
      <c r="S18" s="1" t="n"/>
      <c r="T18" s="1" t="n"/>
      <c r="U18" s="1" t="n"/>
      <c r="V18" s="1" t="n"/>
      <c r="W18" s="1" t="n"/>
      <c r="X18" s="1" t="n"/>
      <c r="Y18" s="1" t="n"/>
      <c r="Z18" s="1" t="n"/>
    </row>
    <row r="19" ht="27.75" customHeight="1" s="137">
      <c r="A19" s="55" t="n"/>
      <c r="B19" s="56" t="n"/>
      <c r="C19" s="131" t="n"/>
      <c r="D19" s="160" t="n"/>
      <c r="E19" s="164">
        <f>C19*D19</f>
        <v/>
      </c>
      <c r="F19" s="164">
        <f>IFERROR(E19*(1+VLOOKUP(I19,CategoryTable,2,FALSE)),0)</f>
        <v/>
      </c>
      <c r="G19" s="32">
        <f>'Client Setup'!B19</f>
        <v/>
      </c>
      <c r="H19" s="33" t="n"/>
      <c r="I19" s="238" t="inlineStr">
        <is>
          <t>Décor &amp; Design</t>
        </is>
      </c>
      <c r="J19" s="8">
        <f>IF(A19="","",A19&amp;" x"&amp;C19)</f>
        <v/>
      </c>
      <c r="K19" s="161">
        <f>IF(A19="","",ROUNDUP(F19/10,0)*10)</f>
        <v/>
      </c>
      <c r="L19" s="1" t="n"/>
      <c r="M19" s="149" t="inlineStr">
        <is>
          <t>Decor &amp; Accessories</t>
        </is>
      </c>
      <c r="N19" s="161">
        <f>ROUNDUP(SUM(F62:F67)/50,0)*50</f>
        <v/>
      </c>
      <c r="O19" s="1" t="n"/>
      <c r="P19" s="1" t="n"/>
      <c r="Q19" s="1" t="n"/>
      <c r="R19" s="1" t="n"/>
      <c r="S19" s="1" t="n"/>
      <c r="T19" s="1" t="n"/>
      <c r="U19" s="1" t="n"/>
      <c r="V19" s="1" t="n"/>
      <c r="W19" s="1" t="n"/>
      <c r="X19" s="1" t="n"/>
      <c r="Y19" s="1" t="n"/>
      <c r="Z19" s="1" t="n"/>
    </row>
    <row r="20" ht="21.75" customHeight="1" s="137">
      <c r="A20" s="55" t="n"/>
      <c r="B20" s="56" t="n"/>
      <c r="C20" s="131" t="n"/>
      <c r="D20" s="160" t="n"/>
      <c r="E20" s="164">
        <f>C20*D20</f>
        <v/>
      </c>
      <c r="F20" s="164">
        <f>IFERROR(E20*(1+VLOOKUP(I20,CategoryTable,2,FALSE)),0)</f>
        <v/>
      </c>
      <c r="G20" s="32">
        <f>'Client Setup'!B19</f>
        <v/>
      </c>
      <c r="H20" s="33" t="n"/>
      <c r="I20" s="238" t="inlineStr">
        <is>
          <t>Décor &amp; Design</t>
        </is>
      </c>
      <c r="J20" s="8">
        <f>IF(A20="","",A20&amp;" x"&amp;C20)</f>
        <v/>
      </c>
      <c r="K20" s="161">
        <f>IF(A20="","",ROUNDUP(F20/10,0)*10)</f>
        <v/>
      </c>
      <c r="L20" s="1" t="n"/>
      <c r="M20" s="149" t="inlineStr">
        <is>
          <t>Delivery &amp; Fees</t>
        </is>
      </c>
      <c r="N20" s="161">
        <f>ROUNDUP((SUM(F27:F29)+SUM(F69:F74)+SUM(F91:F95))/50,0)*50</f>
        <v/>
      </c>
      <c r="O20" s="1" t="n"/>
      <c r="P20" s="1" t="n"/>
      <c r="Q20" s="1" t="n"/>
      <c r="R20" s="1" t="n"/>
      <c r="S20" s="1" t="n"/>
      <c r="T20" s="1" t="n"/>
      <c r="U20" s="1" t="n"/>
      <c r="V20" s="1" t="n"/>
      <c r="W20" s="1" t="n"/>
      <c r="X20" s="1" t="n"/>
      <c r="Y20" s="1" t="n"/>
      <c r="Z20" s="1" t="n"/>
    </row>
    <row r="21" ht="30" customHeight="1" s="137">
      <c r="A21" s="55" t="n"/>
      <c r="B21" s="56" t="n"/>
      <c r="C21" s="131" t="n"/>
      <c r="D21" s="160" t="n"/>
      <c r="E21" s="164">
        <f>C21*D21</f>
        <v/>
      </c>
      <c r="F21" s="164">
        <f>IFERROR(E21*(1+VLOOKUP(I21,CategoryTable,2,FALSE)),0)</f>
        <v/>
      </c>
      <c r="G21" s="32">
        <f>'Client Setup'!B19</f>
        <v/>
      </c>
      <c r="H21" s="33" t="n"/>
      <c r="I21" s="238" t="inlineStr">
        <is>
          <t>Décor &amp; Design</t>
        </is>
      </c>
      <c r="J21" s="8">
        <f>IF(A21="","",A21&amp;" x"&amp;C21)</f>
        <v/>
      </c>
      <c r="K21" s="161">
        <f>IF(A21="","",ROUNDUP(F21/10,0)*10)</f>
        <v/>
      </c>
      <c r="L21" s="1" t="n"/>
      <c r="M21" s="149">
        <f>A77</f>
        <v/>
      </c>
      <c r="N21" s="161">
        <f>ROUNDUP(SUM(F80:F89)/50,0)*50</f>
        <v/>
      </c>
      <c r="O21" s="1" t="n"/>
      <c r="P21" s="1" t="n"/>
      <c r="Q21" s="1" t="n"/>
      <c r="R21" s="1" t="n"/>
      <c r="S21" s="1" t="n"/>
      <c r="T21" s="1" t="n"/>
      <c r="U21" s="1" t="n"/>
      <c r="V21" s="1" t="n"/>
      <c r="W21" s="1" t="n"/>
      <c r="X21" s="1" t="n"/>
      <c r="Y21" s="1" t="n"/>
      <c r="Z21" s="1" t="n"/>
    </row>
    <row r="22" ht="21.75" customHeight="1" s="137">
      <c r="A22" s="55" t="n"/>
      <c r="B22" s="56" t="n"/>
      <c r="C22" s="131" t="n"/>
      <c r="D22" s="160" t="n"/>
      <c r="E22" s="164">
        <f>C22*D22</f>
        <v/>
      </c>
      <c r="F22" s="164">
        <f>IFERROR(E22*(1+VLOOKUP(I22,CategoryTable,2,FALSE)),0)</f>
        <v/>
      </c>
      <c r="G22" s="32">
        <f>'Client Setup'!B19</f>
        <v/>
      </c>
      <c r="H22" s="33" t="n"/>
      <c r="I22" s="238" t="inlineStr">
        <is>
          <t>Décor &amp; Design</t>
        </is>
      </c>
      <c r="J22" s="8">
        <f>IF(A22="","",A22&amp;" x"&amp;C22)</f>
        <v/>
      </c>
      <c r="K22" s="161">
        <f>IF(A22="","",ROUNDUP(F22/10,0)*10)</f>
        <v/>
      </c>
      <c r="L22" s="1" t="n"/>
      <c r="M22" s="149" t="inlineStr">
        <is>
          <t>Tax</t>
        </is>
      </c>
      <c r="N22" s="161">
        <f>ROUNDUP(F100/50,0)*50</f>
        <v/>
      </c>
      <c r="O22" s="1" t="n"/>
      <c r="P22" s="1" t="n"/>
      <c r="Q22" s="1" t="n"/>
      <c r="R22" s="1" t="n"/>
      <c r="S22" s="1" t="n"/>
      <c r="T22" s="1" t="n"/>
      <c r="U22" s="1" t="n"/>
      <c r="V22" s="1" t="n"/>
      <c r="W22" s="1" t="n"/>
      <c r="X22" s="1" t="n"/>
      <c r="Y22" s="1" t="n"/>
      <c r="Z22" s="1" t="n"/>
    </row>
    <row r="23" ht="21.75" customHeight="1" s="137">
      <c r="A23" s="55" t="n"/>
      <c r="B23" s="56" t="n"/>
      <c r="C23" s="131" t="n"/>
      <c r="D23" s="160" t="n"/>
      <c r="E23" s="164">
        <f>C23*D23</f>
        <v/>
      </c>
      <c r="F23" s="164">
        <f>IFERROR(E23*(1+VLOOKUP(I23,CategoryTable,2,FALSE)),0)</f>
        <v/>
      </c>
      <c r="G23" s="32">
        <f>'Client Setup'!B19</f>
        <v/>
      </c>
      <c r="H23" s="33" t="n"/>
      <c r="I23" s="238" t="inlineStr">
        <is>
          <t>Décor &amp; Design</t>
        </is>
      </c>
      <c r="J23" s="8">
        <f>IF(A23="","",A23&amp;" x"&amp;C23)</f>
        <v/>
      </c>
      <c r="K23" s="161">
        <f>IF(A23="","",ROUNDUP(F23/10,0)*10)</f>
        <v/>
      </c>
      <c r="L23" s="1" t="n"/>
      <c r="M23" s="57" t="n"/>
      <c r="N23" s="57" t="n"/>
      <c r="O23" s="1" t="n"/>
      <c r="P23" s="1" t="n"/>
      <c r="Q23" s="1" t="n"/>
      <c r="R23" s="1" t="n"/>
      <c r="S23" s="1" t="n"/>
      <c r="T23" s="1" t="n"/>
      <c r="U23" s="1" t="n"/>
      <c r="V23" s="1" t="n"/>
      <c r="W23" s="1" t="n"/>
      <c r="X23" s="1" t="n"/>
      <c r="Y23" s="1" t="n"/>
      <c r="Z23" s="1" t="n"/>
    </row>
    <row r="24" ht="21.75" customHeight="1" s="137">
      <c r="A24" s="55" t="n"/>
      <c r="B24" s="56" t="n"/>
      <c r="C24" s="131" t="n"/>
      <c r="D24" s="160" t="n"/>
      <c r="E24" s="164">
        <f>C24*D24</f>
        <v/>
      </c>
      <c r="F24" s="164">
        <f>IFERROR(E24*(1+VLOOKUP(I24,CategoryTable,2,FALSE)),0)</f>
        <v/>
      </c>
      <c r="G24" s="32">
        <f>'Client Setup'!B19</f>
        <v/>
      </c>
      <c r="H24" s="33" t="n"/>
      <c r="I24" s="238" t="inlineStr">
        <is>
          <t>Décor &amp; Design</t>
        </is>
      </c>
      <c r="J24" s="8">
        <f>IF(A24="","",A24&amp;" x"&amp;C24)</f>
        <v/>
      </c>
      <c r="K24" s="161">
        <f>IF(A24="","",ROUNDUP(F24/10,0)*10)</f>
        <v/>
      </c>
      <c r="L24" s="1" t="n"/>
      <c r="M24" s="148" t="inlineStr">
        <is>
          <t>TOTAL ESTIMATE</t>
        </is>
      </c>
      <c r="N24" s="163">
        <f>SUM(N15:N22)</f>
        <v/>
      </c>
      <c r="O24" s="1" t="n"/>
      <c r="P24" s="1" t="n"/>
      <c r="Q24" s="1" t="n"/>
      <c r="R24" s="1" t="n"/>
      <c r="S24" s="1" t="n"/>
      <c r="T24" s="1" t="n"/>
      <c r="U24" s="1" t="n"/>
      <c r="V24" s="1" t="n"/>
      <c r="W24" s="1" t="n"/>
      <c r="X24" s="1" t="n"/>
      <c r="Y24" s="1" t="n"/>
      <c r="Z24" s="1" t="n"/>
    </row>
    <row r="25" ht="21.75" customHeight="1" s="137">
      <c r="A25" s="55" t="n"/>
      <c r="B25" s="56" t="n"/>
      <c r="C25" s="131" t="n"/>
      <c r="D25" s="160" t="n"/>
      <c r="E25" s="164">
        <f>C25*D25</f>
        <v/>
      </c>
      <c r="F25" s="164">
        <f>IFERROR(E25*(1+VLOOKUP(I25,CategoryTable,2,FALSE)),0)</f>
        <v/>
      </c>
      <c r="G25" s="32">
        <f>'Client Setup'!B19</f>
        <v/>
      </c>
      <c r="H25" s="33" t="n"/>
      <c r="I25" s="238" t="inlineStr">
        <is>
          <t>Décor &amp; Design</t>
        </is>
      </c>
      <c r="J25" s="8">
        <f>IF(A25="","",A25&amp;" x"&amp;C25)</f>
        <v/>
      </c>
      <c r="K25" s="161">
        <f>IF(A25="","",ROUNDUP(F25/10,0)*10)</f>
        <v/>
      </c>
      <c r="L25" s="1" t="n"/>
      <c r="M25" s="146" t="inlineStr">
        <is>
          <t>Guest Count</t>
        </is>
      </c>
      <c r="N25" s="34">
        <f>'Client Setup'!B7</f>
        <v/>
      </c>
      <c r="O25" s="1" t="n"/>
      <c r="P25" s="1" t="n"/>
      <c r="Q25" s="1" t="n"/>
      <c r="R25" s="1" t="n"/>
      <c r="S25" s="1" t="n"/>
      <c r="T25" s="1" t="n"/>
      <c r="U25" s="1" t="n"/>
      <c r="V25" s="1" t="n"/>
      <c r="W25" s="1" t="n"/>
      <c r="X25" s="1" t="n"/>
      <c r="Y25" s="1" t="n"/>
      <c r="Z25" s="1" t="n"/>
    </row>
    <row r="26" ht="24" customHeight="1" s="137">
      <c r="A26" s="39" t="inlineStr">
        <is>
          <t>NON-TAXABLE FLORAL FEES</t>
        </is>
      </c>
      <c r="I26" s="1" t="n"/>
      <c r="J26" s="8">
        <f>IF(A27="","",A27)</f>
        <v/>
      </c>
      <c r="K26" s="161">
        <f>IF(A27="","",ROUNDUP(F27/10,0)*10)</f>
        <v/>
      </c>
      <c r="L26" s="1" t="n"/>
      <c r="M26" s="58" t="n"/>
      <c r="N26" s="58" t="n"/>
      <c r="O26" s="1" t="n"/>
      <c r="P26" s="1" t="n"/>
      <c r="Q26" s="1" t="n"/>
      <c r="R26" s="1" t="n"/>
      <c r="S26" s="1" t="n"/>
      <c r="T26" s="1" t="n"/>
      <c r="U26" s="1" t="n"/>
      <c r="V26" s="1" t="n"/>
      <c r="W26" s="1" t="n"/>
      <c r="X26" s="1" t="n"/>
      <c r="Y26" s="1" t="n"/>
      <c r="Z26" s="1" t="n"/>
    </row>
    <row r="27" ht="6" customHeight="1" s="137">
      <c r="A27" s="55" t="inlineStr">
        <is>
          <t>Delivery/Setup &amp; Strike</t>
        </is>
      </c>
      <c r="B27" s="56" t="inlineStr">
        <is>
          <t>Flowers at 38</t>
        </is>
      </c>
      <c r="C27" s="59" t="n"/>
      <c r="D27" s="160" t="n">
        <v>188.6</v>
      </c>
      <c r="E27" s="164">
        <f>D27</f>
        <v/>
      </c>
      <c r="F27" s="164">
        <f>IFERROR(E27*(1+VLOOKUP(I27,CategoryTable,2,FALSE)),0)</f>
        <v/>
      </c>
      <c r="G27" s="32" t="n">
        <v>0</v>
      </c>
      <c r="H27" s="33" t="inlineStr">
        <is>
          <t>Tax exempt on vendor invoice — resale on file</t>
        </is>
      </c>
      <c r="I27" s="238" t="inlineStr">
        <is>
          <t>Delivery &amp; Logistics</t>
        </is>
      </c>
      <c r="J27" s="8">
        <f>IF(A28="","",A28)</f>
        <v/>
      </c>
      <c r="K27" s="161">
        <f>IF(A28="","",ROUNDUP(F28/10,0)*10)</f>
        <v/>
      </c>
      <c r="L27" s="1" t="n"/>
      <c r="M27" s="1" t="n"/>
      <c r="N27" s="1" t="n"/>
      <c r="O27" s="1" t="n"/>
      <c r="P27" s="1" t="n"/>
      <c r="Q27" s="1" t="n"/>
      <c r="R27" s="1" t="n"/>
      <c r="S27" s="1" t="n"/>
      <c r="T27" s="1" t="n"/>
      <c r="U27" s="1" t="n"/>
      <c r="V27" s="1" t="n"/>
      <c r="W27" s="1" t="n"/>
      <c r="X27" s="1" t="n"/>
      <c r="Y27" s="1" t="n"/>
      <c r="Z27" s="1" t="n"/>
    </row>
    <row r="28" ht="21.75" customHeight="1" s="137">
      <c r="A28" s="55" t="n"/>
      <c r="B28" s="56" t="n"/>
      <c r="C28" s="59" t="n"/>
      <c r="D28" s="160" t="n"/>
      <c r="E28" s="164">
        <f>D28</f>
        <v/>
      </c>
      <c r="F28" s="164">
        <f>IFERROR(E28*(1+VLOOKUP(I28,CategoryTable,2,FALSE)),0)</f>
        <v/>
      </c>
      <c r="G28" s="32" t="n">
        <v>0</v>
      </c>
      <c r="H28" s="33" t="n"/>
      <c r="I28" s="238" t="inlineStr">
        <is>
          <t>Delivery &amp; Logistics</t>
        </is>
      </c>
      <c r="J28" s="8">
        <f>IF(A29="","",A29)</f>
        <v/>
      </c>
      <c r="K28" s="161">
        <f>IF(A29="","",ROUNDUP(F29/10,0)*10)</f>
        <v/>
      </c>
      <c r="L28" s="1" t="n"/>
      <c r="M28" s="133" t="inlineStr">
        <is>
          <t>TEAM NOTES</t>
        </is>
      </c>
      <c r="O28" s="1" t="n"/>
      <c r="P28" s="1" t="n"/>
      <c r="Q28" s="1" t="n"/>
      <c r="R28" s="1" t="n"/>
      <c r="S28" s="1" t="n"/>
      <c r="T28" s="1" t="n"/>
      <c r="U28" s="1" t="n"/>
      <c r="V28" s="1" t="n"/>
      <c r="W28" s="1" t="n"/>
      <c r="X28" s="1" t="n"/>
      <c r="Y28" s="1" t="n"/>
      <c r="Z28" s="1" t="n"/>
    </row>
    <row r="29" ht="21.75" customHeight="1" s="137">
      <c r="A29" s="55" t="n"/>
      <c r="B29" s="56" t="n"/>
      <c r="C29" s="59" t="n"/>
      <c r="D29" s="160" t="n"/>
      <c r="E29" s="164">
        <f>D29</f>
        <v/>
      </c>
      <c r="F29" s="164">
        <f>IFERROR(E29*(1+VLOOKUP(I29,CategoryTable,2,FALSE)),0)</f>
        <v/>
      </c>
      <c r="G29" s="32" t="n">
        <v>0</v>
      </c>
      <c r="H29" s="33" t="n"/>
      <c r="I29" s="238" t="inlineStr">
        <is>
          <t>Delivery &amp; Logistics</t>
        </is>
      </c>
      <c r="J29" s="60" t="inlineStr">
        <is>
          <t>Floral Subtotal</t>
        </is>
      </c>
      <c r="K29" s="179">
        <f>SUM(K16:K28)</f>
        <v/>
      </c>
      <c r="L29" s="1" t="n"/>
      <c r="M29" s="37" t="inlineStr">
        <is>
          <t>Floral Vendor:</t>
        </is>
      </c>
      <c r="O29" s="1" t="n"/>
      <c r="P29" s="1" t="n"/>
      <c r="Q29" s="1" t="n"/>
      <c r="R29" s="1" t="n"/>
      <c r="S29" s="1" t="n"/>
      <c r="T29" s="1" t="n"/>
      <c r="U29" s="1" t="n"/>
      <c r="V29" s="1" t="n"/>
      <c r="W29" s="1" t="n"/>
      <c r="X29" s="1" t="n"/>
      <c r="Y29" s="1" t="n"/>
      <c r="Z29" s="1" t="n"/>
    </row>
    <row r="30" ht="21.75" customHeight="1" s="137">
      <c r="A30" s="43" t="inlineStr">
        <is>
          <t>FLORAL SUBTOTAL</t>
        </is>
      </c>
      <c r="B30" s="62" t="n"/>
      <c r="C30" s="62" t="n"/>
      <c r="D30" s="62" t="n"/>
      <c r="E30" s="166">
        <f>SUM(E16:E25)+SUM(E27:E29)</f>
        <v/>
      </c>
      <c r="F30" s="166">
        <f>SUM(F16:F25)+SUM(F27:F29)</f>
        <v/>
      </c>
      <c r="G30" s="62" t="n"/>
      <c r="H30" s="62" t="n"/>
      <c r="I30" s="1" t="n"/>
      <c r="J30" s="63" t="n"/>
      <c r="K30" s="63" t="n"/>
      <c r="L30" s="1" t="n"/>
      <c r="M30" s="38" t="n"/>
      <c r="O30" s="1" t="n"/>
      <c r="P30" s="1" t="n"/>
      <c r="Q30" s="1" t="n"/>
      <c r="R30" s="1" t="n"/>
      <c r="S30" s="1" t="n"/>
      <c r="T30" s="1" t="n"/>
      <c r="U30" s="1" t="n"/>
      <c r="V30" s="1" t="n"/>
      <c r="W30" s="1" t="n"/>
      <c r="X30" s="1" t="n"/>
      <c r="Y30" s="1" t="n"/>
      <c r="Z30" s="1" t="n"/>
    </row>
    <row r="31" ht="21.75" customHeight="1" s="137">
      <c r="A31" s="1" t="n"/>
      <c r="B31" s="1" t="n"/>
      <c r="C31" s="1" t="n"/>
      <c r="D31" s="1" t="n"/>
      <c r="E31" s="1" t="n"/>
      <c r="F31" s="1" t="n"/>
      <c r="G31" s="1" t="n"/>
      <c r="H31" s="1" t="n"/>
      <c r="I31" s="1" t="n"/>
      <c r="J31" s="54">
        <f>A32</f>
        <v/>
      </c>
      <c r="L31" s="1" t="n"/>
      <c r="M31" s="37" t="inlineStr">
        <is>
          <t>Rental Vendor(s):</t>
        </is>
      </c>
      <c r="O31" s="1" t="n"/>
      <c r="P31" s="1" t="n"/>
      <c r="Q31" s="1" t="n"/>
      <c r="R31" s="1" t="n"/>
      <c r="S31" s="1" t="n"/>
      <c r="T31" s="1" t="n"/>
      <c r="U31" s="1" t="n"/>
      <c r="V31" s="1" t="n"/>
      <c r="W31" s="1" t="n"/>
      <c r="X31" s="1" t="n"/>
      <c r="Y31" s="1" t="n"/>
      <c r="Z31" s="1" t="n"/>
    </row>
    <row r="32" ht="21.75" customHeight="1" s="137">
      <c r="A32" s="133" t="inlineStr">
        <is>
          <t>RENTALS &amp; LOUNGE</t>
        </is>
      </c>
      <c r="I32" s="1" t="n"/>
      <c r="J32" s="8">
        <f>IF(A35="","",A35&amp;" x"&amp;C35)</f>
        <v/>
      </c>
      <c r="K32" s="161">
        <f>IF(A35="","",ROUNDUP(F35/10,0)*10)</f>
        <v/>
      </c>
      <c r="L32" s="1" t="n"/>
      <c r="M32" s="38" t="n"/>
      <c r="O32" s="1" t="n"/>
      <c r="P32" s="1" t="n"/>
      <c r="Q32" s="1" t="n"/>
      <c r="R32" s="1" t="n"/>
      <c r="S32" s="1" t="n"/>
      <c r="T32" s="1" t="n"/>
      <c r="U32" s="1" t="n"/>
      <c r="V32" s="1" t="n"/>
      <c r="W32" s="1" t="n"/>
      <c r="X32" s="1" t="n"/>
      <c r="Y32" s="1" t="n"/>
      <c r="Z32" s="1" t="n"/>
    </row>
    <row r="33" ht="21.75" customHeight="1" s="137">
      <c r="A33" s="22" t="inlineStr">
        <is>
          <t>Item</t>
        </is>
      </c>
      <c r="B33" s="22" t="inlineStr">
        <is>
          <t>Vendor</t>
        </is>
      </c>
      <c r="C33" s="22" t="inlineStr">
        <is>
          <t>Qty</t>
        </is>
      </c>
      <c r="D33" s="22" t="inlineStr">
        <is>
          <t>Unit Price</t>
        </is>
      </c>
      <c r="E33" s="22" t="inlineStr">
        <is>
          <t>Our Cost</t>
        </is>
      </c>
      <c r="F33" s="22" t="inlineStr">
        <is>
          <t>Client Cost</t>
        </is>
      </c>
      <c r="G33" s="22" t="inlineStr">
        <is>
          <t>Tax Rate</t>
        </is>
      </c>
      <c r="H33" s="22" t="inlineStr">
        <is>
          <t>Notes / Description</t>
        </is>
      </c>
      <c r="I33" s="1" t="n"/>
      <c r="J33" s="8">
        <f>IF(A36="","",A36&amp;" x"&amp;C36)</f>
        <v/>
      </c>
      <c r="K33" s="161">
        <f>IF(A36="","",ROUNDUP(F36/10,0)*10)</f>
        <v/>
      </c>
      <c r="L33" s="1" t="n"/>
      <c r="M33" s="37" t="inlineStr">
        <is>
          <t>AV Vendor:</t>
        </is>
      </c>
      <c r="O33" s="1" t="n"/>
      <c r="P33" s="1" t="n"/>
      <c r="Q33" s="1" t="n"/>
      <c r="R33" s="1" t="n"/>
      <c r="S33" s="1" t="n"/>
      <c r="T33" s="1" t="n"/>
      <c r="U33" s="1" t="n"/>
      <c r="V33" s="1" t="n"/>
      <c r="W33" s="1" t="n"/>
      <c r="X33" s="1" t="n"/>
      <c r="Y33" s="1" t="n"/>
      <c r="Z33" s="1" t="n"/>
    </row>
    <row r="34" ht="21.75" customHeight="1" s="137">
      <c r="A34" s="27" t="inlineStr">
        <is>
          <t>SEATING  (chairs, barstools, banquettes)</t>
        </is>
      </c>
      <c r="I34" s="1" t="n"/>
      <c r="J34" s="8">
        <f>IF(A37="","",A37&amp;" x"&amp;C37)</f>
        <v/>
      </c>
      <c r="K34" s="161">
        <f>IF(A37="","",ROUNDUP(F37/10,0)*10)</f>
        <v/>
      </c>
      <c r="L34" s="1" t="n"/>
      <c r="M34" s="38" t="n"/>
      <c r="O34" s="1" t="n"/>
      <c r="P34" s="1" t="n"/>
      <c r="Q34" s="1" t="n"/>
      <c r="R34" s="1" t="n"/>
      <c r="S34" s="1" t="n"/>
      <c r="T34" s="1" t="n"/>
      <c r="U34" s="1" t="n"/>
      <c r="V34" s="1" t="n"/>
      <c r="W34" s="1" t="n"/>
      <c r="X34" s="1" t="n"/>
      <c r="Y34" s="1" t="n"/>
      <c r="Z34" s="1" t="n"/>
    </row>
    <row r="35" ht="21.75" customHeight="1" s="137">
      <c r="A35" s="55" t="inlineStr">
        <is>
          <t>Paris Oval Back Chair</t>
        </is>
      </c>
      <c r="B35" s="56" t="inlineStr">
        <is>
          <t>White Glove</t>
        </is>
      </c>
      <c r="C35" s="131" t="n">
        <v>84</v>
      </c>
      <c r="D35" s="160" t="n">
        <v>21</v>
      </c>
      <c r="E35" s="164">
        <f>C35*D35</f>
        <v/>
      </c>
      <c r="F35" s="164">
        <f>IFERROR(E35*(1+VLOOKUP(I35,CategoryTable,2,FALSE)),0)</f>
        <v/>
      </c>
      <c r="G35" s="32">
        <f>'Client Setup'!B19</f>
        <v/>
      </c>
      <c r="H35" s="33" t="n"/>
      <c r="I35" s="238" t="inlineStr">
        <is>
          <t>Décor &amp; Design</t>
        </is>
      </c>
      <c r="J35" s="8">
        <f>IF(A38="","",A38&amp;" x"&amp;C38)</f>
        <v/>
      </c>
      <c r="K35" s="161">
        <f>IF(A38="","",ROUNDUP(F38/10,0)*10)</f>
        <v/>
      </c>
      <c r="L35" s="1" t="n"/>
      <c r="M35" s="37" t="inlineStr">
        <is>
          <t>Design Concept:</t>
        </is>
      </c>
      <c r="O35" s="1" t="n"/>
      <c r="P35" s="1" t="n"/>
      <c r="Q35" s="1" t="n"/>
      <c r="R35" s="1" t="n"/>
      <c r="S35" s="1" t="n"/>
      <c r="T35" s="1" t="n"/>
      <c r="U35" s="1" t="n"/>
      <c r="V35" s="1" t="n"/>
      <c r="W35" s="1" t="n"/>
      <c r="X35" s="1" t="n"/>
      <c r="Y35" s="1" t="n"/>
      <c r="Z35" s="1" t="n"/>
    </row>
    <row r="36" ht="21.75" customHeight="1" s="137">
      <c r="A36" s="55" t="inlineStr">
        <is>
          <t>Ritz Mauve Circular Banquette</t>
        </is>
      </c>
      <c r="B36" s="56" t="inlineStr">
        <is>
          <t>White Glove</t>
        </is>
      </c>
      <c r="C36" s="131" t="n">
        <v>2</v>
      </c>
      <c r="D36" s="160" t="n">
        <v>395</v>
      </c>
      <c r="E36" s="164">
        <f>C36*D36</f>
        <v/>
      </c>
      <c r="F36" s="164">
        <f>IFERROR(E36*(1+VLOOKUP(I36,CategoryTable,2,FALSE)),0)</f>
        <v/>
      </c>
      <c r="G36" s="32">
        <f>'Client Setup'!B19</f>
        <v/>
      </c>
      <c r="H36" s="33" t="n"/>
      <c r="I36" s="238" t="inlineStr">
        <is>
          <t>Décor &amp; Design</t>
        </is>
      </c>
      <c r="J36" s="8">
        <f>IF(A39="","",A39&amp;" x"&amp;C39)</f>
        <v/>
      </c>
      <c r="K36" s="161">
        <f>IF(A39="","",ROUNDUP(F39/10,0)*10)</f>
        <v/>
      </c>
      <c r="L36" s="1" t="n"/>
      <c r="M36" s="38" t="n"/>
      <c r="O36" s="1" t="n"/>
      <c r="P36" s="1" t="n"/>
      <c r="Q36" s="1" t="n"/>
      <c r="R36" s="1" t="n"/>
      <c r="S36" s="1" t="n"/>
      <c r="T36" s="1" t="n"/>
      <c r="U36" s="1" t="n"/>
      <c r="V36" s="1" t="n"/>
      <c r="W36" s="1" t="n"/>
      <c r="X36" s="1" t="n"/>
      <c r="Y36" s="1" t="n"/>
      <c r="Z36" s="1" t="n"/>
    </row>
    <row r="37" ht="21.75" customHeight="1" s="137">
      <c r="A37" s="55" t="n"/>
      <c r="B37" s="56" t="n"/>
      <c r="C37" s="131" t="n"/>
      <c r="D37" s="160" t="n"/>
      <c r="E37" s="164">
        <f>C37*D37</f>
        <v/>
      </c>
      <c r="F37" s="164">
        <f>IFERROR(E37*(1+VLOOKUP(I37,CategoryTable,2,FALSE)),0)</f>
        <v/>
      </c>
      <c r="G37" s="32">
        <f>'Client Setup'!B19</f>
        <v/>
      </c>
      <c r="H37" s="33" t="n"/>
      <c r="I37" s="238" t="inlineStr">
        <is>
          <t>Décor &amp; Design</t>
        </is>
      </c>
      <c r="J37" s="8">
        <f>IF(A40="","",A40&amp;" x"&amp;C40)</f>
        <v/>
      </c>
      <c r="K37" s="161">
        <f>IF(A40="","",ROUNDUP(F40/10,0)*10)</f>
        <v/>
      </c>
      <c r="L37" s="1" t="n"/>
      <c r="M37" s="38" t="n"/>
      <c r="O37" s="1" t="n"/>
      <c r="P37" s="1" t="n"/>
      <c r="Q37" s="1" t="n"/>
      <c r="R37" s="1" t="n"/>
      <c r="S37" s="1" t="n"/>
      <c r="T37" s="1" t="n"/>
      <c r="U37" s="1" t="n"/>
      <c r="V37" s="1" t="n"/>
      <c r="W37" s="1" t="n"/>
      <c r="X37" s="1" t="n"/>
      <c r="Y37" s="1" t="n"/>
      <c r="Z37" s="1" t="n"/>
    </row>
    <row r="38" ht="21.75" customHeight="1" s="137">
      <c r="A38" s="55" t="n"/>
      <c r="B38" s="56" t="n"/>
      <c r="C38" s="131" t="n"/>
      <c r="D38" s="160" t="n"/>
      <c r="E38" s="164">
        <f>C38*D38</f>
        <v/>
      </c>
      <c r="F38" s="164">
        <f>IFERROR(E38*(1+VLOOKUP(I38,CategoryTable,2,FALSE)),0)</f>
        <v/>
      </c>
      <c r="G38" s="32">
        <f>'Client Setup'!B19</f>
        <v/>
      </c>
      <c r="H38" s="33" t="n"/>
      <c r="I38" s="238" t="inlineStr">
        <is>
          <t>Décor &amp; Design</t>
        </is>
      </c>
      <c r="J38" s="8">
        <f>IF(A41="","",A41&amp;" x"&amp;C41)</f>
        <v/>
      </c>
      <c r="K38" s="161">
        <f>IF(A41="","",ROUNDUP(F41/10,0)*10)</f>
        <v/>
      </c>
      <c r="L38" s="1" t="n"/>
      <c r="M38" s="37" t="inlineStr">
        <is>
          <t>Logistics:</t>
        </is>
      </c>
      <c r="O38" s="1" t="n"/>
      <c r="P38" s="1" t="n"/>
      <c r="Q38" s="1" t="n"/>
      <c r="R38" s="1" t="n"/>
      <c r="S38" s="1" t="n"/>
      <c r="T38" s="1" t="n"/>
      <c r="U38" s="1" t="n"/>
      <c r="V38" s="1" t="n"/>
      <c r="W38" s="1" t="n"/>
      <c r="X38" s="1" t="n"/>
      <c r="Y38" s="1" t="n"/>
      <c r="Z38" s="1" t="n"/>
    </row>
    <row r="39" ht="21.75" customHeight="1" s="137">
      <c r="A39" s="55" t="n"/>
      <c r="B39" s="56" t="n"/>
      <c r="C39" s="131" t="n"/>
      <c r="D39" s="160" t="n"/>
      <c r="E39" s="164">
        <f>C39*D39</f>
        <v/>
      </c>
      <c r="F39" s="164">
        <f>IFERROR(E39*(1+VLOOKUP(I39,CategoryTable,2,FALSE)),0)</f>
        <v/>
      </c>
      <c r="G39" s="32">
        <f>'Client Setup'!B19</f>
        <v/>
      </c>
      <c r="H39" s="33" t="n"/>
      <c r="I39" s="238" t="inlineStr">
        <is>
          <t>Décor &amp; Design</t>
        </is>
      </c>
      <c r="J39" s="8">
        <f>IF(A42="","",A42&amp;" x"&amp;C42)</f>
        <v/>
      </c>
      <c r="K39" s="161">
        <f>IF(A42="","",ROUNDUP(F42/10,0)*10)</f>
        <v/>
      </c>
      <c r="L39" s="1" t="n"/>
      <c r="M39" s="38" t="n"/>
      <c r="O39" s="1" t="n"/>
      <c r="P39" s="1" t="n"/>
      <c r="Q39" s="1" t="n"/>
      <c r="R39" s="1" t="n"/>
      <c r="S39" s="1" t="n"/>
      <c r="T39" s="1" t="n"/>
      <c r="U39" s="1" t="n"/>
      <c r="V39" s="1" t="n"/>
      <c r="W39" s="1" t="n"/>
      <c r="X39" s="1" t="n"/>
      <c r="Y39" s="1" t="n"/>
      <c r="Z39" s="1" t="n"/>
    </row>
    <row r="40" ht="21.75" customHeight="1" s="137">
      <c r="A40" s="55" t="n"/>
      <c r="B40" s="56" t="n"/>
      <c r="C40" s="131" t="n"/>
      <c r="D40" s="160" t="n"/>
      <c r="E40" s="164">
        <f>C40*D40</f>
        <v/>
      </c>
      <c r="F40" s="164">
        <f>IFERROR(E40*(1+VLOOKUP(I40,CategoryTable,2,FALSE)),0)</f>
        <v/>
      </c>
      <c r="G40" s="32">
        <f>'Client Setup'!B19</f>
        <v/>
      </c>
      <c r="H40" s="33" t="n"/>
      <c r="I40" s="238" t="inlineStr">
        <is>
          <t>Décor &amp; Design</t>
        </is>
      </c>
      <c r="J40" s="8">
        <f>IF(A44="","",A44&amp;" x"&amp;C44)</f>
        <v/>
      </c>
      <c r="K40" s="161">
        <f>IF(A44="","",ROUNDUP(F44/10,0)*10)</f>
        <v/>
      </c>
      <c r="L40" s="1" t="n"/>
      <c r="M40" s="37" t="inlineStr">
        <is>
          <t>Additional Notes:</t>
        </is>
      </c>
      <c r="O40" s="1" t="n"/>
      <c r="P40" s="1" t="n"/>
      <c r="Q40" s="1" t="n"/>
      <c r="R40" s="1" t="n"/>
      <c r="S40" s="1" t="n"/>
      <c r="T40" s="1" t="n"/>
      <c r="U40" s="1" t="n"/>
      <c r="V40" s="1" t="n"/>
      <c r="W40" s="1" t="n"/>
      <c r="X40" s="1" t="n"/>
      <c r="Y40" s="1" t="n"/>
      <c r="Z40" s="1" t="n"/>
    </row>
    <row r="41" ht="21.75" customHeight="1" s="137">
      <c r="A41" s="55" t="n"/>
      <c r="B41" s="56" t="n"/>
      <c r="C41" s="131" t="n"/>
      <c r="D41" s="160" t="n"/>
      <c r="E41" s="164">
        <f>C41*D41</f>
        <v/>
      </c>
      <c r="F41" s="164">
        <f>IFERROR(E41*(1+VLOOKUP(I41,CategoryTable,2,FALSE)),0)</f>
        <v/>
      </c>
      <c r="G41" s="32">
        <f>'Client Setup'!B19</f>
        <v/>
      </c>
      <c r="H41" s="33" t="n"/>
      <c r="I41" s="238" t="inlineStr">
        <is>
          <t>Décor &amp; Design</t>
        </is>
      </c>
      <c r="J41" s="8">
        <f>IF(A45="","",A45&amp;" x"&amp;C45)</f>
        <v/>
      </c>
      <c r="K41" s="161">
        <f>IF(A45="","",ROUNDUP(F45/10,0)*10)</f>
        <v/>
      </c>
      <c r="L41" s="1" t="n"/>
      <c r="M41" s="38" t="n"/>
      <c r="O41" s="1" t="n"/>
      <c r="P41" s="1" t="n"/>
      <c r="Q41" s="1" t="n"/>
      <c r="R41" s="1" t="n"/>
      <c r="S41" s="1" t="n"/>
      <c r="T41" s="1" t="n"/>
      <c r="U41" s="1" t="n"/>
      <c r="V41" s="1" t="n"/>
      <c r="W41" s="1" t="n"/>
      <c r="X41" s="1" t="n"/>
      <c r="Y41" s="1" t="n"/>
      <c r="Z41" s="1" t="n"/>
    </row>
    <row r="42" ht="21.75" customHeight="1" s="137">
      <c r="A42" s="55" t="n"/>
      <c r="B42" s="56" t="n"/>
      <c r="C42" s="131" t="n"/>
      <c r="D42" s="160" t="n"/>
      <c r="E42" s="164">
        <f>C42*D42</f>
        <v/>
      </c>
      <c r="F42" s="164">
        <f>IFERROR(E42*(1+VLOOKUP(I42,CategoryTable,2,FALSE)),0)</f>
        <v/>
      </c>
      <c r="G42" s="32">
        <f>'Client Setup'!B19</f>
        <v/>
      </c>
      <c r="H42" s="33" t="n"/>
      <c r="I42" s="238" t="inlineStr">
        <is>
          <t>Décor &amp; Design</t>
        </is>
      </c>
      <c r="J42" s="8">
        <f>IF(A46="","",A46&amp;" x"&amp;C46)</f>
        <v/>
      </c>
      <c r="K42" s="161">
        <f>IF(A46="","",ROUNDUP(F46/10,0)*10)</f>
        <v/>
      </c>
      <c r="L42" s="1" t="n"/>
      <c r="M42" s="38" t="n"/>
      <c r="O42" s="1" t="n"/>
      <c r="P42" s="1" t="n"/>
      <c r="Q42" s="1" t="n"/>
      <c r="R42" s="1" t="n"/>
      <c r="S42" s="1" t="n"/>
      <c r="T42" s="1" t="n"/>
      <c r="U42" s="1" t="n"/>
      <c r="V42" s="1" t="n"/>
      <c r="W42" s="1" t="n"/>
      <c r="X42" s="1" t="n"/>
      <c r="Y42" s="1" t="n"/>
      <c r="Z42" s="1" t="n"/>
    </row>
    <row r="43" ht="21.75" customHeight="1" s="137">
      <c r="A43" s="27" t="inlineStr">
        <is>
          <t>LOUNGE  (sofas, sectionals, club chairs)</t>
        </is>
      </c>
      <c r="I43" s="1" t="n"/>
      <c r="J43" s="8">
        <f>IF(A47="","",A47&amp;" x"&amp;C47)</f>
        <v/>
      </c>
      <c r="K43" s="161">
        <f>IF(A47="","",ROUNDUP(F47/10,0)*10)</f>
        <v/>
      </c>
      <c r="L43" s="1" t="n"/>
      <c r="M43" s="1" t="n"/>
      <c r="N43" s="1" t="n"/>
      <c r="O43" s="1" t="n"/>
      <c r="P43" s="1" t="n"/>
      <c r="Q43" s="1" t="n"/>
      <c r="R43" s="1" t="n"/>
      <c r="S43" s="1" t="n"/>
      <c r="T43" s="1" t="n"/>
      <c r="U43" s="1" t="n"/>
      <c r="V43" s="1" t="n"/>
      <c r="W43" s="1" t="n"/>
      <c r="X43" s="1" t="n"/>
      <c r="Y43" s="1" t="n"/>
      <c r="Z43" s="1" t="n"/>
    </row>
    <row r="44" ht="21.75" customHeight="1" s="137">
      <c r="A44" s="55" t="inlineStr">
        <is>
          <t>Gillian Club Chair</t>
        </is>
      </c>
      <c r="B44" s="56" t="inlineStr">
        <is>
          <t>White Glove</t>
        </is>
      </c>
      <c r="C44" s="131" t="n">
        <v>4</v>
      </c>
      <c r="D44" s="160" t="n">
        <v>165</v>
      </c>
      <c r="E44" s="164">
        <f>C44*D44</f>
        <v/>
      </c>
      <c r="F44" s="164">
        <f>IFERROR(E44*(1+VLOOKUP(I44,CategoryTable,2,FALSE)),0)</f>
        <v/>
      </c>
      <c r="G44" s="32">
        <f>'Client Setup'!B19</f>
        <v/>
      </c>
      <c r="H44" s="33" t="n"/>
      <c r="I44" s="238" t="inlineStr">
        <is>
          <t>Décor &amp; Design</t>
        </is>
      </c>
      <c r="J44" s="8">
        <f>IF(A48="","",A48&amp;" x"&amp;C48)</f>
        <v/>
      </c>
      <c r="K44" s="161">
        <f>IF(A48="","",ROUNDUP(F48/10,0)*10)</f>
        <v/>
      </c>
      <c r="L44" s="1" t="n"/>
      <c r="M44" s="1" t="n"/>
      <c r="N44" s="1" t="n"/>
      <c r="O44" s="1" t="n"/>
      <c r="P44" s="1" t="n"/>
      <c r="Q44" s="1" t="n"/>
      <c r="R44" s="1" t="n"/>
      <c r="S44" s="1" t="n"/>
      <c r="T44" s="1" t="n"/>
      <c r="U44" s="1" t="n"/>
      <c r="V44" s="1" t="n"/>
      <c r="W44" s="1" t="n"/>
      <c r="X44" s="1" t="n"/>
      <c r="Y44" s="1" t="n"/>
      <c r="Z44" s="1" t="n"/>
    </row>
    <row r="45" ht="21.75" customHeight="1" s="137">
      <c r="A45" s="55" t="inlineStr">
        <is>
          <t>Drift LEFT ARM Section</t>
        </is>
      </c>
      <c r="B45" s="56" t="inlineStr">
        <is>
          <t>White Glove</t>
        </is>
      </c>
      <c r="C45" s="131" t="n">
        <v>2</v>
      </c>
      <c r="D45" s="160" t="n">
        <v>237.5</v>
      </c>
      <c r="E45" s="164">
        <f>C45*D45</f>
        <v/>
      </c>
      <c r="F45" s="164">
        <f>IFERROR(E45*(1+VLOOKUP(I45,CategoryTable,2,FALSE)),0)</f>
        <v/>
      </c>
      <c r="G45" s="32">
        <f>'Client Setup'!B19</f>
        <v/>
      </c>
      <c r="H45" s="33" t="inlineStr">
        <is>
          <t>Creating (2) 3-piece sectionals</t>
        </is>
      </c>
      <c r="I45" s="238" t="inlineStr">
        <is>
          <t>Décor &amp; Design</t>
        </is>
      </c>
      <c r="J45" s="8">
        <f>IF(A49="","",A49&amp;" x"&amp;C49)</f>
        <v/>
      </c>
      <c r="K45" s="161">
        <f>IF(A49="","",ROUNDUP(F49/10,0)*10)</f>
        <v/>
      </c>
      <c r="L45" s="1" t="n"/>
      <c r="M45" s="1" t="n"/>
      <c r="N45" s="1" t="n"/>
      <c r="O45" s="1" t="n"/>
      <c r="P45" s="1" t="n"/>
      <c r="Q45" s="1" t="n"/>
      <c r="R45" s="1" t="n"/>
      <c r="S45" s="1" t="n"/>
      <c r="T45" s="1" t="n"/>
      <c r="U45" s="1" t="n"/>
      <c r="V45" s="1" t="n"/>
      <c r="W45" s="1" t="n"/>
      <c r="X45" s="1" t="n"/>
      <c r="Y45" s="1" t="n"/>
      <c r="Z45" s="1" t="n"/>
    </row>
    <row r="46" ht="21.75" customHeight="1" s="137">
      <c r="A46" s="55" t="inlineStr">
        <is>
          <t>Drift CENTER Section</t>
        </is>
      </c>
      <c r="B46" s="56" t="inlineStr">
        <is>
          <t>White Glove</t>
        </is>
      </c>
      <c r="C46" s="131" t="n">
        <v>2</v>
      </c>
      <c r="D46" s="160" t="n">
        <v>237.5</v>
      </c>
      <c r="E46" s="164">
        <f>C46*D46</f>
        <v/>
      </c>
      <c r="F46" s="164">
        <f>IFERROR(E46*(1+VLOOKUP(I46,CategoryTable,2,FALSE)),0)</f>
        <v/>
      </c>
      <c r="G46" s="32">
        <f>'Client Setup'!B19</f>
        <v/>
      </c>
      <c r="H46" s="33" t="inlineStr">
        <is>
          <t>Creating (2) 3-piece sectionals</t>
        </is>
      </c>
      <c r="I46" s="238" t="inlineStr">
        <is>
          <t>Décor &amp; Design</t>
        </is>
      </c>
      <c r="J46" s="8">
        <f>IF(A50="","",A50&amp;" x"&amp;C50)</f>
        <v/>
      </c>
      <c r="K46" s="161">
        <f>IF(A50="","",ROUNDUP(F50/10,0)*10)</f>
        <v/>
      </c>
      <c r="L46" s="1" t="n"/>
      <c r="M46" s="1" t="n"/>
      <c r="N46" s="1" t="n"/>
      <c r="O46" s="1" t="n"/>
      <c r="P46" s="1" t="n"/>
      <c r="Q46" s="1" t="n"/>
      <c r="R46" s="1" t="n"/>
      <c r="S46" s="1" t="n"/>
      <c r="T46" s="1" t="n"/>
      <c r="U46" s="1" t="n"/>
      <c r="V46" s="1" t="n"/>
      <c r="W46" s="1" t="n"/>
      <c r="X46" s="1" t="n"/>
      <c r="Y46" s="1" t="n"/>
      <c r="Z46" s="1" t="n"/>
    </row>
    <row r="47" ht="21.75" customHeight="1" s="137">
      <c r="A47" s="55" t="inlineStr">
        <is>
          <t>Drift RIGHT ARM Section</t>
        </is>
      </c>
      <c r="B47" s="56" t="inlineStr">
        <is>
          <t>White Glove</t>
        </is>
      </c>
      <c r="C47" s="131" t="n">
        <v>2</v>
      </c>
      <c r="D47" s="160" t="n">
        <v>237.5</v>
      </c>
      <c r="E47" s="164">
        <f>C47*D47</f>
        <v/>
      </c>
      <c r="F47" s="164">
        <f>IFERROR(E47*(1+VLOOKUP(I47,CategoryTable,2,FALSE)),0)</f>
        <v/>
      </c>
      <c r="G47" s="32">
        <f>'Client Setup'!B19</f>
        <v/>
      </c>
      <c r="H47" s="33" t="inlineStr">
        <is>
          <t>Creating (2) 3-piece sectionals</t>
        </is>
      </c>
      <c r="I47" s="238" t="inlineStr">
        <is>
          <t>Décor &amp; Design</t>
        </is>
      </c>
      <c r="J47" s="8">
        <f>IF(A51="","",A51&amp;" x"&amp;C51)</f>
        <v/>
      </c>
      <c r="K47" s="161">
        <f>IF(A51="","",ROUNDUP(F51/10,0)*10)</f>
        <v/>
      </c>
      <c r="L47" s="1" t="n"/>
      <c r="M47" s="1" t="n"/>
      <c r="N47" s="1" t="n"/>
      <c r="O47" s="1" t="n"/>
      <c r="P47" s="1" t="n"/>
      <c r="Q47" s="1" t="n"/>
      <c r="R47" s="1" t="n"/>
      <c r="S47" s="1" t="n"/>
      <c r="T47" s="1" t="n"/>
      <c r="U47" s="1" t="n"/>
      <c r="V47" s="1" t="n"/>
      <c r="W47" s="1" t="n"/>
      <c r="X47" s="1" t="n"/>
      <c r="Y47" s="1" t="n"/>
      <c r="Z47" s="1" t="n"/>
    </row>
    <row r="48" ht="21.75" customHeight="1" s="137">
      <c r="A48" s="55" t="n"/>
      <c r="B48" s="56" t="n"/>
      <c r="C48" s="131" t="n"/>
      <c r="D48" s="160" t="n"/>
      <c r="E48" s="164">
        <f>C48*D48</f>
        <v/>
      </c>
      <c r="F48" s="164">
        <f>IFERROR(E48*(1+VLOOKUP(I48,CategoryTable,2,FALSE)),0)</f>
        <v/>
      </c>
      <c r="G48" s="32">
        <f>'Client Setup'!B19</f>
        <v/>
      </c>
      <c r="H48" s="33" t="n"/>
      <c r="I48" s="238" t="inlineStr">
        <is>
          <t>Décor &amp; Design</t>
        </is>
      </c>
      <c r="J48" s="8">
        <f>IF(A53="","",A53&amp;" x"&amp;C53)</f>
        <v/>
      </c>
      <c r="K48" s="161">
        <f>IF(A53="","",ROUNDUP(F53/10,0)*10)</f>
        <v/>
      </c>
      <c r="L48" s="1" t="n"/>
      <c r="M48" s="1" t="n"/>
      <c r="N48" s="1" t="n"/>
      <c r="O48" s="1" t="n"/>
      <c r="P48" s="1" t="n"/>
      <c r="Q48" s="1" t="n"/>
      <c r="R48" s="1" t="n"/>
      <c r="S48" s="1" t="n"/>
      <c r="T48" s="1" t="n"/>
      <c r="U48" s="1" t="n"/>
      <c r="V48" s="1" t="n"/>
      <c r="W48" s="1" t="n"/>
      <c r="X48" s="1" t="n"/>
      <c r="Y48" s="1" t="n"/>
      <c r="Z48" s="1" t="n"/>
    </row>
    <row r="49" ht="21.75" customHeight="1" s="137">
      <c r="A49" s="55" t="n"/>
      <c r="B49" s="56" t="n"/>
      <c r="C49" s="131" t="n"/>
      <c r="D49" s="160" t="n"/>
      <c r="E49" s="164">
        <f>C49*D49</f>
        <v/>
      </c>
      <c r="F49" s="164">
        <f>IFERROR(E49*(1+VLOOKUP(I49,CategoryTable,2,FALSE)),0)</f>
        <v/>
      </c>
      <c r="G49" s="32">
        <f>'Client Setup'!B19</f>
        <v/>
      </c>
      <c r="H49" s="33" t="n"/>
      <c r="I49" s="238" t="inlineStr">
        <is>
          <t>Décor &amp; Design</t>
        </is>
      </c>
      <c r="J49" s="8">
        <f>IF(A54="","",A54&amp;" x"&amp;C54)</f>
        <v/>
      </c>
      <c r="K49" s="161">
        <f>IF(A54="","",ROUNDUP(F54/10,0)*10)</f>
        <v/>
      </c>
      <c r="L49" s="1" t="n"/>
      <c r="M49" s="1" t="n"/>
      <c r="N49" s="1" t="n"/>
      <c r="O49" s="1" t="n"/>
      <c r="P49" s="1" t="n"/>
      <c r="Q49" s="1" t="n"/>
      <c r="R49" s="1" t="n"/>
      <c r="S49" s="1" t="n"/>
      <c r="T49" s="1" t="n"/>
      <c r="U49" s="1" t="n"/>
      <c r="V49" s="1" t="n"/>
      <c r="W49" s="1" t="n"/>
      <c r="X49" s="1" t="n"/>
      <c r="Y49" s="1" t="n"/>
      <c r="Z49" s="1" t="n"/>
    </row>
    <row r="50" ht="21.75" customHeight="1" s="137">
      <c r="A50" s="55" t="n"/>
      <c r="B50" s="56" t="n"/>
      <c r="C50" s="131" t="n"/>
      <c r="D50" s="160" t="n"/>
      <c r="E50" s="164">
        <f>C50*D50</f>
        <v/>
      </c>
      <c r="F50" s="164">
        <f>IFERROR(E50*(1+VLOOKUP(I50,CategoryTable,2,FALSE)),0)</f>
        <v/>
      </c>
      <c r="G50" s="32">
        <f>'Client Setup'!B19</f>
        <v/>
      </c>
      <c r="H50" s="33" t="n"/>
      <c r="I50" s="238" t="inlineStr">
        <is>
          <t>Décor &amp; Design</t>
        </is>
      </c>
      <c r="J50" s="8">
        <f>IF(A55="","",A55&amp;" x"&amp;C55)</f>
        <v/>
      </c>
      <c r="K50" s="161">
        <f>IF(A55="","",ROUNDUP(F55/10,0)*10)</f>
        <v/>
      </c>
      <c r="L50" s="1" t="n"/>
      <c r="M50" s="1" t="n"/>
      <c r="N50" s="1" t="n"/>
      <c r="O50" s="1" t="n"/>
      <c r="P50" s="1" t="n"/>
      <c r="Q50" s="1" t="n"/>
      <c r="R50" s="1" t="n"/>
      <c r="S50" s="1" t="n"/>
      <c r="T50" s="1" t="n"/>
      <c r="U50" s="1" t="n"/>
      <c r="V50" s="1" t="n"/>
      <c r="W50" s="1" t="n"/>
      <c r="X50" s="1" t="n"/>
      <c r="Y50" s="1" t="n"/>
      <c r="Z50" s="1" t="n"/>
    </row>
    <row r="51" ht="21.75" customHeight="1" s="137">
      <c r="A51" s="55" t="n"/>
      <c r="B51" s="56" t="n"/>
      <c r="C51" s="131" t="n"/>
      <c r="D51" s="160" t="n"/>
      <c r="E51" s="164">
        <f>C51*D51</f>
        <v/>
      </c>
      <c r="F51" s="164">
        <f>IFERROR(E51*(1+VLOOKUP(I51,CategoryTable,2,FALSE)),0)</f>
        <v/>
      </c>
      <c r="G51" s="32">
        <f>'Client Setup'!B19</f>
        <v/>
      </c>
      <c r="H51" s="33" t="n"/>
      <c r="I51" s="238" t="inlineStr">
        <is>
          <t>Décor &amp; Design</t>
        </is>
      </c>
      <c r="J51" s="8">
        <f>IF(A56="","",A56&amp;" x"&amp;C56)</f>
        <v/>
      </c>
      <c r="K51" s="161">
        <f>IF(A56="","",ROUNDUP(F56/10,0)*10)</f>
        <v/>
      </c>
      <c r="L51" s="1" t="n"/>
      <c r="M51" s="1" t="n"/>
      <c r="N51" s="1" t="n"/>
      <c r="O51" s="1" t="n"/>
      <c r="P51" s="1" t="n"/>
      <c r="Q51" s="1" t="n"/>
      <c r="R51" s="1" t="n"/>
      <c r="S51" s="1" t="n"/>
      <c r="T51" s="1" t="n"/>
      <c r="U51" s="1" t="n"/>
      <c r="V51" s="1" t="n"/>
      <c r="W51" s="1" t="n"/>
      <c r="X51" s="1" t="n"/>
      <c r="Y51" s="1" t="n"/>
      <c r="Z51" s="1" t="n"/>
    </row>
    <row r="52" ht="21.75" customHeight="1" s="137">
      <c r="A52" s="27" t="inlineStr">
        <is>
          <t>TABLES  (cocktail, coffee, side, dining)</t>
        </is>
      </c>
      <c r="I52" s="1" t="n"/>
      <c r="J52" s="8">
        <f>IF(A57="","",A57&amp;" x"&amp;C57)</f>
        <v/>
      </c>
      <c r="K52" s="161">
        <f>IF(A57="","",ROUNDUP(F57/10,0)*10)</f>
        <v/>
      </c>
      <c r="L52" s="1" t="n"/>
      <c r="M52" s="1" t="n"/>
      <c r="N52" s="1" t="n"/>
      <c r="O52" s="1" t="n"/>
      <c r="P52" s="1" t="n"/>
      <c r="Q52" s="1" t="n"/>
      <c r="R52" s="1" t="n"/>
      <c r="S52" s="1" t="n"/>
      <c r="T52" s="1" t="n"/>
      <c r="U52" s="1" t="n"/>
      <c r="V52" s="1" t="n"/>
      <c r="W52" s="1" t="n"/>
      <c r="X52" s="1" t="n"/>
      <c r="Y52" s="1" t="n"/>
      <c r="Z52" s="1" t="n"/>
    </row>
    <row r="53" ht="21.75" customHeight="1" s="137">
      <c r="A53" s="55" t="inlineStr">
        <is>
          <t>Branch &amp; Root Side Table</t>
        </is>
      </c>
      <c r="B53" s="56" t="inlineStr">
        <is>
          <t>White Glove</t>
        </is>
      </c>
      <c r="C53" s="131" t="n">
        <v>4</v>
      </c>
      <c r="D53" s="160" t="n">
        <v>69</v>
      </c>
      <c r="E53" s="164">
        <f>C53*D53</f>
        <v/>
      </c>
      <c r="F53" s="164">
        <f>IFERROR(E53*(1+VLOOKUP(I53,CategoryTable,2,FALSE)),0)</f>
        <v/>
      </c>
      <c r="G53" s="32">
        <f>'Client Setup'!B19</f>
        <v/>
      </c>
      <c r="H53" s="33" t="n"/>
      <c r="I53" s="238" t="inlineStr">
        <is>
          <t>Décor &amp; Design</t>
        </is>
      </c>
      <c r="J53" s="8">
        <f>IF(A58="","",A58&amp;" x"&amp;C58)</f>
        <v/>
      </c>
      <c r="K53" s="161">
        <f>IF(A58="","",ROUNDUP(F58/10,0)*10)</f>
        <v/>
      </c>
      <c r="L53" s="1" t="n"/>
      <c r="M53" s="1" t="n"/>
      <c r="N53" s="1" t="n"/>
      <c r="O53" s="1" t="n"/>
      <c r="P53" s="1" t="n"/>
      <c r="Q53" s="1" t="n"/>
      <c r="R53" s="1" t="n"/>
      <c r="S53" s="1" t="n"/>
      <c r="T53" s="1" t="n"/>
      <c r="U53" s="1" t="n"/>
      <c r="V53" s="1" t="n"/>
      <c r="W53" s="1" t="n"/>
      <c r="X53" s="1" t="n"/>
      <c r="Y53" s="1" t="n"/>
      <c r="Z53" s="1" t="n"/>
    </row>
    <row r="54" ht="21.75" customHeight="1" s="137">
      <c r="A54" s="55" t="inlineStr">
        <is>
          <t>Belmont Coffee Table</t>
        </is>
      </c>
      <c r="B54" s="56" t="inlineStr">
        <is>
          <t>White Glove</t>
        </is>
      </c>
      <c r="C54" s="131" t="n">
        <v>2</v>
      </c>
      <c r="D54" s="160" t="n">
        <v>129</v>
      </c>
      <c r="E54" s="164">
        <f>C54*D54</f>
        <v/>
      </c>
      <c r="F54" s="164">
        <f>IFERROR(E54*(1+VLOOKUP(I54,CategoryTable,2,FALSE)),0)</f>
        <v/>
      </c>
      <c r="G54" s="32">
        <f>'Client Setup'!B19</f>
        <v/>
      </c>
      <c r="H54" s="33" t="n"/>
      <c r="I54" s="238" t="inlineStr">
        <is>
          <t>Décor &amp; Design</t>
        </is>
      </c>
      <c r="J54" s="8">
        <f>IF(A59="","",A59&amp;" x"&amp;C59)</f>
        <v/>
      </c>
      <c r="K54" s="161">
        <f>IF(A59="","",ROUNDUP(F59/10,0)*10)</f>
        <v/>
      </c>
      <c r="L54" s="1" t="n"/>
      <c r="M54" s="1" t="n"/>
      <c r="N54" s="1" t="n"/>
      <c r="O54" s="1" t="n"/>
      <c r="P54" s="1" t="n"/>
      <c r="Q54" s="1" t="n"/>
      <c r="R54" s="1" t="n"/>
      <c r="S54" s="1" t="n"/>
      <c r="T54" s="1" t="n"/>
      <c r="U54" s="1" t="n"/>
      <c r="V54" s="1" t="n"/>
      <c r="W54" s="1" t="n"/>
      <c r="X54" s="1" t="n"/>
      <c r="Y54" s="1" t="n"/>
      <c r="Z54" s="1" t="n"/>
    </row>
    <row r="55" ht="21.75" customHeight="1" s="137">
      <c r="A55" s="55" t="inlineStr">
        <is>
          <t>Talia Cocktail Table</t>
        </is>
      </c>
      <c r="B55" s="56" t="inlineStr">
        <is>
          <t>White Glove</t>
        </is>
      </c>
      <c r="C55" s="131" t="n">
        <v>14</v>
      </c>
      <c r="D55" s="160" t="n">
        <v>129</v>
      </c>
      <c r="E55" s="164">
        <f>C55*D55</f>
        <v/>
      </c>
      <c r="F55" s="164">
        <f>IFERROR(E55*(1+VLOOKUP(I55,CategoryTable,2,FALSE)),0)</f>
        <v/>
      </c>
      <c r="G55" s="32">
        <f>'Client Setup'!B19</f>
        <v/>
      </c>
      <c r="H55" s="33" t="n"/>
      <c r="I55" s="238" t="inlineStr">
        <is>
          <t>Décor &amp; Design</t>
        </is>
      </c>
      <c r="J55" s="8">
        <f>IF(A60="","",A60&amp;" x"&amp;C60)</f>
        <v/>
      </c>
      <c r="K55" s="161">
        <f>IF(A60="","",ROUNDUP(F60/10,0)*10)</f>
        <v/>
      </c>
      <c r="L55" s="1" t="n"/>
      <c r="M55" s="1" t="n"/>
      <c r="N55" s="1" t="n"/>
      <c r="O55" s="1" t="n"/>
      <c r="P55" s="1" t="n"/>
      <c r="Q55" s="1" t="n"/>
      <c r="R55" s="1" t="n"/>
      <c r="S55" s="1" t="n"/>
      <c r="T55" s="1" t="n"/>
      <c r="U55" s="1" t="n"/>
      <c r="V55" s="1" t="n"/>
      <c r="W55" s="1" t="n"/>
      <c r="X55" s="1" t="n"/>
      <c r="Y55" s="1" t="n"/>
      <c r="Z55" s="1" t="n"/>
    </row>
    <row r="56" ht="21.75" customHeight="1" s="137">
      <c r="A56" s="55" t="n"/>
      <c r="B56" s="56" t="n"/>
      <c r="C56" s="131" t="n"/>
      <c r="D56" s="160" t="n"/>
      <c r="E56" s="164">
        <f>C56*D56</f>
        <v/>
      </c>
      <c r="F56" s="164">
        <f>IFERROR(E56*(1+VLOOKUP(I56,CategoryTable,2,FALSE)),0)</f>
        <v/>
      </c>
      <c r="G56" s="32">
        <f>'Client Setup'!B19</f>
        <v/>
      </c>
      <c r="H56" s="33" t="n"/>
      <c r="I56" s="238" t="inlineStr">
        <is>
          <t>Décor &amp; Design</t>
        </is>
      </c>
      <c r="J56" s="8">
        <f>IF(A62="","",A62&amp;" x"&amp;C62)</f>
        <v/>
      </c>
      <c r="K56" s="161">
        <f>IF(A62="","",ROUNDUP(F62/10,0)*10)</f>
        <v/>
      </c>
      <c r="L56" s="1" t="n"/>
      <c r="M56" s="1" t="n"/>
      <c r="N56" s="1" t="n"/>
      <c r="O56" s="1" t="n"/>
      <c r="P56" s="1" t="n"/>
      <c r="Q56" s="1" t="n"/>
      <c r="R56" s="1" t="n"/>
      <c r="S56" s="1" t="n"/>
      <c r="T56" s="1" t="n"/>
      <c r="U56" s="1" t="n"/>
      <c r="V56" s="1" t="n"/>
      <c r="W56" s="1" t="n"/>
      <c r="X56" s="1" t="n"/>
      <c r="Y56" s="1" t="n"/>
      <c r="Z56" s="1" t="n"/>
    </row>
    <row r="57" ht="21.75" customHeight="1" s="137">
      <c r="A57" s="55" t="n"/>
      <c r="B57" s="56" t="n"/>
      <c r="C57" s="131" t="n"/>
      <c r="D57" s="160" t="n"/>
      <c r="E57" s="164">
        <f>C57*D57</f>
        <v/>
      </c>
      <c r="F57" s="164">
        <f>IFERROR(E57*(1+VLOOKUP(I57,CategoryTable,2,FALSE)),0)</f>
        <v/>
      </c>
      <c r="G57" s="32">
        <f>'Client Setup'!B19</f>
        <v/>
      </c>
      <c r="H57" s="33" t="n"/>
      <c r="I57" s="238" t="inlineStr">
        <is>
          <t>Décor &amp; Design</t>
        </is>
      </c>
      <c r="J57" s="8">
        <f>IF(A63="","",A63&amp;" x"&amp;C63)</f>
        <v/>
      </c>
      <c r="K57" s="161">
        <f>IF(A63="","",ROUNDUP(F63/10,0)*10)</f>
        <v/>
      </c>
      <c r="L57" s="1" t="n"/>
      <c r="M57" s="1" t="n"/>
      <c r="N57" s="1" t="n"/>
      <c r="O57" s="1" t="n"/>
      <c r="P57" s="1" t="n"/>
      <c r="Q57" s="1" t="n"/>
      <c r="R57" s="1" t="n"/>
      <c r="S57" s="1" t="n"/>
      <c r="T57" s="1" t="n"/>
      <c r="U57" s="1" t="n"/>
      <c r="V57" s="1" t="n"/>
      <c r="W57" s="1" t="n"/>
      <c r="X57" s="1" t="n"/>
      <c r="Y57" s="1" t="n"/>
      <c r="Z57" s="1" t="n"/>
    </row>
    <row r="58" ht="21.75" customHeight="1" s="137">
      <c r="A58" s="55" t="n"/>
      <c r="B58" s="56" t="n"/>
      <c r="C58" s="131" t="n"/>
      <c r="D58" s="160" t="n"/>
      <c r="E58" s="164">
        <f>C58*D58</f>
        <v/>
      </c>
      <c r="F58" s="164">
        <f>IFERROR(E58*(1+VLOOKUP(I58,CategoryTable,2,FALSE)),0)</f>
        <v/>
      </c>
      <c r="G58" s="32">
        <f>'Client Setup'!B19</f>
        <v/>
      </c>
      <c r="H58" s="33" t="n"/>
      <c r="I58" s="238" t="inlineStr">
        <is>
          <t>Décor &amp; Design</t>
        </is>
      </c>
      <c r="J58" s="8">
        <f>IF(A64="","",A64&amp;" x"&amp;C64)</f>
        <v/>
      </c>
      <c r="K58" s="161">
        <f>IF(A64="","",ROUNDUP(F64/10,0)*10)</f>
        <v/>
      </c>
      <c r="L58" s="1" t="n"/>
      <c r="M58" s="1" t="n"/>
      <c r="N58" s="1" t="n"/>
      <c r="O58" s="1" t="n"/>
      <c r="P58" s="1" t="n"/>
      <c r="Q58" s="1" t="n"/>
      <c r="R58" s="1" t="n"/>
      <c r="S58" s="1" t="n"/>
      <c r="T58" s="1" t="n"/>
      <c r="U58" s="1" t="n"/>
      <c r="V58" s="1" t="n"/>
      <c r="W58" s="1" t="n"/>
      <c r="X58" s="1" t="n"/>
      <c r="Y58" s="1" t="n"/>
      <c r="Z58" s="1" t="n"/>
    </row>
    <row r="59" ht="21.75" customHeight="1" s="137">
      <c r="A59" s="55" t="n"/>
      <c r="B59" s="56" t="n"/>
      <c r="C59" s="131" t="n"/>
      <c r="D59" s="160" t="n"/>
      <c r="E59" s="164">
        <f>C59*D59</f>
        <v/>
      </c>
      <c r="F59" s="164">
        <f>IFERROR(E59*(1+VLOOKUP(I59,CategoryTable,2,FALSE)),0)</f>
        <v/>
      </c>
      <c r="G59" s="32">
        <f>'Client Setup'!B19</f>
        <v/>
      </c>
      <c r="H59" s="33" t="n"/>
      <c r="I59" s="238" t="inlineStr">
        <is>
          <t>Décor &amp; Design</t>
        </is>
      </c>
      <c r="J59" s="8">
        <f>IF(A65="","",A65&amp;" x"&amp;C65)</f>
        <v/>
      </c>
      <c r="K59" s="161">
        <f>IF(A65="","",ROUNDUP(F65/10,0)*10)</f>
        <v/>
      </c>
      <c r="L59" s="1" t="n"/>
      <c r="M59" s="1" t="n"/>
      <c r="N59" s="1" t="n"/>
      <c r="O59" s="1" t="n"/>
      <c r="P59" s="1" t="n"/>
      <c r="Q59" s="1" t="n"/>
      <c r="R59" s="1" t="n"/>
      <c r="S59" s="1" t="n"/>
      <c r="T59" s="1" t="n"/>
      <c r="U59" s="1" t="n"/>
      <c r="V59" s="1" t="n"/>
      <c r="W59" s="1" t="n"/>
      <c r="X59" s="1" t="n"/>
      <c r="Y59" s="1" t="n"/>
      <c r="Z59" s="1" t="n"/>
    </row>
    <row r="60" ht="21.75" customHeight="1" s="137">
      <c r="A60" s="55" t="n"/>
      <c r="B60" s="56" t="n"/>
      <c r="C60" s="131" t="n"/>
      <c r="D60" s="160" t="n"/>
      <c r="E60" s="164">
        <f>C60*D60</f>
        <v/>
      </c>
      <c r="F60" s="164">
        <f>IFERROR(E60*(1+VLOOKUP(I60,CategoryTable,2,FALSE)),0)</f>
        <v/>
      </c>
      <c r="G60" s="32">
        <f>'Client Setup'!B19</f>
        <v/>
      </c>
      <c r="H60" s="33" t="n"/>
      <c r="I60" s="238" t="inlineStr">
        <is>
          <t>Décor &amp; Design</t>
        </is>
      </c>
      <c r="J60" s="8">
        <f>IF(A66="","",A66&amp;" x"&amp;C66)</f>
        <v/>
      </c>
      <c r="K60" s="161">
        <f>IF(A66="","",ROUNDUP(F66/10,0)*10)</f>
        <v/>
      </c>
      <c r="L60" s="1" t="n"/>
      <c r="M60" s="1" t="n"/>
      <c r="N60" s="1" t="n"/>
      <c r="O60" s="1" t="n"/>
      <c r="P60" s="1" t="n"/>
      <c r="Q60" s="1" t="n"/>
      <c r="R60" s="1" t="n"/>
      <c r="S60" s="1" t="n"/>
      <c r="T60" s="1" t="n"/>
      <c r="U60" s="1" t="n"/>
      <c r="V60" s="1" t="n"/>
      <c r="W60" s="1" t="n"/>
      <c r="X60" s="1" t="n"/>
      <c r="Y60" s="1" t="n"/>
      <c r="Z60" s="1" t="n"/>
    </row>
    <row r="61" ht="21.75" customHeight="1" s="137">
      <c r="A61" s="27" t="inlineStr">
        <is>
          <t>RUGS, DECOR &amp; ACCESSORIES</t>
        </is>
      </c>
      <c r="I61" s="1" t="n"/>
      <c r="J61" s="8">
        <f>IF(A67="","",A67&amp;" x"&amp;C67)</f>
        <v/>
      </c>
      <c r="K61" s="161">
        <f>IF(A67="","",ROUNDUP(F67/10,0)*10)</f>
        <v/>
      </c>
      <c r="L61" s="1" t="n"/>
      <c r="M61" s="1" t="n"/>
      <c r="N61" s="1" t="n"/>
      <c r="O61" s="1" t="n"/>
      <c r="P61" s="1" t="n"/>
      <c r="Q61" s="1" t="n"/>
      <c r="R61" s="1" t="n"/>
      <c r="S61" s="1" t="n"/>
      <c r="T61" s="1" t="n"/>
      <c r="U61" s="1" t="n"/>
      <c r="V61" s="1" t="n"/>
      <c r="W61" s="1" t="n"/>
      <c r="X61" s="1" t="n"/>
      <c r="Y61" s="1" t="n"/>
      <c r="Z61" s="1" t="n"/>
    </row>
    <row r="62" ht="21.75" customHeight="1" s="137">
      <c r="A62" s="55" t="inlineStr">
        <is>
          <t>Edith Pink Medallion Rug (5x8)</t>
        </is>
      </c>
      <c r="B62" s="56" t="inlineStr">
        <is>
          <t>White Glove</t>
        </is>
      </c>
      <c r="C62" s="131" t="n">
        <v>2</v>
      </c>
      <c r="D62" s="160" t="n">
        <v>69</v>
      </c>
      <c r="E62" s="164">
        <f>C62*D62</f>
        <v/>
      </c>
      <c r="F62" s="164">
        <f>IFERROR(E62*(1+VLOOKUP(I62,CategoryTable,2,FALSE)),0)</f>
        <v/>
      </c>
      <c r="G62" s="32">
        <f>'Client Setup'!B19</f>
        <v/>
      </c>
      <c r="H62" s="33" t="n"/>
      <c r="I62" s="238" t="inlineStr">
        <is>
          <t>Décor &amp; Design</t>
        </is>
      </c>
      <c r="J62" s="8">
        <f>IF(A69="","",A69)</f>
        <v/>
      </c>
      <c r="K62" s="161">
        <f>IF(A69="","",ROUNDUP(F69/10,0)*10)</f>
        <v/>
      </c>
      <c r="L62" s="1" t="n"/>
      <c r="M62" s="1" t="n"/>
      <c r="N62" s="1" t="n"/>
      <c r="O62" s="1" t="n"/>
      <c r="P62" s="1" t="n"/>
      <c r="Q62" s="1" t="n"/>
      <c r="R62" s="1" t="n"/>
      <c r="S62" s="1" t="n"/>
      <c r="T62" s="1" t="n"/>
      <c r="U62" s="1" t="n"/>
      <c r="V62" s="1" t="n"/>
      <c r="W62" s="1" t="n"/>
      <c r="X62" s="1" t="n"/>
      <c r="Y62" s="1" t="n"/>
      <c r="Z62" s="1" t="n"/>
    </row>
    <row r="63" ht="21.75" customHeight="1" s="137">
      <c r="A63" s="55" t="inlineStr">
        <is>
          <t>11ft Grand Arch Cherry Blossom Tree</t>
        </is>
      </c>
      <c r="B63" s="56" t="inlineStr">
        <is>
          <t>Dalissa Events</t>
        </is>
      </c>
      <c r="C63" s="131" t="n">
        <v>2</v>
      </c>
      <c r="D63" s="160" t="n">
        <v>450</v>
      </c>
      <c r="E63" s="164">
        <f>C63*D63</f>
        <v/>
      </c>
      <c r="F63" s="164">
        <f>IFERROR(E63*(1+VLOOKUP(I63,CategoryTable,2,FALSE)),0)</f>
        <v/>
      </c>
      <c r="G63" s="32">
        <f>'Client Setup'!B19</f>
        <v/>
      </c>
      <c r="H63" s="33" t="inlineStr">
        <is>
          <t>Blush/Light Pink, 11ft H x 8ft W</t>
        </is>
      </c>
      <c r="I63" s="238" t="inlineStr">
        <is>
          <t>Décor &amp; Design</t>
        </is>
      </c>
      <c r="J63" s="8">
        <f>IF(A70="","",A70)</f>
        <v/>
      </c>
      <c r="K63" s="161">
        <f>IF(A70="","",ROUNDUP(F70/10,0)*10)</f>
        <v/>
      </c>
      <c r="L63" s="1" t="n"/>
      <c r="M63" s="1" t="n"/>
      <c r="N63" s="1" t="n"/>
      <c r="O63" s="1" t="n"/>
      <c r="P63" s="1" t="n"/>
      <c r="Q63" s="1" t="n"/>
      <c r="R63" s="1" t="n"/>
      <c r="S63" s="1" t="n"/>
      <c r="T63" s="1" t="n"/>
      <c r="U63" s="1" t="n"/>
      <c r="V63" s="1" t="n"/>
      <c r="W63" s="1" t="n"/>
      <c r="X63" s="1" t="n"/>
      <c r="Y63" s="1" t="n"/>
      <c r="Z63" s="1" t="n"/>
    </row>
    <row r="64" ht="21.75" customHeight="1" s="137">
      <c r="A64" s="55" t="inlineStr">
        <is>
          <t>Canopy Weight (2lb)</t>
        </is>
      </c>
      <c r="B64" s="56" t="inlineStr">
        <is>
          <t>Dalissa Events</t>
        </is>
      </c>
      <c r="C64" s="131" t="n">
        <v>12</v>
      </c>
      <c r="D64" s="160" t="n">
        <v>0</v>
      </c>
      <c r="E64" s="164">
        <f>C64*D64</f>
        <v/>
      </c>
      <c r="F64" s="164">
        <f>IFERROR(E64*(1+VLOOKUP(I64,CategoryTable,2,FALSE)),0)</f>
        <v/>
      </c>
      <c r="G64" s="32">
        <f>'Client Setup'!B19</f>
        <v/>
      </c>
      <c r="H64" s="33" t="inlineStr">
        <is>
          <t>Included with trees</t>
        </is>
      </c>
      <c r="I64" s="238" t="inlineStr">
        <is>
          <t>Décor &amp; Design</t>
        </is>
      </c>
      <c r="J64" s="8">
        <f>IF(A71="","",A71)</f>
        <v/>
      </c>
      <c r="K64" s="161">
        <f>IF(A71="","",ROUNDUP(F71/10,0)*10)</f>
        <v/>
      </c>
      <c r="L64" s="1" t="n"/>
      <c r="M64" s="1" t="n"/>
      <c r="N64" s="1" t="n"/>
      <c r="O64" s="1" t="n"/>
      <c r="P64" s="1" t="n"/>
      <c r="Q64" s="1" t="n"/>
      <c r="R64" s="1" t="n"/>
      <c r="S64" s="1" t="n"/>
      <c r="T64" s="1" t="n"/>
      <c r="U64" s="1" t="n"/>
      <c r="V64" s="1" t="n"/>
      <c r="W64" s="1" t="n"/>
      <c r="X64" s="1" t="n"/>
      <c r="Y64" s="1" t="n"/>
      <c r="Z64" s="1" t="n"/>
    </row>
    <row r="65" ht="24" customHeight="1" s="137">
      <c r="A65" s="55" t="n"/>
      <c r="B65" s="56" t="n"/>
      <c r="C65" s="131" t="n"/>
      <c r="D65" s="160" t="n"/>
      <c r="E65" s="164">
        <f>C65*D65</f>
        <v/>
      </c>
      <c r="F65" s="164">
        <f>IFERROR(E65*(1+VLOOKUP(I65,CategoryTable,2,FALSE)),0)</f>
        <v/>
      </c>
      <c r="G65" s="32">
        <f>'Client Setup'!B19</f>
        <v/>
      </c>
      <c r="H65" s="33" t="n"/>
      <c r="I65" s="238" t="inlineStr">
        <is>
          <t>Décor &amp; Design</t>
        </is>
      </c>
      <c r="J65" s="8">
        <f>IF(A72="","",A72)</f>
        <v/>
      </c>
      <c r="K65" s="161">
        <f>IF(A72="","",ROUNDUP(F72/10,0)*10)</f>
        <v/>
      </c>
      <c r="L65" s="1" t="n"/>
      <c r="M65" s="1" t="n"/>
      <c r="N65" s="1" t="n"/>
      <c r="O65" s="1" t="n"/>
      <c r="P65" s="1" t="n"/>
      <c r="Q65" s="1" t="n"/>
      <c r="R65" s="1" t="n"/>
      <c r="S65" s="1" t="n"/>
      <c r="T65" s="1" t="n"/>
      <c r="U65" s="1" t="n"/>
      <c r="V65" s="1" t="n"/>
      <c r="W65" s="1" t="n"/>
      <c r="X65" s="1" t="n"/>
      <c r="Y65" s="1" t="n"/>
      <c r="Z65" s="1" t="n"/>
    </row>
    <row r="66" ht="6" customHeight="1" s="137">
      <c r="A66" s="55" t="n"/>
      <c r="B66" s="56" t="n"/>
      <c r="C66" s="131" t="n"/>
      <c r="D66" s="160" t="n"/>
      <c r="E66" s="164">
        <f>C66*D66</f>
        <v/>
      </c>
      <c r="F66" s="164">
        <f>IFERROR(E66*(1+VLOOKUP(I66,CategoryTable,2,FALSE)),0)</f>
        <v/>
      </c>
      <c r="G66" s="32">
        <f>'Client Setup'!B19</f>
        <v/>
      </c>
      <c r="H66" s="33" t="n"/>
      <c r="I66" s="238" t="inlineStr">
        <is>
          <t>Décor &amp; Design</t>
        </is>
      </c>
      <c r="J66" s="8">
        <f>IF(A73="","",A73)</f>
        <v/>
      </c>
      <c r="K66" s="161">
        <f>IF(A73="","",ROUNDUP(F73/10,0)*10)</f>
        <v/>
      </c>
      <c r="L66" s="1" t="n"/>
      <c r="M66" s="1" t="n"/>
      <c r="N66" s="1" t="n"/>
      <c r="O66" s="1" t="n"/>
      <c r="P66" s="1" t="n"/>
      <c r="Q66" s="1" t="n"/>
      <c r="R66" s="1" t="n"/>
      <c r="S66" s="1" t="n"/>
      <c r="T66" s="1" t="n"/>
      <c r="U66" s="1" t="n"/>
      <c r="V66" s="1" t="n"/>
      <c r="W66" s="1" t="n"/>
      <c r="X66" s="1" t="n"/>
      <c r="Y66" s="1" t="n"/>
      <c r="Z66" s="1" t="n"/>
    </row>
    <row r="67" ht="21.75" customHeight="1" s="137">
      <c r="A67" s="55" t="n"/>
      <c r="B67" s="56" t="n"/>
      <c r="C67" s="131" t="n"/>
      <c r="D67" s="160" t="n"/>
      <c r="E67" s="164">
        <f>C67*D67</f>
        <v/>
      </c>
      <c r="F67" s="164">
        <f>IFERROR(E67*(1+VLOOKUP(I67,CategoryTable,2,FALSE)),0)</f>
        <v/>
      </c>
      <c r="G67" s="32">
        <f>'Client Setup'!B19</f>
        <v/>
      </c>
      <c r="H67" s="33" t="n"/>
      <c r="I67" s="238" t="inlineStr">
        <is>
          <t>Décor &amp; Design</t>
        </is>
      </c>
      <c r="J67" s="8">
        <f>IF(A74="","",A74)</f>
        <v/>
      </c>
      <c r="K67" s="161">
        <f>IF(A74="","",ROUNDUP(F74/10,0)*10)</f>
        <v/>
      </c>
      <c r="L67" s="1" t="n"/>
      <c r="M67" s="1" t="n"/>
      <c r="N67" s="1" t="n"/>
      <c r="O67" s="1" t="n"/>
      <c r="P67" s="1" t="n"/>
      <c r="Q67" s="1" t="n"/>
      <c r="R67" s="1" t="n"/>
      <c r="S67" s="1" t="n"/>
      <c r="T67" s="1" t="n"/>
      <c r="U67" s="1" t="n"/>
      <c r="V67" s="1" t="n"/>
      <c r="W67" s="1" t="n"/>
      <c r="X67" s="1" t="n"/>
      <c r="Y67" s="1" t="n"/>
      <c r="Z67" s="1" t="n"/>
    </row>
    <row r="68" ht="21.75" customHeight="1" s="137">
      <c r="A68" s="39" t="inlineStr">
        <is>
          <t>NON-TAXABLE RENTAL FEES</t>
        </is>
      </c>
      <c r="I68" s="1" t="n"/>
      <c r="J68" s="60" t="inlineStr">
        <is>
          <t>Rentals &amp; Lounge Subtotal</t>
        </is>
      </c>
      <c r="K68" s="179">
        <f>SUM(K32:K67)</f>
        <v/>
      </c>
      <c r="L68" s="1" t="n"/>
      <c r="M68" s="1" t="n"/>
      <c r="N68" s="1" t="n"/>
      <c r="O68" s="1" t="n"/>
      <c r="P68" s="1" t="n"/>
      <c r="Q68" s="1" t="n"/>
      <c r="R68" s="1" t="n"/>
      <c r="S68" s="1" t="n"/>
      <c r="T68" s="1" t="n"/>
      <c r="U68" s="1" t="n"/>
      <c r="V68" s="1" t="n"/>
      <c r="W68" s="1" t="n"/>
      <c r="X68" s="1" t="n"/>
      <c r="Y68" s="1" t="n"/>
      <c r="Z68" s="1" t="n"/>
    </row>
    <row r="69" ht="21.75" customHeight="1" s="137">
      <c r="A69" s="55" t="inlineStr">
        <is>
          <t>Delivery / Pickup</t>
        </is>
      </c>
      <c r="B69" s="56" t="inlineStr">
        <is>
          <t>White Glove</t>
        </is>
      </c>
      <c r="C69" s="59" t="n"/>
      <c r="D69" s="160" t="n">
        <v>1636.91</v>
      </c>
      <c r="E69" s="164">
        <f>D69</f>
        <v/>
      </c>
      <c r="F69" s="164">
        <f>IFERROR(E69*(1+VLOOKUP(I69,CategoryTable,2,FALSE)),0)</f>
        <v/>
      </c>
      <c r="G69" s="32" t="n">
        <v>0</v>
      </c>
      <c r="H69" s="33" t="n"/>
      <c r="I69" s="238" t="inlineStr">
        <is>
          <t>Delivery &amp; Logistics</t>
        </is>
      </c>
      <c r="J69" s="63" t="n"/>
      <c r="K69" s="63" t="n"/>
      <c r="L69" s="1" t="n"/>
      <c r="M69" s="1" t="n"/>
      <c r="N69" s="1" t="n"/>
      <c r="O69" s="1" t="n"/>
      <c r="P69" s="1" t="n"/>
      <c r="Q69" s="1" t="n"/>
      <c r="R69" s="1" t="n"/>
      <c r="S69" s="1" t="n"/>
      <c r="T69" s="1" t="n"/>
      <c r="U69" s="1" t="n"/>
      <c r="V69" s="1" t="n"/>
      <c r="W69" s="1" t="n"/>
      <c r="X69" s="1" t="n"/>
      <c r="Y69" s="1" t="n"/>
      <c r="Z69" s="1" t="n"/>
    </row>
    <row r="70" ht="21.75" customHeight="1" s="137">
      <c r="A70" s="55" t="inlineStr">
        <is>
          <t>Damage Waiver</t>
        </is>
      </c>
      <c r="B70" s="56" t="inlineStr">
        <is>
          <t>White Glove</t>
        </is>
      </c>
      <c r="C70" s="59" t="n"/>
      <c r="D70" s="160" t="n">
        <v>793.54</v>
      </c>
      <c r="E70" s="164">
        <f>D70</f>
        <v/>
      </c>
      <c r="F70" s="164">
        <f>IFERROR(E70*(1+VLOOKUP(I70,CategoryTable,2,FALSE)),0)</f>
        <v/>
      </c>
      <c r="G70" s="32" t="n">
        <v>0</v>
      </c>
      <c r="H70" s="33" t="inlineStr">
        <is>
          <t>11% damage waiver — not taxed</t>
        </is>
      </c>
      <c r="I70" s="238" t="inlineStr">
        <is>
          <t>Delivery &amp; Logistics</t>
        </is>
      </c>
      <c r="J70" s="54">
        <f>A77</f>
        <v/>
      </c>
      <c r="L70" s="1" t="n"/>
      <c r="M70" s="1" t="n"/>
      <c r="N70" s="1" t="n"/>
      <c r="O70" s="1" t="n"/>
      <c r="P70" s="1" t="n"/>
      <c r="Q70" s="1" t="n"/>
      <c r="R70" s="1" t="n"/>
      <c r="S70" s="1" t="n"/>
      <c r="T70" s="1" t="n"/>
      <c r="U70" s="1" t="n"/>
      <c r="V70" s="1" t="n"/>
      <c r="W70" s="1" t="n"/>
      <c r="X70" s="1" t="n"/>
      <c r="Y70" s="1" t="n"/>
      <c r="Z70" s="1" t="n"/>
    </row>
    <row r="71" ht="21.75" customHeight="1" s="137">
      <c r="A71" s="55" t="inlineStr">
        <is>
          <t>Chair Pull / Placement</t>
        </is>
      </c>
      <c r="B71" s="56" t="inlineStr">
        <is>
          <t>White Glove</t>
        </is>
      </c>
      <c r="C71" s="59" t="n"/>
      <c r="D71" s="160" t="n">
        <v>84</v>
      </c>
      <c r="E71" s="164">
        <f>D71</f>
        <v/>
      </c>
      <c r="F71" s="164">
        <f>IFERROR(E71*(1+VLOOKUP(I71,CategoryTable,2,FALSE)),0)</f>
        <v/>
      </c>
      <c r="G71" s="32" t="n">
        <v>0</v>
      </c>
      <c r="H71" s="33" t="n"/>
      <c r="I71" s="238" t="inlineStr">
        <is>
          <t>Delivery &amp; Logistics</t>
        </is>
      </c>
      <c r="J71" s="8">
        <f>IF(A80="","",A80&amp;" x"&amp;C80)</f>
        <v/>
      </c>
      <c r="K71" s="161">
        <f>IF(A80="","",ROUNDUP(F80/10,0)*10)</f>
        <v/>
      </c>
      <c r="L71" s="1" t="n"/>
      <c r="M71" s="1" t="n"/>
      <c r="N71" s="1" t="n"/>
      <c r="O71" s="1" t="n"/>
      <c r="P71" s="1" t="n"/>
      <c r="Q71" s="1" t="n"/>
      <c r="R71" s="1" t="n"/>
      <c r="S71" s="1" t="n"/>
      <c r="T71" s="1" t="n"/>
      <c r="U71" s="1" t="n"/>
      <c r="V71" s="1" t="n"/>
      <c r="W71" s="1" t="n"/>
      <c r="X71" s="1" t="n"/>
      <c r="Y71" s="1" t="n"/>
      <c r="Z71" s="1" t="n"/>
    </row>
    <row r="72" ht="21.75" customHeight="1" s="137">
      <c r="A72" s="55" t="inlineStr">
        <is>
          <t>Chair Placement</t>
        </is>
      </c>
      <c r="B72" s="56" t="inlineStr">
        <is>
          <t>White Glove</t>
        </is>
      </c>
      <c r="C72" s="59" t="n"/>
      <c r="D72" s="160" t="n">
        <v>84</v>
      </c>
      <c r="E72" s="164">
        <f>D72</f>
        <v/>
      </c>
      <c r="F72" s="164">
        <f>IFERROR(E72*(1+VLOOKUP(I72,CategoryTable,2,FALSE)),0)</f>
        <v/>
      </c>
      <c r="G72" s="32" t="n">
        <v>0</v>
      </c>
      <c r="H72" s="33" t="n"/>
      <c r="I72" s="238" t="inlineStr">
        <is>
          <t>Delivery &amp; Logistics</t>
        </is>
      </c>
      <c r="J72" s="8">
        <f>IF(A81="","",A81&amp;" x"&amp;C81)</f>
        <v/>
      </c>
      <c r="K72" s="161">
        <f>IF(A81="","",ROUNDUP(F81/10,0)*10)</f>
        <v/>
      </c>
      <c r="L72" s="1" t="n"/>
      <c r="M72" s="1" t="n"/>
      <c r="N72" s="1" t="n"/>
      <c r="O72" s="1" t="n"/>
      <c r="P72" s="1" t="n"/>
      <c r="Q72" s="1" t="n"/>
      <c r="R72" s="1" t="n"/>
      <c r="S72" s="1" t="n"/>
      <c r="T72" s="1" t="n"/>
      <c r="U72" s="1" t="n"/>
      <c r="V72" s="1" t="n"/>
      <c r="W72" s="1" t="n"/>
      <c r="X72" s="1" t="n"/>
      <c r="Y72" s="1" t="n"/>
      <c r="Z72" s="1" t="n"/>
    </row>
    <row r="73" ht="21.75" customHeight="1" s="137">
      <c r="A73" s="55" t="inlineStr">
        <is>
          <t>Damage Waiver</t>
        </is>
      </c>
      <c r="B73" s="56" t="inlineStr">
        <is>
          <t>Dalissa Events</t>
        </is>
      </c>
      <c r="C73" s="59" t="n"/>
      <c r="D73" s="160" t="n">
        <v>91.84</v>
      </c>
      <c r="E73" s="164">
        <f>D73</f>
        <v/>
      </c>
      <c r="F73" s="164">
        <f>IFERROR(E73*(1+VLOOKUP(I73,CategoryTable,2,FALSE)),0)</f>
        <v/>
      </c>
      <c r="G73" s="32" t="n">
        <v>0</v>
      </c>
      <c r="H73" s="33" t="inlineStr">
        <is>
          <t>Unintentional damage waiver</t>
        </is>
      </c>
      <c r="I73" s="238" t="inlineStr">
        <is>
          <t>Delivery &amp; Logistics</t>
        </is>
      </c>
      <c r="J73" s="8">
        <f>IF(A82="","",A82&amp;" x"&amp;C82)</f>
        <v/>
      </c>
      <c r="K73" s="161">
        <f>IF(A82="","",ROUNDUP(F82/10,0)*10)</f>
        <v/>
      </c>
      <c r="L73" s="1" t="n"/>
      <c r="M73" s="1" t="n"/>
      <c r="N73" s="1" t="n"/>
      <c r="O73" s="1" t="n"/>
      <c r="P73" s="1" t="n"/>
      <c r="Q73" s="1" t="n"/>
      <c r="R73" s="1" t="n"/>
      <c r="S73" s="1" t="n"/>
      <c r="T73" s="1" t="n"/>
      <c r="U73" s="1" t="n"/>
      <c r="V73" s="1" t="n"/>
      <c r="W73" s="1" t="n"/>
      <c r="X73" s="1" t="n"/>
      <c r="Y73" s="1" t="n"/>
      <c r="Z73" s="1" t="n"/>
    </row>
    <row r="74" ht="21.75" customHeight="1" s="137">
      <c r="A74" s="55" t="inlineStr">
        <is>
          <t>Delivery &amp; Pickup</t>
        </is>
      </c>
      <c r="B74" s="56" t="inlineStr">
        <is>
          <t>Dalissa Events</t>
        </is>
      </c>
      <c r="C74" s="59" t="n"/>
      <c r="D74" s="160" t="n">
        <v>248.02</v>
      </c>
      <c r="E74" s="164">
        <f>D74</f>
        <v/>
      </c>
      <c r="F74" s="164">
        <f>IFERROR(E74*(1+VLOOKUP(I74,CategoryTable,2,FALSE)),0)</f>
        <v/>
      </c>
      <c r="G74" s="32" t="n">
        <v>0</v>
      </c>
      <c r="H74" s="33" t="inlineStr">
        <is>
          <t>Drop-off $124.01 + Pickup $124.01</t>
        </is>
      </c>
      <c r="I74" s="238" t="inlineStr">
        <is>
          <t>Delivery &amp; Logistics</t>
        </is>
      </c>
      <c r="J74" s="8">
        <f>IF(A83="","",A83&amp;" x"&amp;C83)</f>
        <v/>
      </c>
      <c r="K74" s="161">
        <f>IF(A83="","",ROUNDUP(F83/10,0)*10)</f>
        <v/>
      </c>
      <c r="L74" s="1" t="n"/>
      <c r="M74" s="1" t="n"/>
      <c r="N74" s="1" t="n"/>
      <c r="O74" s="1" t="n"/>
      <c r="P74" s="1" t="n"/>
      <c r="Q74" s="1" t="n"/>
      <c r="R74" s="1" t="n"/>
      <c r="S74" s="1" t="n"/>
      <c r="T74" s="1" t="n"/>
      <c r="U74" s="1" t="n"/>
      <c r="V74" s="1" t="n"/>
      <c r="W74" s="1" t="n"/>
      <c r="X74" s="1" t="n"/>
      <c r="Y74" s="1" t="n"/>
      <c r="Z74" s="1" t="n"/>
    </row>
    <row r="75" ht="21.75" customHeight="1" s="137">
      <c r="A75" s="43" t="inlineStr">
        <is>
          <t>RENTALS &amp; LOUNGE SUBTOTAL</t>
        </is>
      </c>
      <c r="B75" s="62" t="n"/>
      <c r="C75" s="62" t="n"/>
      <c r="D75" s="62" t="n"/>
      <c r="E75" s="166">
        <f>SUM(E35:E42)+SUM(E44:E51)+SUM(E53:E60)+SUM(E62:E67)+SUM(E69:E74)</f>
        <v/>
      </c>
      <c r="F75" s="166">
        <f>SUM(F35:F42)+SUM(F44:F51)+SUM(F53:F60)+SUM(F62:F67)+SUM(F69:F74)</f>
        <v/>
      </c>
      <c r="G75" s="62" t="n"/>
      <c r="H75" s="62" t="n"/>
      <c r="I75" s="1" t="n"/>
      <c r="J75" s="8">
        <f>IF(A84="","",A84&amp;" x"&amp;C84)</f>
        <v/>
      </c>
      <c r="K75" s="161">
        <f>IF(A84="","",ROUNDUP(F84/10,0)*10)</f>
        <v/>
      </c>
      <c r="L75" s="1" t="n"/>
      <c r="M75" s="1" t="n"/>
      <c r="N75" s="1" t="n"/>
      <c r="O75" s="1" t="n"/>
      <c r="P75" s="1" t="n"/>
      <c r="Q75" s="1" t="n"/>
      <c r="R75" s="1" t="n"/>
      <c r="S75" s="1" t="n"/>
      <c r="T75" s="1" t="n"/>
      <c r="U75" s="1" t="n"/>
      <c r="V75" s="1" t="n"/>
      <c r="W75" s="1" t="n"/>
      <c r="X75" s="1" t="n"/>
      <c r="Y75" s="1" t="n"/>
      <c r="Z75" s="1" t="n"/>
    </row>
    <row r="76" ht="21.75" customHeight="1" s="137">
      <c r="A76" s="1" t="n"/>
      <c r="B76" s="1" t="n"/>
      <c r="C76" s="1" t="n"/>
      <c r="D76" s="1" t="n"/>
      <c r="E76" s="1" t="n"/>
      <c r="F76" s="1" t="n"/>
      <c r="G76" s="1" t="n"/>
      <c r="H76" s="1" t="n"/>
      <c r="I76" s="1" t="n"/>
      <c r="J76" s="8">
        <f>IF(A85="","",A85&amp;" x"&amp;C85)</f>
        <v/>
      </c>
      <c r="K76" s="161">
        <f>IF(A85="","",ROUNDUP(F85/10,0)*10)</f>
        <v/>
      </c>
      <c r="L76" s="1" t="n"/>
      <c r="M76" s="1" t="n"/>
      <c r="N76" s="1" t="n"/>
      <c r="O76" s="1" t="n"/>
      <c r="P76" s="1" t="n"/>
      <c r="Q76" s="1" t="n"/>
      <c r="R76" s="1" t="n"/>
      <c r="S76" s="1" t="n"/>
      <c r="T76" s="1" t="n"/>
      <c r="U76" s="1" t="n"/>
      <c r="V76" s="1" t="n"/>
      <c r="W76" s="1" t="n"/>
      <c r="X76" s="1" t="n"/>
      <c r="Y76" s="1" t="n"/>
      <c r="Z76" s="1" t="n"/>
    </row>
    <row r="77" ht="21.75" customHeight="1" s="137">
      <c r="A77" s="133" t="inlineStr">
        <is>
          <t>AV / PRODUCTION</t>
        </is>
      </c>
      <c r="I77" s="1" t="n"/>
      <c r="J77" s="8">
        <f>IF(A86="","",A86&amp;" x"&amp;C86)</f>
        <v/>
      </c>
      <c r="K77" s="161">
        <f>IF(A86="","",ROUNDUP(F86/10,0)*10)</f>
        <v/>
      </c>
      <c r="L77" s="1" t="n"/>
      <c r="M77" s="1" t="n"/>
      <c r="N77" s="1" t="n"/>
      <c r="O77" s="1" t="n"/>
      <c r="P77" s="1" t="n"/>
      <c r="Q77" s="1" t="n"/>
      <c r="R77" s="1" t="n"/>
      <c r="S77" s="1" t="n"/>
      <c r="T77" s="1" t="n"/>
      <c r="U77" s="1" t="n"/>
      <c r="V77" s="1" t="n"/>
      <c r="W77" s="1" t="n"/>
      <c r="X77" s="1" t="n"/>
      <c r="Y77" s="1" t="n"/>
      <c r="Z77" s="1" t="n"/>
    </row>
    <row r="78" ht="21.75" customHeight="1" s="137">
      <c r="A78" s="22" t="inlineStr">
        <is>
          <t>Item</t>
        </is>
      </c>
      <c r="B78" s="22" t="inlineStr">
        <is>
          <t>Vendor</t>
        </is>
      </c>
      <c r="C78" s="22" t="inlineStr">
        <is>
          <t>Qty</t>
        </is>
      </c>
      <c r="D78" s="22" t="inlineStr">
        <is>
          <t>Unit Price</t>
        </is>
      </c>
      <c r="E78" s="22" t="inlineStr">
        <is>
          <t>Our Cost</t>
        </is>
      </c>
      <c r="F78" s="22" t="inlineStr">
        <is>
          <t>Client Cost</t>
        </is>
      </c>
      <c r="G78" s="22" t="inlineStr">
        <is>
          <t>Tax Rate</t>
        </is>
      </c>
      <c r="H78" s="22" t="inlineStr">
        <is>
          <t>Notes / Description</t>
        </is>
      </c>
      <c r="I78" s="1" t="n"/>
      <c r="J78" s="8">
        <f>IF(A87="","",A87&amp;" x"&amp;C87)</f>
        <v/>
      </c>
      <c r="K78" s="161">
        <f>IF(A87="","",ROUNDUP(F87/10,0)*10)</f>
        <v/>
      </c>
      <c r="L78" s="1" t="n"/>
      <c r="M78" s="1" t="n"/>
      <c r="N78" s="1" t="n"/>
      <c r="O78" s="1" t="n"/>
      <c r="P78" s="1" t="n"/>
      <c r="Q78" s="1" t="n"/>
      <c r="R78" s="1" t="n"/>
      <c r="S78" s="1" t="n"/>
      <c r="T78" s="1" t="n"/>
      <c r="U78" s="1" t="n"/>
      <c r="V78" s="1" t="n"/>
      <c r="W78" s="1" t="n"/>
      <c r="X78" s="1" t="n"/>
      <c r="Y78" s="1" t="n"/>
      <c r="Z78" s="1" t="n"/>
    </row>
    <row r="79" ht="21.75" customHeight="1" s="137">
      <c r="A79" s="27" t="inlineStr">
        <is>
          <t>TAXABLE AV &amp; PRODUCTION EQUIPMENT</t>
        </is>
      </c>
      <c r="I79" s="1" t="n"/>
      <c r="J79" s="8">
        <f>IF(A88="","",A88&amp;" x"&amp;C88)</f>
        <v/>
      </c>
      <c r="K79" s="161">
        <f>IF(A88="","",ROUNDUP(F88/10,0)*10)</f>
        <v/>
      </c>
      <c r="L79" s="1" t="n"/>
      <c r="M79" s="1" t="n"/>
      <c r="N79" s="1" t="n"/>
      <c r="O79" s="1" t="n"/>
      <c r="P79" s="1" t="n"/>
      <c r="Q79" s="1" t="n"/>
      <c r="R79" s="1" t="n"/>
      <c r="S79" s="1" t="n"/>
      <c r="T79" s="1" t="n"/>
      <c r="U79" s="1" t="n"/>
      <c r="V79" s="1" t="n"/>
      <c r="W79" s="1" t="n"/>
      <c r="X79" s="1" t="n"/>
      <c r="Y79" s="1" t="n"/>
      <c r="Z79" s="1" t="n"/>
    </row>
    <row r="80" ht="21.75" customHeight="1" s="137">
      <c r="A80" s="55" t="n"/>
      <c r="B80" s="56" t="n"/>
      <c r="C80" s="131" t="n"/>
      <c r="D80" s="160" t="n"/>
      <c r="E80" s="164">
        <f>C80*D80</f>
        <v/>
      </c>
      <c r="F80" s="164">
        <f>IFERROR(E80*(1+VLOOKUP(I80,CategoryTable,2,FALSE)),0)</f>
        <v/>
      </c>
      <c r="G80" s="32">
        <f>'Client Setup'!B19</f>
        <v/>
      </c>
      <c r="H80" s="33" t="n"/>
      <c r="I80" s="238" t="inlineStr">
        <is>
          <t>AV &amp; Production</t>
        </is>
      </c>
      <c r="J80" s="8">
        <f>IF(A89="","",A89&amp;" x"&amp;C89)</f>
        <v/>
      </c>
      <c r="K80" s="161">
        <f>IF(A89="","",ROUNDUP(F89/10,0)*10)</f>
        <v/>
      </c>
      <c r="L80" s="1" t="n"/>
      <c r="M80" s="1" t="n"/>
      <c r="N80" s="1" t="n"/>
      <c r="O80" s="1" t="n"/>
      <c r="P80" s="1" t="n"/>
      <c r="Q80" s="1" t="n"/>
      <c r="R80" s="1" t="n"/>
      <c r="S80" s="1" t="n"/>
      <c r="T80" s="1" t="n"/>
      <c r="U80" s="1" t="n"/>
      <c r="V80" s="1" t="n"/>
      <c r="W80" s="1" t="n"/>
      <c r="X80" s="1" t="n"/>
      <c r="Y80" s="1" t="n"/>
      <c r="Z80" s="1" t="n"/>
    </row>
    <row r="81" ht="21.75" customHeight="1" s="137">
      <c r="A81" s="55" t="n"/>
      <c r="B81" s="56" t="n"/>
      <c r="C81" s="131" t="n"/>
      <c r="D81" s="160" t="n"/>
      <c r="E81" s="164">
        <f>C81*D81</f>
        <v/>
      </c>
      <c r="F81" s="164">
        <f>IFERROR(E81*(1+VLOOKUP(I81,CategoryTable,2,FALSE)),0)</f>
        <v/>
      </c>
      <c r="G81" s="32">
        <f>'Client Setup'!B19</f>
        <v/>
      </c>
      <c r="H81" s="33" t="n"/>
      <c r="I81" s="238" t="inlineStr">
        <is>
          <t>AV &amp; Production</t>
        </is>
      </c>
      <c r="J81" s="8">
        <f>IF(A91="","",A91)</f>
        <v/>
      </c>
      <c r="K81" s="161">
        <f>IF(A91="","",ROUNDUP(F91/10,0)*10)</f>
        <v/>
      </c>
      <c r="L81" s="1" t="n"/>
      <c r="M81" s="1" t="n"/>
      <c r="N81" s="1" t="n"/>
      <c r="O81" s="1" t="n"/>
      <c r="P81" s="1" t="n"/>
      <c r="Q81" s="1" t="n"/>
      <c r="R81" s="1" t="n"/>
      <c r="S81" s="1" t="n"/>
      <c r="T81" s="1" t="n"/>
      <c r="U81" s="1" t="n"/>
      <c r="V81" s="1" t="n"/>
      <c r="W81" s="1" t="n"/>
      <c r="X81" s="1" t="n"/>
      <c r="Y81" s="1" t="n"/>
      <c r="Z81" s="1" t="n"/>
    </row>
    <row r="82" ht="21.75" customHeight="1" s="137">
      <c r="A82" s="55" t="n"/>
      <c r="B82" s="56" t="n"/>
      <c r="C82" s="131" t="n"/>
      <c r="D82" s="160" t="n"/>
      <c r="E82" s="164">
        <f>C82*D82</f>
        <v/>
      </c>
      <c r="F82" s="164">
        <f>IFERROR(E82*(1+VLOOKUP(I82,CategoryTable,2,FALSE)),0)</f>
        <v/>
      </c>
      <c r="G82" s="32">
        <f>'Client Setup'!B19</f>
        <v/>
      </c>
      <c r="H82" s="33" t="n"/>
      <c r="I82" s="238" t="inlineStr">
        <is>
          <t>AV &amp; Production</t>
        </is>
      </c>
      <c r="J82" s="8">
        <f>IF(A92="","",A92)</f>
        <v/>
      </c>
      <c r="K82" s="161">
        <f>IF(A92="","",ROUNDUP(F92/10,0)*10)</f>
        <v/>
      </c>
      <c r="L82" s="1" t="n"/>
      <c r="M82" s="1" t="n"/>
      <c r="N82" s="1" t="n"/>
      <c r="O82" s="1" t="n"/>
      <c r="P82" s="1" t="n"/>
      <c r="Q82" s="1" t="n"/>
      <c r="R82" s="1" t="n"/>
      <c r="S82" s="1" t="n"/>
      <c r="T82" s="1" t="n"/>
      <c r="U82" s="1" t="n"/>
      <c r="V82" s="1" t="n"/>
      <c r="W82" s="1" t="n"/>
      <c r="X82" s="1" t="n"/>
      <c r="Y82" s="1" t="n"/>
      <c r="Z82" s="1" t="n"/>
    </row>
    <row r="83" ht="24" customHeight="1" s="137">
      <c r="A83" s="55" t="n"/>
      <c r="B83" s="56" t="n"/>
      <c r="C83" s="131" t="n"/>
      <c r="D83" s="160" t="n"/>
      <c r="E83" s="164">
        <f>C83*D83</f>
        <v/>
      </c>
      <c r="F83" s="164">
        <f>IFERROR(E83*(1+VLOOKUP(I83,CategoryTable,2,FALSE)),0)</f>
        <v/>
      </c>
      <c r="G83" s="32">
        <f>'Client Setup'!B19</f>
        <v/>
      </c>
      <c r="H83" s="33" t="n"/>
      <c r="I83" s="238" t="inlineStr">
        <is>
          <t>AV &amp; Production</t>
        </is>
      </c>
      <c r="J83" s="8">
        <f>IF(A93="","",A93)</f>
        <v/>
      </c>
      <c r="K83" s="161">
        <f>IF(A93="","",ROUNDUP(F93/10,0)*10)</f>
        <v/>
      </c>
      <c r="L83" s="1" t="n"/>
      <c r="M83" s="1" t="n"/>
      <c r="N83" s="1" t="n"/>
      <c r="O83" s="1" t="n"/>
      <c r="P83" s="1" t="n"/>
      <c r="Q83" s="1" t="n"/>
      <c r="R83" s="1" t="n"/>
      <c r="S83" s="1" t="n"/>
      <c r="T83" s="1" t="n"/>
      <c r="U83" s="1" t="n"/>
      <c r="V83" s="1" t="n"/>
      <c r="W83" s="1" t="n"/>
      <c r="X83" s="1" t="n"/>
      <c r="Y83" s="1" t="n"/>
      <c r="Z83" s="1" t="n"/>
    </row>
    <row r="84" ht="15" customHeight="1" s="137">
      <c r="A84" s="55" t="n"/>
      <c r="B84" s="56" t="n"/>
      <c r="C84" s="131" t="n"/>
      <c r="D84" s="160" t="n"/>
      <c r="E84" s="164">
        <f>C84*D84</f>
        <v/>
      </c>
      <c r="F84" s="164">
        <f>IFERROR(E84*(1+VLOOKUP(I84,CategoryTable,2,FALSE)),0)</f>
        <v/>
      </c>
      <c r="G84" s="32">
        <f>'Client Setup'!B19</f>
        <v/>
      </c>
      <c r="H84" s="33" t="n"/>
      <c r="I84" s="238" t="inlineStr">
        <is>
          <t>AV &amp; Production</t>
        </is>
      </c>
      <c r="J84" s="8">
        <f>IF(A94="","",A94)</f>
        <v/>
      </c>
      <c r="K84" s="161">
        <f>IF(A94="","",ROUNDUP(F94/10,0)*10)</f>
        <v/>
      </c>
      <c r="L84" s="1" t="n"/>
      <c r="M84" s="1" t="n"/>
      <c r="N84" s="1" t="n"/>
      <c r="O84" s="1" t="n"/>
      <c r="P84" s="1" t="n"/>
      <c r="Q84" s="1" t="n"/>
      <c r="R84" s="1" t="n"/>
      <c r="S84" s="1" t="n"/>
      <c r="T84" s="1" t="n"/>
      <c r="U84" s="1" t="n"/>
      <c r="V84" s="1" t="n"/>
      <c r="W84" s="1" t="n"/>
      <c r="X84" s="1" t="n"/>
      <c r="Y84" s="1" t="n"/>
      <c r="Z84" s="1" t="n"/>
    </row>
    <row r="85" ht="21.75" customHeight="1" s="137">
      <c r="A85" s="55" t="n"/>
      <c r="B85" s="56" t="n"/>
      <c r="C85" s="131" t="n"/>
      <c r="D85" s="160" t="n"/>
      <c r="E85" s="164">
        <f>C85*D85</f>
        <v/>
      </c>
      <c r="F85" s="164">
        <f>IFERROR(E85*(1+VLOOKUP(I85,CategoryTable,2,FALSE)),0)</f>
        <v/>
      </c>
      <c r="G85" s="32">
        <f>'Client Setup'!B19</f>
        <v/>
      </c>
      <c r="H85" s="33" t="n"/>
      <c r="I85" s="238" t="inlineStr">
        <is>
          <t>AV &amp; Production</t>
        </is>
      </c>
      <c r="J85" s="8">
        <f>IF(A95="","",A95)</f>
        <v/>
      </c>
      <c r="K85" s="161">
        <f>IF(A95="","",ROUNDUP(F95/10,0)*10)</f>
        <v/>
      </c>
      <c r="L85" s="1" t="n"/>
      <c r="M85" s="1" t="n"/>
      <c r="N85" s="1" t="n"/>
      <c r="O85" s="1" t="n"/>
      <c r="P85" s="1" t="n"/>
      <c r="Q85" s="1" t="n"/>
      <c r="R85" s="1" t="n"/>
      <c r="S85" s="1" t="n"/>
      <c r="T85" s="1" t="n"/>
      <c r="U85" s="1" t="n"/>
      <c r="V85" s="1" t="n"/>
      <c r="W85" s="1" t="n"/>
      <c r="X85" s="1" t="n"/>
      <c r="Y85" s="1" t="n"/>
      <c r="Z85" s="1" t="n"/>
    </row>
    <row r="86" ht="24" customHeight="1" s="137">
      <c r="A86" s="55" t="n"/>
      <c r="B86" s="56" t="n"/>
      <c r="C86" s="131" t="n"/>
      <c r="D86" s="160" t="n"/>
      <c r="E86" s="164">
        <f>C86*D86</f>
        <v/>
      </c>
      <c r="F86" s="164">
        <f>IFERROR(E86*(1+VLOOKUP(I86,CategoryTable,2,FALSE)),0)</f>
        <v/>
      </c>
      <c r="G86" s="32">
        <f>'Client Setup'!B19</f>
        <v/>
      </c>
      <c r="H86" s="33" t="n"/>
      <c r="I86" s="238" t="inlineStr">
        <is>
          <t>AV &amp; Production</t>
        </is>
      </c>
      <c r="J86" s="60" t="inlineStr">
        <is>
          <t>AV / Production Subtotal</t>
        </is>
      </c>
      <c r="K86" s="179">
        <f>SUM(K71:K85)</f>
        <v/>
      </c>
      <c r="L86" s="1" t="n"/>
      <c r="M86" s="1" t="n"/>
      <c r="N86" s="1" t="n"/>
      <c r="O86" s="1" t="n"/>
      <c r="P86" s="1" t="n"/>
      <c r="Q86" s="1" t="n"/>
      <c r="R86" s="1" t="n"/>
      <c r="S86" s="1" t="n"/>
      <c r="T86" s="1" t="n"/>
      <c r="U86" s="1" t="n"/>
      <c r="V86" s="1" t="n"/>
      <c r="W86" s="1" t="n"/>
      <c r="X86" s="1" t="n"/>
      <c r="Y86" s="1" t="n"/>
      <c r="Z86" s="1" t="n"/>
    </row>
    <row r="87" ht="30" customHeight="1" s="137">
      <c r="A87" s="55" t="n"/>
      <c r="B87" s="56" t="n"/>
      <c r="C87" s="131" t="n"/>
      <c r="D87" s="160" t="n"/>
      <c r="E87" s="164">
        <f>C87*D87</f>
        <v/>
      </c>
      <c r="F87" s="164">
        <f>IFERROR(E87*(1+VLOOKUP(I87,CategoryTable,2,FALSE)),0)</f>
        <v/>
      </c>
      <c r="G87" s="32">
        <f>'Client Setup'!B19</f>
        <v/>
      </c>
      <c r="H87" s="33" t="n"/>
      <c r="I87" s="238" t="inlineStr">
        <is>
          <t>AV &amp; Production</t>
        </is>
      </c>
      <c r="J87" s="63" t="n"/>
      <c r="K87" s="63" t="n"/>
      <c r="L87" s="1" t="n"/>
      <c r="M87" s="1" t="n"/>
      <c r="N87" s="1" t="n"/>
      <c r="O87" s="1" t="n"/>
      <c r="P87" s="1" t="n"/>
      <c r="Q87" s="1" t="n"/>
      <c r="R87" s="1" t="n"/>
      <c r="S87" s="1" t="n"/>
      <c r="T87" s="1" t="n"/>
      <c r="U87" s="1" t="n"/>
      <c r="V87" s="1" t="n"/>
      <c r="W87" s="1" t="n"/>
      <c r="X87" s="1" t="n"/>
      <c r="Y87" s="1" t="n"/>
      <c r="Z87" s="1" t="n"/>
    </row>
    <row r="88" ht="24" customHeight="1" s="137">
      <c r="A88" s="55" t="n"/>
      <c r="B88" s="56" t="n"/>
      <c r="C88" s="131" t="n"/>
      <c r="D88" s="160" t="n"/>
      <c r="E88" s="164">
        <f>C88*D88</f>
        <v/>
      </c>
      <c r="F88" s="164">
        <f>IFERROR(E88*(1+VLOOKUP(I88,CategoryTable,2,FALSE)),0)</f>
        <v/>
      </c>
      <c r="G88" s="32">
        <f>'Client Setup'!B19</f>
        <v/>
      </c>
      <c r="H88" s="33" t="n"/>
      <c r="I88" s="238" t="inlineStr">
        <is>
          <t>AV &amp; Production</t>
        </is>
      </c>
      <c r="J88" s="149" t="inlineStr">
        <is>
          <t>Tax</t>
        </is>
      </c>
      <c r="K88" s="161">
        <f>ROUNDUP(F100/10,0)*10</f>
        <v/>
      </c>
      <c r="L88" s="1" t="n"/>
      <c r="M88" s="1" t="n"/>
      <c r="N88" s="1" t="n"/>
      <c r="O88" s="1" t="n"/>
      <c r="P88" s="1" t="n"/>
      <c r="Q88" s="1" t="n"/>
      <c r="R88" s="1" t="n"/>
      <c r="S88" s="1" t="n"/>
      <c r="T88" s="1" t="n"/>
      <c r="U88" s="1" t="n"/>
      <c r="V88" s="1" t="n"/>
      <c r="W88" s="1" t="n"/>
      <c r="X88" s="1" t="n"/>
      <c r="Y88" s="1" t="n"/>
      <c r="Z88" s="1" t="n"/>
    </row>
    <row r="89" ht="24" customHeight="1" s="137">
      <c r="A89" s="55" t="n"/>
      <c r="B89" s="56" t="n"/>
      <c r="C89" s="131" t="n"/>
      <c r="D89" s="160" t="n"/>
      <c r="E89" s="164">
        <f>C89*D89</f>
        <v/>
      </c>
      <c r="F89" s="164">
        <f>IFERROR(E89*(1+VLOOKUP(I89,CategoryTable,2,FALSE)),0)</f>
        <v/>
      </c>
      <c r="G89" s="32">
        <f>'Client Setup'!B19</f>
        <v/>
      </c>
      <c r="H89" s="33" t="n"/>
      <c r="I89" s="238" t="inlineStr">
        <is>
          <t>AV &amp; Production</t>
        </is>
      </c>
      <c r="J89" s="57" t="n"/>
      <c r="K89" s="57" t="n"/>
      <c r="L89" s="1" t="n"/>
      <c r="M89" s="1" t="n"/>
      <c r="N89" s="1" t="n"/>
      <c r="O89" s="1" t="n"/>
      <c r="P89" s="1" t="n"/>
      <c r="Q89" s="1" t="n"/>
      <c r="R89" s="1" t="n"/>
      <c r="S89" s="1" t="n"/>
      <c r="T89" s="1" t="n"/>
      <c r="U89" s="1" t="n"/>
      <c r="V89" s="1" t="n"/>
      <c r="W89" s="1" t="n"/>
      <c r="X89" s="1" t="n"/>
      <c r="Y89" s="1" t="n"/>
      <c r="Z89" s="1" t="n"/>
    </row>
    <row r="90" ht="24" customHeight="1" s="137">
      <c r="A90" s="39" t="inlineStr">
        <is>
          <t>NON-TAXABLE AV FEES &amp; LABOR</t>
        </is>
      </c>
      <c r="I90" s="1" t="n"/>
      <c r="J90" s="148" t="inlineStr">
        <is>
          <t>TOTAL</t>
        </is>
      </c>
      <c r="K90" s="163">
        <f>K29+K68+K86+K88</f>
        <v/>
      </c>
      <c r="L90" s="1" t="n"/>
      <c r="M90" s="1" t="n"/>
      <c r="N90" s="1" t="n"/>
      <c r="O90" s="1" t="n"/>
      <c r="P90" s="1" t="n"/>
      <c r="Q90" s="1" t="n"/>
      <c r="R90" s="1" t="n"/>
      <c r="S90" s="1" t="n"/>
      <c r="T90" s="1" t="n"/>
      <c r="U90" s="1" t="n"/>
      <c r="V90" s="1" t="n"/>
      <c r="W90" s="1" t="n"/>
      <c r="X90" s="1" t="n"/>
      <c r="Y90" s="1" t="n"/>
      <c r="Z90" s="1" t="n"/>
    </row>
    <row r="91" ht="24" customHeight="1" s="137">
      <c r="A91" s="55" t="inlineStr">
        <is>
          <t>AV Tech Labor</t>
        </is>
      </c>
      <c r="B91" s="56" t="n"/>
      <c r="C91" s="59" t="n"/>
      <c r="D91" s="160" t="n"/>
      <c r="E91" s="164">
        <f>D91</f>
        <v/>
      </c>
      <c r="F91" s="164">
        <f>IFERROR(E91*(1+VLOOKUP(I91,CategoryTable,2,FALSE)),0)</f>
        <v/>
      </c>
      <c r="G91" s="32" t="n">
        <v>0</v>
      </c>
      <c r="H91" s="33" t="n"/>
      <c r="I91" s="238" t="inlineStr">
        <is>
          <t>Staffing &amp; Labor</t>
        </is>
      </c>
      <c r="J91" s="1" t="n"/>
      <c r="K91" s="1" t="n"/>
      <c r="L91" s="1" t="n"/>
      <c r="M91" s="1" t="n"/>
      <c r="N91" s="1" t="n"/>
      <c r="O91" s="1" t="n"/>
      <c r="P91" s="1" t="n"/>
      <c r="Q91" s="1" t="n"/>
      <c r="R91" s="1" t="n"/>
      <c r="S91" s="1" t="n"/>
      <c r="T91" s="1" t="n"/>
      <c r="U91" s="1" t="n"/>
      <c r="V91" s="1" t="n"/>
      <c r="W91" s="1" t="n"/>
      <c r="X91" s="1" t="n"/>
      <c r="Y91" s="1" t="n"/>
      <c r="Z91" s="1" t="n"/>
    </row>
    <row r="92" ht="24" customHeight="1" s="137">
      <c r="A92" s="55" t="inlineStr">
        <is>
          <t>Delivery / Setup</t>
        </is>
      </c>
      <c r="B92" s="56" t="n"/>
      <c r="C92" s="59" t="n"/>
      <c r="D92" s="160" t="n"/>
      <c r="E92" s="164">
        <f>D92</f>
        <v/>
      </c>
      <c r="F92" s="164">
        <f>IFERROR(E92*(1+VLOOKUP(I92,CategoryTable,2,FALSE)),0)</f>
        <v/>
      </c>
      <c r="G92" s="32" t="n">
        <v>0</v>
      </c>
      <c r="H92" s="33" t="n"/>
      <c r="I92" s="238" t="inlineStr">
        <is>
          <t>Staffing &amp; Labor</t>
        </is>
      </c>
      <c r="J92" s="1" t="n"/>
      <c r="K92" s="1" t="n"/>
      <c r="L92" s="1" t="n"/>
      <c r="M92" s="1" t="n"/>
      <c r="N92" s="1" t="n"/>
      <c r="O92" s="1" t="n"/>
      <c r="P92" s="1" t="n"/>
      <c r="Q92" s="1" t="n"/>
      <c r="R92" s="1" t="n"/>
      <c r="S92" s="1" t="n"/>
      <c r="T92" s="1" t="n"/>
      <c r="U92" s="1" t="n"/>
      <c r="V92" s="1" t="n"/>
      <c r="W92" s="1" t="n"/>
      <c r="X92" s="1" t="n"/>
      <c r="Y92" s="1" t="n"/>
      <c r="Z92" s="1" t="n"/>
    </row>
    <row r="93" ht="25.5" customHeight="1" s="137">
      <c r="A93" s="55" t="inlineStr">
        <is>
          <t>Strike / Removal</t>
        </is>
      </c>
      <c r="B93" s="56" t="n"/>
      <c r="C93" s="59" t="n"/>
      <c r="D93" s="160" t="n"/>
      <c r="E93" s="164">
        <f>D93</f>
        <v/>
      </c>
      <c r="F93" s="164">
        <f>IFERROR(E93*(1+VLOOKUP(I93,CategoryTable,2,FALSE)),0)</f>
        <v/>
      </c>
      <c r="G93" s="32" t="n">
        <v>0</v>
      </c>
      <c r="H93" s="33" t="n"/>
      <c r="I93" s="238" t="inlineStr">
        <is>
          <t>Staffing &amp; Labor</t>
        </is>
      </c>
      <c r="J93" s="1" t="n"/>
      <c r="K93" s="1" t="n"/>
      <c r="L93" s="1" t="n"/>
      <c r="M93" s="1" t="n"/>
      <c r="N93" s="1" t="n"/>
      <c r="O93" s="1" t="n"/>
      <c r="P93" s="1" t="n"/>
      <c r="Q93" s="1" t="n"/>
      <c r="R93" s="1" t="n"/>
      <c r="S93" s="1" t="n"/>
      <c r="T93" s="1" t="n"/>
      <c r="U93" s="1" t="n"/>
      <c r="V93" s="1" t="n"/>
      <c r="W93" s="1" t="n"/>
      <c r="X93" s="1" t="n"/>
      <c r="Y93" s="1" t="n"/>
      <c r="Z93" s="1" t="n"/>
    </row>
    <row r="94" ht="6" customHeight="1" s="137">
      <c r="A94" s="55" t="n"/>
      <c r="B94" s="56" t="n"/>
      <c r="C94" s="59" t="n"/>
      <c r="D94" s="160" t="n"/>
      <c r="E94" s="164">
        <f>D94</f>
        <v/>
      </c>
      <c r="F94" s="164">
        <f>IFERROR(E94*(1+VLOOKUP(I94,CategoryTable,2,FALSE)),0)</f>
        <v/>
      </c>
      <c r="G94" s="32" t="n">
        <v>0</v>
      </c>
      <c r="H94" s="33" t="n"/>
      <c r="I94" s="238" t="inlineStr">
        <is>
          <t>Staffing &amp; Labor</t>
        </is>
      </c>
      <c r="J94" s="1" t="n"/>
      <c r="K94" s="1" t="n"/>
      <c r="L94" s="1" t="n"/>
      <c r="M94" s="1" t="n"/>
      <c r="N94" s="1" t="n"/>
      <c r="O94" s="1" t="n"/>
      <c r="P94" s="1" t="n"/>
      <c r="Q94" s="1" t="n"/>
      <c r="R94" s="1" t="n"/>
      <c r="S94" s="1" t="n"/>
      <c r="T94" s="1" t="n"/>
      <c r="U94" s="1" t="n"/>
      <c r="V94" s="1" t="n"/>
      <c r="W94" s="1" t="n"/>
      <c r="X94" s="1" t="n"/>
      <c r="Y94" s="1" t="n"/>
      <c r="Z94" s="1" t="n"/>
    </row>
    <row r="95" ht="27.75" customHeight="1" s="137">
      <c r="A95" s="55" t="n"/>
      <c r="B95" s="56" t="n"/>
      <c r="C95" s="59" t="n"/>
      <c r="D95" s="160" t="n"/>
      <c r="E95" s="164">
        <f>D95</f>
        <v/>
      </c>
      <c r="F95" s="164">
        <f>IFERROR(E95*(1+VLOOKUP(I95,CategoryTable,2,FALSE)),0)</f>
        <v/>
      </c>
      <c r="G95" s="32" t="n">
        <v>0</v>
      </c>
      <c r="H95" s="33" t="n"/>
      <c r="I95" s="238" t="inlineStr">
        <is>
          <t>Staffing &amp; Labor</t>
        </is>
      </c>
      <c r="J95" s="1" t="n"/>
      <c r="K95" s="1" t="n"/>
      <c r="L95" s="1" t="n"/>
      <c r="M95" s="1" t="n"/>
      <c r="N95" s="1" t="n"/>
      <c r="O95" s="1" t="n"/>
      <c r="P95" s="1" t="n"/>
      <c r="Q95" s="1" t="n"/>
      <c r="R95" s="1" t="n"/>
      <c r="S95" s="1" t="n"/>
      <c r="T95" s="1" t="n"/>
      <c r="U95" s="1" t="n"/>
      <c r="V95" s="1" t="n"/>
      <c r="W95" s="1" t="n"/>
      <c r="X95" s="1" t="n"/>
      <c r="Y95" s="1" t="n"/>
      <c r="Z95" s="1" t="n"/>
    </row>
    <row r="96" ht="25.5" customHeight="1" s="137">
      <c r="A96" s="43" t="inlineStr">
        <is>
          <t>AV / PRODUCTION SUBTOTAL</t>
        </is>
      </c>
      <c r="B96" s="62" t="n"/>
      <c r="C96" s="62" t="n"/>
      <c r="D96" s="62" t="n"/>
      <c r="E96" s="166">
        <f>SUM(E80:E89)+SUM(E91:E95)</f>
        <v/>
      </c>
      <c r="F96" s="166">
        <f>SUM(F80:F89)+SUM(F91:F95)</f>
        <v/>
      </c>
      <c r="G96" s="62" t="n"/>
      <c r="H96" s="62" t="n"/>
      <c r="I96" s="1" t="n"/>
      <c r="J96" s="1" t="n"/>
      <c r="K96" s="1" t="n"/>
      <c r="L96" s="1" t="n"/>
      <c r="M96" s="1" t="n"/>
      <c r="N96" s="1" t="n"/>
      <c r="O96" s="1" t="n"/>
      <c r="P96" s="1" t="n"/>
      <c r="Q96" s="1" t="n"/>
      <c r="R96" s="1" t="n"/>
      <c r="S96" s="1" t="n"/>
      <c r="T96" s="1" t="n"/>
      <c r="U96" s="1" t="n"/>
      <c r="V96" s="1" t="n"/>
      <c r="W96" s="1" t="n"/>
      <c r="X96" s="1" t="n"/>
      <c r="Y96" s="1" t="n"/>
      <c r="Z96" s="1" t="n"/>
    </row>
    <row r="97" ht="25.5" customHeight="1" s="137">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25.5" customHeight="1" s="137">
      <c r="A98" s="133" t="inlineStr">
        <is>
          <t>ESTIMATE SUMMARY</t>
        </is>
      </c>
      <c r="I98" s="1" t="n"/>
      <c r="J98" s="1" t="n"/>
      <c r="K98" s="1" t="n"/>
      <c r="L98" s="1" t="n"/>
      <c r="M98" s="1" t="n"/>
      <c r="N98" s="1" t="n"/>
      <c r="O98" s="1" t="n"/>
      <c r="P98" s="1" t="n"/>
      <c r="Q98" s="1" t="n"/>
      <c r="R98" s="1" t="n"/>
      <c r="S98" s="1" t="n"/>
      <c r="T98" s="1" t="n"/>
      <c r="U98" s="1" t="n"/>
      <c r="V98" s="1" t="n"/>
      <c r="W98" s="1" t="n"/>
      <c r="X98" s="1" t="n"/>
      <c r="Y98" s="1" t="n"/>
      <c r="Z98" s="1" t="n"/>
    </row>
    <row r="99" ht="25.5" customHeight="1" s="137">
      <c r="A99" s="40" t="inlineStr">
        <is>
          <t>Taxable Product Subtotal</t>
        </is>
      </c>
      <c r="B99" s="64" t="n"/>
      <c r="C99" s="64" t="n"/>
      <c r="D99" s="64" t="n"/>
      <c r="E99" s="165">
        <f>SUM(E16:E25)+SUM(E35:E42)+SUM(E44:E51)+SUM(E53:E60)+SUM(E62:E67)+SUM(E80:E89)</f>
        <v/>
      </c>
      <c r="F99" s="165">
        <f>SUM(F16:F25)+SUM(F35:F42)+SUM(F44:F51)+SUM(F53:F60)+SUM(F62:F67)+SUM(F80:F89)</f>
        <v/>
      </c>
      <c r="G99" s="64" t="n"/>
      <c r="H99" s="64" t="n"/>
      <c r="I99" s="1" t="n"/>
      <c r="J99" s="1" t="n"/>
      <c r="K99" s="1" t="n"/>
      <c r="L99" s="1" t="n"/>
      <c r="M99" s="1" t="n"/>
      <c r="N99" s="1" t="n"/>
      <c r="O99" s="1" t="n"/>
      <c r="P99" s="1" t="n"/>
      <c r="Q99" s="1" t="n"/>
      <c r="R99" s="1" t="n"/>
      <c r="S99" s="1" t="n"/>
      <c r="T99" s="1" t="n"/>
      <c r="U99" s="1" t="n"/>
      <c r="V99" s="1" t="n"/>
      <c r="W99" s="1" t="n"/>
      <c r="X99" s="1" t="n"/>
      <c r="Y99" s="1" t="n"/>
      <c r="Z99" s="1" t="n"/>
    </row>
    <row r="100" ht="25.5" customHeight="1" s="137">
      <c r="A100" s="40" t="inlineStr">
        <is>
          <t>Sales Tax</t>
        </is>
      </c>
      <c r="B100" s="64" t="n"/>
      <c r="C100" s="64" t="n"/>
      <c r="D100" s="64" t="n"/>
      <c r="E100" s="165">
        <f>IFERROR(E99*'Client Setup'!B19,0)</f>
        <v/>
      </c>
      <c r="F100" s="165">
        <f>IFERROR(F99*'Client Setup'!B19,0)</f>
        <v/>
      </c>
      <c r="G100" s="64" t="n"/>
      <c r="H100" s="64" t="n"/>
      <c r="I100" s="1" t="n"/>
      <c r="J100" s="1" t="n"/>
      <c r="K100" s="1" t="n"/>
      <c r="L100" s="1" t="n"/>
      <c r="M100" s="1" t="n"/>
      <c r="N100" s="1" t="n"/>
      <c r="O100" s="1" t="n"/>
      <c r="P100" s="1" t="n"/>
      <c r="Q100" s="1" t="n"/>
      <c r="R100" s="1" t="n"/>
      <c r="S100" s="1" t="n"/>
      <c r="T100" s="1" t="n"/>
      <c r="U100" s="1" t="n"/>
      <c r="V100" s="1" t="n"/>
      <c r="W100" s="1" t="n"/>
      <c r="X100" s="1" t="n"/>
      <c r="Y100" s="1" t="n"/>
      <c r="Z100" s="1" t="n"/>
    </row>
    <row r="101" ht="33.75" customHeight="1" s="137">
      <c r="A101" s="40" t="inlineStr">
        <is>
          <t>Non-Taxable Fees Subtotal</t>
        </is>
      </c>
      <c r="B101" s="64" t="n"/>
      <c r="C101" s="64" t="n"/>
      <c r="D101" s="64" t="n"/>
      <c r="E101" s="165">
        <f>SUM(E27:E29)+SUM(E69:E74)+SUM(E91:E95)</f>
        <v/>
      </c>
      <c r="F101" s="165">
        <f>SUM(F27:F29)+SUM(F69:F74)+SUM(F91:F95)</f>
        <v/>
      </c>
      <c r="G101" s="64" t="n"/>
      <c r="H101" s="64" t="n"/>
      <c r="I101" s="1" t="n"/>
      <c r="J101" s="1" t="n"/>
      <c r="K101" s="1" t="n"/>
      <c r="L101" s="1" t="n"/>
      <c r="M101" s="1" t="n"/>
      <c r="N101" s="1" t="n"/>
      <c r="O101" s="1" t="n"/>
      <c r="P101" s="1" t="n"/>
      <c r="Q101" s="1" t="n"/>
      <c r="R101" s="1" t="n"/>
      <c r="S101" s="1" t="n"/>
      <c r="T101" s="1" t="n"/>
      <c r="U101" s="1" t="n"/>
      <c r="V101" s="1" t="n"/>
      <c r="W101" s="1" t="n"/>
      <c r="X101" s="1" t="n"/>
      <c r="Y101" s="1" t="n"/>
      <c r="Z101" s="1" t="n"/>
    </row>
    <row r="102" ht="6" customHeight="1" s="137">
      <c r="A102" s="40" t="inlineStr">
        <is>
          <t>CC Processing Fee</t>
        </is>
      </c>
      <c r="B102" s="64" t="n"/>
      <c r="C102" s="64" t="n"/>
      <c r="D102" s="64" t="n"/>
      <c r="E102" s="165">
        <f>F102</f>
        <v/>
      </c>
      <c r="F102" s="165">
        <f>IFERROR((F99+F100+F101)*'Client Setup'!C35,0)</f>
        <v/>
      </c>
      <c r="G102" s="64" t="n"/>
      <c r="H102" s="64" t="n"/>
      <c r="I102" s="1" t="n"/>
      <c r="J102" s="1" t="n"/>
      <c r="K102" s="1" t="n"/>
      <c r="L102" s="1" t="n"/>
      <c r="M102" s="1" t="n"/>
      <c r="N102" s="1" t="n"/>
      <c r="O102" s="1" t="n"/>
      <c r="P102" s="1" t="n"/>
      <c r="Q102" s="1" t="n"/>
      <c r="R102" s="1" t="n"/>
      <c r="S102" s="1" t="n"/>
      <c r="T102" s="1" t="n"/>
      <c r="U102" s="1" t="n"/>
      <c r="V102" s="1" t="n"/>
      <c r="W102" s="1" t="n"/>
      <c r="X102" s="1" t="n"/>
      <c r="Y102" s="1" t="n"/>
      <c r="Z102" s="1" t="n"/>
    </row>
    <row r="103" ht="27.75" customHeight="1" s="137">
      <c r="A103" s="40" t="inlineStr">
        <is>
          <t>Third-Party Commission</t>
        </is>
      </c>
      <c r="B103" s="64" t="n"/>
      <c r="C103" s="64" t="n"/>
      <c r="D103" s="64" t="n"/>
      <c r="E103" s="165">
        <f>F103</f>
        <v/>
      </c>
      <c r="F103" s="165">
        <f>IFERROR((F99+F100+F101)*'Client Setup'!C36,0)</f>
        <v/>
      </c>
      <c r="G103" s="64" t="n"/>
      <c r="H103" s="64" t="n"/>
      <c r="I103" s="1" t="n"/>
      <c r="J103" s="1" t="n"/>
      <c r="K103" s="1" t="n"/>
      <c r="L103" s="1" t="n"/>
      <c r="M103" s="1" t="n"/>
      <c r="N103" s="1" t="n"/>
      <c r="O103" s="1" t="n"/>
      <c r="P103" s="1" t="n"/>
      <c r="Q103" s="1" t="n"/>
      <c r="R103" s="1" t="n"/>
      <c r="S103" s="1" t="n"/>
      <c r="T103" s="1" t="n"/>
      <c r="U103" s="1" t="n"/>
      <c r="V103" s="1" t="n"/>
      <c r="W103" s="1" t="n"/>
      <c r="X103" s="1" t="n"/>
      <c r="Y103" s="1" t="n"/>
      <c r="Z103" s="1" t="n"/>
    </row>
    <row r="104" ht="30" customHeight="1" s="137">
      <c r="A104" s="247" t="inlineStr">
        <is>
          <t>TOTAL DECOR ESTIMATE</t>
        </is>
      </c>
      <c r="E104" s="248">
        <f>SUM(E99:E103)</f>
        <v/>
      </c>
      <c r="F104" s="248">
        <f>SUM(F99:F103)</f>
        <v/>
      </c>
      <c r="G104" s="65" t="n"/>
      <c r="H104" s="65" t="n"/>
      <c r="I104" s="1" t="n"/>
      <c r="J104" s="1" t="n"/>
      <c r="K104" s="1" t="n"/>
      <c r="L104" s="1" t="n"/>
      <c r="M104" s="1" t="n"/>
      <c r="N104" s="1" t="n"/>
      <c r="O104" s="1" t="n"/>
      <c r="P104" s="1" t="n"/>
      <c r="Q104" s="1" t="n"/>
      <c r="R104" s="1" t="n"/>
      <c r="S104" s="1" t="n"/>
      <c r="T104" s="1" t="n"/>
      <c r="U104" s="1" t="n"/>
      <c r="V104" s="1" t="n"/>
      <c r="W104" s="1" t="n"/>
      <c r="X104" s="1" t="n"/>
      <c r="Y104" s="1" t="n"/>
      <c r="Z104" s="1" t="n"/>
    </row>
    <row r="105" ht="6" customHeight="1" s="137">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27.75" customHeight="1" s="137">
      <c r="A106" s="133" t="inlineStr">
        <is>
          <t>CLIENT PRICING</t>
        </is>
      </c>
      <c r="I106" s="1" t="n"/>
      <c r="J106" s="1" t="n"/>
      <c r="K106" s="1" t="n"/>
      <c r="L106" s="1" t="n"/>
      <c r="M106" s="1" t="n"/>
      <c r="N106" s="1" t="n"/>
      <c r="O106" s="1" t="n"/>
      <c r="P106" s="1" t="n"/>
      <c r="Q106" s="1" t="n"/>
      <c r="R106" s="1" t="n"/>
      <c r="S106" s="1" t="n"/>
      <c r="T106" s="1" t="n"/>
      <c r="U106" s="1" t="n"/>
      <c r="V106" s="1" t="n"/>
      <c r="W106" s="1" t="n"/>
      <c r="X106" s="1" t="n"/>
      <c r="Y106" s="1" t="n"/>
      <c r="Z106" s="1" t="n"/>
    </row>
    <row r="107" ht="25.5" customHeight="1" s="137">
      <c r="A107" s="3" t="inlineStr">
        <is>
          <t>Total Client Cost</t>
        </is>
      </c>
      <c r="B107" s="169">
        <f>F104</f>
        <v/>
      </c>
      <c r="C107" s="5" t="n"/>
      <c r="D107" s="5" t="n"/>
      <c r="E107" s="5" t="n"/>
      <c r="F107" s="5" t="n"/>
      <c r="G107" s="5" t="n"/>
      <c r="H107" s="5" t="n"/>
      <c r="I107" s="1" t="n"/>
      <c r="J107" s="1" t="n"/>
      <c r="K107" s="1" t="n"/>
      <c r="L107" s="1" t="n"/>
      <c r="M107" s="1" t="n"/>
      <c r="N107" s="1" t="n"/>
      <c r="O107" s="1" t="n"/>
      <c r="P107" s="1" t="n"/>
      <c r="Q107" s="1" t="n"/>
      <c r="R107" s="1" t="n"/>
      <c r="S107" s="1" t="n"/>
      <c r="T107" s="1" t="n"/>
      <c r="U107" s="1" t="n"/>
      <c r="V107" s="1" t="n"/>
      <c r="W107" s="1" t="n"/>
      <c r="X107" s="1" t="n"/>
      <c r="Y107" s="1" t="n"/>
      <c r="Z107" s="1" t="n"/>
    </row>
    <row r="108" ht="25.5" customHeight="1" s="137">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25.5" customHeight="1" s="137">
      <c r="A109" s="115" t="n"/>
      <c r="B109" s="115" t="n"/>
      <c r="C109" s="115" t="n"/>
      <c r="D109" s="115" t="n"/>
      <c r="E109" s="115" t="n"/>
    </row>
    <row r="110" ht="25.5" customHeight="1" s="137">
      <c r="A110" s="192" t="inlineStr">
        <is>
          <t>QC TRAVEL EXPENSES</t>
        </is>
      </c>
      <c r="B110" s="203" t="inlineStr">
        <is>
          <t>Trip 1</t>
        </is>
      </c>
      <c r="C110" s="203" t="inlineStr">
        <is>
          <t>Trip 2</t>
        </is>
      </c>
      <c r="D110" s="203" t="inlineStr">
        <is>
          <t>Trip 3</t>
        </is>
      </c>
      <c r="E110" s="115" t="n"/>
    </row>
    <row r="111" ht="30" customHeight="1" s="137">
      <c r="A111" s="185" t="inlineStr">
        <is>
          <t>Trip Label</t>
        </is>
      </c>
      <c r="B111" s="184" t="n"/>
      <c r="C111" s="184" t="n"/>
      <c r="D111" s="184" t="n"/>
      <c r="E111" s="115" t="n"/>
    </row>
    <row r="112" ht="15.75" customHeight="1" s="137">
      <c r="A112" s="185" t="inlineStr">
        <is>
          <t>Origin</t>
        </is>
      </c>
      <c r="B112" s="232" t="n"/>
      <c r="C112" s="232" t="n"/>
      <c r="D112" s="232" t="n"/>
      <c r="E112" s="115" t="n"/>
    </row>
    <row r="113" ht="15.75" customHeight="1" s="137">
      <c r="A113" s="185" t="inlineStr">
        <is>
          <t>Destination</t>
        </is>
      </c>
      <c r="B113" s="232" t="n"/>
      <c r="C113" s="232" t="n"/>
      <c r="D113" s="232" t="n"/>
      <c r="E113" s="115" t="n"/>
    </row>
    <row r="114" ht="15.75" customHeight="1" s="137">
      <c r="A114" s="185" t="inlineStr">
        <is>
          <t>Travel Type</t>
        </is>
      </c>
      <c r="B114" s="232" t="n"/>
      <c r="C114" s="232" t="n"/>
      <c r="D114" s="232" t="n"/>
      <c r="E114" s="115" t="n"/>
    </row>
    <row r="115" ht="15.75" customHeight="1" s="137">
      <c r="A115" s="185" t="inlineStr">
        <is>
          <t>Flight Type</t>
        </is>
      </c>
      <c r="B115" s="232" t="n"/>
      <c r="C115" s="232" t="n"/>
      <c r="D115" s="232" t="n"/>
      <c r="E115" s="115" t="n"/>
    </row>
    <row r="116" ht="15.75" customHeight="1" s="137">
      <c r="A116" s="185" t="inlineStr">
        <is>
          <t>Last Minute Buffer</t>
        </is>
      </c>
      <c r="B116" s="232" t="n"/>
      <c r="C116" s="232" t="n"/>
      <c r="D116" s="232" t="n"/>
      <c r="E116" s="115" t="n"/>
    </row>
    <row r="117" ht="15.75" customHeight="1" s="137">
      <c r="A117" s="185" t="inlineStr">
        <is>
          <t>Staff Traveling</t>
        </is>
      </c>
      <c r="B117" s="232" t="n"/>
      <c r="C117" s="232" t="n"/>
      <c r="D117" s="232" t="n"/>
      <c r="E117" s="115" t="n"/>
    </row>
    <row r="118" ht="15.75" customHeight="1" s="137">
      <c r="A118" s="185" t="inlineStr">
        <is>
          <t>Nights</t>
        </is>
      </c>
      <c r="B118" s="232" t="n"/>
      <c r="C118" s="232" t="n"/>
      <c r="D118" s="232" t="n"/>
      <c r="E118" s="115" t="n"/>
    </row>
    <row r="119" ht="15.75" customHeight="1" s="137">
      <c r="A119" s="185" t="inlineStr">
        <is>
          <t>Hotel Budget</t>
        </is>
      </c>
      <c r="B119" s="232" t="n"/>
      <c r="C119" s="232" t="n"/>
      <c r="D119" s="232" t="n"/>
      <c r="E119" s="115" t="n"/>
    </row>
    <row r="120" ht="15.75" customHeight="1" s="137">
      <c r="A120" s="185" t="inlineStr">
        <is>
          <t>Vehicle Type</t>
        </is>
      </c>
      <c r="B120" s="232" t="n"/>
      <c r="C120" s="232" t="n"/>
      <c r="D120" s="232" t="n"/>
      <c r="E120" s="115" t="n"/>
    </row>
    <row r="121" ht="15.75" customHeight="1" s="137">
      <c r="A121" s="185" t="inlineStr">
        <is>
          <t>Vehicle Service</t>
        </is>
      </c>
      <c r="B121" s="232" t="n"/>
      <c r="C121" s="232" t="n"/>
      <c r="D121" s="232" t="n"/>
      <c r="E121" s="115" t="n"/>
    </row>
    <row r="122" ht="15.75" customHeight="1" s="137">
      <c r="A122" s="185" t="inlineStr">
        <is>
          <t>Vehicle Hours</t>
        </is>
      </c>
      <c r="B122" s="232" t="n"/>
      <c r="C122" s="232" t="n"/>
      <c r="D122" s="232" t="n"/>
      <c r="E122" s="115" t="n"/>
    </row>
    <row r="123" ht="15.75" customHeight="1" s="137">
      <c r="A123" s="185" t="inlineStr">
        <is>
          <t>Custom Vehicle Cost</t>
        </is>
      </c>
      <c r="B123" s="197" t="n"/>
      <c r="C123" s="197" t="n"/>
      <c r="D123" s="197" t="n"/>
      <c r="E123" s="115" t="n"/>
    </row>
    <row r="124" ht="15.75" customHeight="1" s="137">
      <c r="A124" s="115" t="n"/>
      <c r="B124" s="115" t="n"/>
      <c r="C124" s="115" t="n"/>
      <c r="D124" s="115" t="n"/>
      <c r="E124" s="115" t="n"/>
    </row>
    <row r="125" ht="15.75" customHeight="1" s="137">
      <c r="A125" s="185" t="inlineStr">
        <is>
          <t>Travel Cost</t>
        </is>
      </c>
      <c r="B125" s="201">
        <f>IF(OR(B113="",B117=""),0,IF(B114="Drive",IFERROR(VLOOKUP(B112&amp;" to "&amp;B113,DriveRoutes,2,FALSE),0),IF(B114="Train",IFERROR(VLOOKUP(B112&amp;" to "&amp;B113,TrainRoutes,2,FALSE),0)*B117,IF(B114="Flight",IFERROR(VLOOKUP(B115,FlightTypes,2,FALSE),0)*B117+IF(B116="Yes",150*B117,0),0))))</f>
        <v/>
      </c>
      <c r="C125" s="201">
        <f>IF(OR(C113="",C117=""),0,IF(C114="Drive",IFERROR(VLOOKUP(C112&amp;" to "&amp;C113,DriveRoutes,2,FALSE),0),IF(C114="Train",IFERROR(VLOOKUP(C112&amp;" to "&amp;C113,TrainRoutes,2,FALSE),0)*C117,IF(C114="Flight",IFERROR(VLOOKUP(C115,FlightTypes,2,FALSE),0)*C117+IF(C116="Yes",150*C117,0),0))))</f>
        <v/>
      </c>
      <c r="D125" s="201">
        <f>IF(OR(D113="",D117=""),0,IF(D114="Drive",IFERROR(VLOOKUP(D112&amp;" to "&amp;D113,DriveRoutes,2,FALSE),0),IF(D114="Train",IFERROR(VLOOKUP(D112&amp;" to "&amp;D113,TrainRoutes,2,FALSE),0)*D117,IF(D114="Flight",IFERROR(VLOOKUP(D115,FlightTypes,2,FALSE),0)*D117+IF(D116="Yes",150*D117,0),0))))</f>
        <v/>
      </c>
      <c r="E125" s="115" t="n"/>
    </row>
    <row r="126" ht="15.75" customHeight="1" s="137">
      <c r="A126" s="185" t="inlineStr">
        <is>
          <t>Hotel Cost</t>
        </is>
      </c>
      <c r="B126" s="201">
        <f>IF(OR(B113="",B117="",B118=""),0,B118*IFERROR(IF(B119="High",VLOOKUP(B113,HotelRates,3,FALSE),VLOOKUP(B113,HotelRates,2,FALSE)),0)*B117)</f>
        <v/>
      </c>
      <c r="C126" s="201">
        <f>IF(OR(C113="",C117="",C118=""),0,C118*IFERROR(IF(C119="High",VLOOKUP(C113,HotelRates,3,FALSE),VLOOKUP(C113,HotelRates,2,FALSE)),0)*C117)</f>
        <v/>
      </c>
      <c r="D126" s="201">
        <f>IF(OR(D113="",D117="",D118=""),0,D118*IFERROR(IF(D119="High",VLOOKUP(D113,HotelRates,3,FALSE),VLOOKUP(D113,HotelRates,2,FALSE)),0)*D117)</f>
        <v/>
      </c>
      <c r="E126" s="115" t="n"/>
    </row>
    <row r="127" ht="15.75" customHeight="1" s="137">
      <c r="A127" s="185" t="inlineStr">
        <is>
          <t>Per Diem Cost</t>
        </is>
      </c>
      <c r="B127" s="201">
        <f>IF(OR(B113="",B117=""),0,IF(B113="NYC",IF(B118=0,'Client Setup'!C95,IF(B118=1,'Client Setup'!C95+'Client Setup'!B95,2*'Client Setup'!C95+(B118-1)*'Client Setup'!B95)),IF(B118=0,'Client Setup'!C94,IF(B118=1,'Client Setup'!C94+'Client Setup'!B94,2*'Client Setup'!C94+(B118-1)*'Client Setup'!B94)))*B117)</f>
        <v/>
      </c>
      <c r="C127" s="201">
        <f>IF(OR(C113="",C117=""),0,IF(C113="NYC",IF(C118=0,'Client Setup'!C95,IF(C118=1,'Client Setup'!C95+'Client Setup'!B95,2*'Client Setup'!C95+(C118-1)*'Client Setup'!B95)),IF(C118=0,'Client Setup'!C94,IF(C118=1,'Client Setup'!C94+'Client Setup'!B94,2*'Client Setup'!C94+(C118-1)*'Client Setup'!B94)))*C117)</f>
        <v/>
      </c>
      <c r="D127" s="201">
        <f>IF(OR(D113="",D117=""),0,IF(D113="NYC",IF(D118=0,'Client Setup'!C95,IF(D118=1,'Client Setup'!C95+'Client Setup'!B95,2*'Client Setup'!C95+(D118-1)*'Client Setup'!B95)),IF(D118=0,'Client Setup'!C94,IF(D118=1,'Client Setup'!C94+'Client Setup'!B94,2*'Client Setup'!C94+(D118-1)*'Client Setup'!B94)))*D117)</f>
        <v/>
      </c>
      <c r="E127" s="115" t="n"/>
    </row>
    <row r="128" ht="15.75" customHeight="1" s="137">
      <c r="A128" s="185" t="inlineStr">
        <is>
          <t>Vehicle Cost</t>
        </is>
      </c>
      <c r="B128" s="201">
        <f>IF(AND(ISNUMBER(B123),B123&gt;0),B123,IF(OR(B120="",B120="None"),0,IF(B121="Airport Transfer",IFERROR(VLOOKUP(B113,VehicleRates,IF(B120="Sedan",3,IF(B120="SUV",5,7)),FALSE),0),IF(B121="Hourly",IFERROR(VLOOKUP(B113,VehicleRates,IF(B120="Sedan",2,IF(B120="SUV",4,6)),FALSE),0)*B122,0))))</f>
        <v/>
      </c>
      <c r="C128" s="201">
        <f>IF(AND(ISNUMBER(C123),C123&gt;0),C123,IF(OR(C120="",C120="None"),0,IF(C121="Airport Transfer",IFERROR(VLOOKUP(C113,VehicleRates,IF(C120="Sedan",3,IF(C120="SUV",5,7)),FALSE),0),IF(C121="Hourly",IFERROR(VLOOKUP(C113,VehicleRates,IF(C120="Sedan",2,IF(C120="SUV",4,6)),FALSE),0)*C122,0))))</f>
        <v/>
      </c>
      <c r="D128" s="201">
        <f>IF(AND(ISNUMBER(D123),D123&gt;0),D123,IF(OR(D120="",D120="None"),0,IF(D121="Airport Transfer",IFERROR(VLOOKUP(D113,VehicleRates,IF(D120="Sedan",3,IF(D120="SUV",5,7)),FALSE),0),IF(D121="Hourly",IFERROR(VLOOKUP(D113,VehicleRates,IF(D120="Sedan",2,IF(D120="SUV",4,6)),FALSE),0)*D122,0))))</f>
        <v/>
      </c>
      <c r="E128" s="115" t="n"/>
    </row>
    <row r="129" ht="15.75" customHeight="1" s="137">
      <c r="A129" s="183" t="inlineStr">
        <is>
          <t>Trip Total</t>
        </is>
      </c>
      <c r="B129" s="204">
        <f>B125+B126+B127+B128</f>
        <v/>
      </c>
      <c r="C129" s="204">
        <f>C125+C126+C127+C128</f>
        <v/>
      </c>
      <c r="D129" s="204">
        <f>D125+D126+D127+D128</f>
        <v/>
      </c>
      <c r="E129" s="115" t="n"/>
    </row>
    <row r="130" ht="15.75" customHeight="1" s="137">
      <c r="A130" s="115" t="n"/>
      <c r="B130" s="115" t="n"/>
      <c r="C130" s="115" t="n"/>
      <c r="D130" s="115" t="n"/>
      <c r="E130" s="115" t="n"/>
    </row>
    <row r="131" ht="15.75" customHeight="1" s="137">
      <c r="A131" s="189" t="inlineStr">
        <is>
          <t>Total Travel Expenses</t>
        </is>
      </c>
      <c r="B131" s="205" t="n"/>
      <c r="C131" s="205" t="n"/>
      <c r="D131" s="206">
        <f>B129+C129+D129</f>
        <v/>
      </c>
      <c r="E131" s="115" t="n"/>
    </row>
    <row r="132" ht="15.75" customHeight="1" s="137">
      <c r="A132" s="115" t="n"/>
      <c r="B132" s="115" t="n"/>
      <c r="C132" s="115" t="n"/>
      <c r="D132" s="115" t="n"/>
      <c r="E132" s="115" t="n"/>
    </row>
    <row r="133" ht="15.75" customHeight="1" s="137">
      <c r="A133" s="192" t="inlineStr">
        <is>
          <t>PROFIT &amp; MARGIN</t>
        </is>
      </c>
      <c r="B133" s="116" t="n"/>
      <c r="C133" s="116" t="n"/>
      <c r="D133" s="116" t="n"/>
      <c r="E133" s="116" t="n"/>
      <c r="F133" s="115"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137">
      <c r="A134" s="185" t="inlineStr">
        <is>
          <t>Third-Party Commission</t>
        </is>
      </c>
      <c r="B134" s="115" t="n"/>
      <c r="C134" s="212">
        <f>'Client Setup'!C36</f>
        <v/>
      </c>
      <c r="D134" s="201">
        <f>F104*C134</f>
        <v/>
      </c>
      <c r="E134" s="115" t="n"/>
      <c r="F134" s="115" t="n"/>
      <c r="G134" s="59" t="n"/>
      <c r="H134" s="59"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137">
      <c r="A135" s="185" t="inlineStr">
        <is>
          <t>Global DMC Fee (6.5%)</t>
        </is>
      </c>
      <c r="B135" s="115" t="n"/>
      <c r="C135" s="213">
        <f>IF('Client Setup'!C37="Yes",0.065,0)</f>
        <v/>
      </c>
      <c r="D135" s="201">
        <f>IF('Client Setup'!C37="Yes",F104*0.065,0)</f>
        <v/>
      </c>
      <c r="E135" s="115" t="n"/>
      <c r="F135" s="115" t="n"/>
      <c r="G135" s="59" t="n"/>
      <c r="H135" s="59"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137">
      <c r="A136" s="185" t="inlineStr">
        <is>
          <t>Total Vendor Costs (incl. CC fee)</t>
        </is>
      </c>
      <c r="B136" s="115" t="n"/>
      <c r="C136" s="115" t="n"/>
      <c r="D136" s="201">
        <f>E99+E100+E101+E102</f>
        <v/>
      </c>
      <c r="E136" s="115" t="n"/>
      <c r="F136" s="115" t="n"/>
      <c r="G136" s="59" t="n"/>
      <c r="H136" s="59"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137">
      <c r="A137" s="183" t="inlineStr">
        <is>
          <t>QC Revenue</t>
        </is>
      </c>
      <c r="B137" s="115" t="n"/>
      <c r="C137" s="115" t="n"/>
      <c r="D137" s="201">
        <f>IFERROR(F104-D134-D135-D136,0)</f>
        <v/>
      </c>
      <c r="E137" s="115" t="n"/>
      <c r="F137" s="115" t="n"/>
      <c r="G137" s="59" t="n"/>
      <c r="H137" s="59"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137">
      <c r="A138" s="185" t="inlineStr">
        <is>
          <t>QC Margin %</t>
        </is>
      </c>
      <c r="B138" s="115" t="n"/>
      <c r="C138" s="115" t="n"/>
      <c r="D138" s="209">
        <f>IFERROR(IF(F104&gt;0,D137/F104,0),0)</f>
        <v/>
      </c>
      <c r="E138" s="115" t="n"/>
      <c r="F138" s="115" t="n"/>
      <c r="G138" s="62" t="n"/>
      <c r="H138" s="62"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137">
      <c r="A139" s="183" t="inlineStr">
        <is>
          <t>Margin Health</t>
        </is>
      </c>
      <c r="B139" s="115" t="n"/>
      <c r="C139" s="115" t="n"/>
      <c r="D139" s="207">
        <f>IF(D138&gt;=0.45,"✓ STRONG",IF(D138&gt;=0.35,"→ ON TARGET",IF(D138&gt;=0.25,"⚠ REVIEW","✗ BELOW FLOOR")))</f>
        <v/>
      </c>
      <c r="E139" s="115" t="n"/>
      <c r="F139" s="115" t="n"/>
      <c r="G139" s="84" t="n"/>
      <c r="H139" s="84" t="n"/>
      <c r="I139" s="84" t="n"/>
      <c r="J139" s="1" t="n"/>
      <c r="K139" s="1" t="n"/>
      <c r="L139" s="1" t="n"/>
      <c r="M139" s="1" t="n"/>
      <c r="N139" s="1" t="n"/>
      <c r="O139" s="1" t="n"/>
      <c r="P139" s="1" t="n"/>
      <c r="Q139" s="1" t="n"/>
      <c r="R139" s="1" t="n"/>
      <c r="S139" s="1" t="n"/>
      <c r="T139" s="1" t="n"/>
      <c r="U139" s="1" t="n"/>
      <c r="V139" s="1" t="n"/>
      <c r="W139" s="1" t="n"/>
      <c r="X139" s="1" t="n"/>
      <c r="Y139" s="1" t="n"/>
      <c r="Z139" s="1" t="n"/>
    </row>
    <row r="140" ht="15.75" customHeight="1" s="137">
      <c r="A140" s="115" t="n"/>
      <c r="B140" s="115" t="n"/>
      <c r="C140" s="115" t="n"/>
      <c r="D140" s="115" t="n"/>
      <c r="E140" s="115" t="n"/>
      <c r="F140" s="115"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137">
      <c r="A141" s="185" t="inlineStr">
        <is>
          <t>Estimated Team Hours</t>
        </is>
      </c>
      <c r="B141" s="115" t="n"/>
      <c r="C141" s="119" t="n"/>
      <c r="D141" s="201">
        <f>IF(ISNUMBER(C141),C141*90,0)</f>
        <v/>
      </c>
      <c r="E141" s="214" t="inlineStr">
        <is>
          <t>Hours × $90/hr</t>
        </is>
      </c>
      <c r="F141" s="115" t="n"/>
      <c r="G141" s="84" t="n"/>
      <c r="H141" s="84" t="n"/>
      <c r="I141" s="84" t="n"/>
      <c r="J141" s="1" t="n"/>
      <c r="K141" s="1" t="n"/>
      <c r="L141" s="1" t="n"/>
      <c r="M141" s="1" t="n"/>
      <c r="N141" s="1" t="n"/>
      <c r="O141" s="1" t="n"/>
      <c r="P141" s="1" t="n"/>
      <c r="Q141" s="1" t="n"/>
      <c r="R141" s="1" t="n"/>
      <c r="S141" s="1" t="n"/>
      <c r="T141" s="1" t="n"/>
      <c r="U141" s="1" t="n"/>
      <c r="V141" s="1" t="n"/>
      <c r="W141" s="1" t="n"/>
      <c r="X141" s="1" t="n"/>
      <c r="Y141" s="1" t="n"/>
      <c r="Z141" s="1" t="n"/>
    </row>
    <row r="142" ht="15.75" customHeight="1" s="137">
      <c r="A142" s="183" t="inlineStr">
        <is>
          <t>True Net Profit</t>
        </is>
      </c>
      <c r="B142" s="115" t="n"/>
      <c r="C142" s="115" t="n"/>
      <c r="D142" s="201">
        <f>D137-D141-D131</f>
        <v/>
      </c>
      <c r="E142" s="115" t="n"/>
      <c r="F142" s="115" t="n"/>
      <c r="G142" s="84" t="n"/>
      <c r="H142" s="84" t="n"/>
      <c r="I142" s="84" t="n"/>
      <c r="J142" s="1" t="n"/>
      <c r="K142" s="1" t="n"/>
      <c r="L142" s="1" t="n"/>
      <c r="M142" s="1" t="n"/>
      <c r="N142" s="1" t="n"/>
      <c r="O142" s="1" t="n"/>
      <c r="P142" s="1" t="n"/>
      <c r="Q142" s="1" t="n"/>
      <c r="R142" s="1" t="n"/>
      <c r="S142" s="1" t="n"/>
      <c r="T142" s="1" t="n"/>
      <c r="U142" s="1" t="n"/>
      <c r="V142" s="1" t="n"/>
      <c r="W142" s="1" t="n"/>
      <c r="X142" s="1" t="n"/>
      <c r="Y142" s="1" t="n"/>
      <c r="Z142" s="1" t="n"/>
    </row>
    <row r="143" ht="15.75" customHeight="1" s="137">
      <c r="A143" s="185" t="inlineStr">
        <is>
          <t>True Net Margin %</t>
        </is>
      </c>
      <c r="B143" s="115" t="n"/>
      <c r="C143" s="115" t="n"/>
      <c r="D143" s="209">
        <f>IFERROR(IF(F104&gt;0,D142/F104,0),0)</f>
        <v/>
      </c>
      <c r="E143" s="115" t="n"/>
      <c r="F143" s="115" t="n"/>
      <c r="G143" s="85" t="n"/>
      <c r="H143" s="85" t="n"/>
      <c r="I143" s="85" t="n"/>
      <c r="J143" s="1" t="n"/>
      <c r="K143" s="1" t="n"/>
      <c r="L143" s="1" t="n"/>
      <c r="M143" s="1" t="n"/>
      <c r="N143" s="1" t="n"/>
      <c r="O143" s="1" t="n"/>
      <c r="P143" s="1" t="n"/>
      <c r="Q143" s="1" t="n"/>
      <c r="R143" s="1" t="n"/>
      <c r="S143" s="1" t="n"/>
      <c r="T143" s="1" t="n"/>
      <c r="U143" s="1" t="n"/>
      <c r="V143" s="1" t="n"/>
      <c r="W143" s="1" t="n"/>
      <c r="X143" s="1" t="n"/>
      <c r="Y143" s="1" t="n"/>
      <c r="Z143" s="1" t="n"/>
    </row>
    <row r="144" ht="15.75" customHeight="1" s="137">
      <c r="A144" s="183" t="inlineStr">
        <is>
          <t>True Net Health</t>
        </is>
      </c>
      <c r="B144" s="115" t="n"/>
      <c r="C144" s="115" t="n"/>
      <c r="D144" s="207">
        <f>IF(D143&gt;=0.15,"✓ STRONG",IF(D143&gt;=0.07,"→ ON TARGET",IF(D143&gt;=0,"⚠ THIN","✗ LOSING MONEY")))</f>
        <v/>
      </c>
      <c r="E144" s="115" t="n"/>
      <c r="F144" s="115" t="n"/>
      <c r="G144" s="84" t="n"/>
      <c r="H144" s="84" t="n"/>
      <c r="I144" s="84" t="n"/>
      <c r="J144" s="1" t="n"/>
      <c r="K144" s="1" t="n"/>
      <c r="L144" s="1" t="n"/>
      <c r="M144" s="1" t="n"/>
      <c r="N144" s="1" t="n"/>
      <c r="O144" s="1" t="n"/>
      <c r="P144" s="1" t="n"/>
      <c r="Q144" s="1" t="n"/>
      <c r="R144" s="1" t="n"/>
      <c r="S144" s="1" t="n"/>
      <c r="T144" s="1" t="n"/>
      <c r="U144" s="1" t="n"/>
      <c r="V144" s="1" t="n"/>
      <c r="W144" s="1" t="n"/>
      <c r="X144" s="1" t="n"/>
      <c r="Y144" s="1" t="n"/>
      <c r="Z144" s="1" t="n"/>
    </row>
    <row r="145" ht="15.75" customHeight="1" s="13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13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13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13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13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13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13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13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13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13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13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13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13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13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13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13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13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13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13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13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13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13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13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13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13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13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13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13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13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13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13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13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13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13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13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13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13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13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13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13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13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13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13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13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13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13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13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13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13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13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13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13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13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13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13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13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13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13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13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13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13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13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13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13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13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13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13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13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13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13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13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13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13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13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13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13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3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3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3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3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3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3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3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3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3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3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3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3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3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3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3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3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3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3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3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3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3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3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3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3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3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3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3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3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3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3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3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3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3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3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37">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3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37">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37">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37">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37">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37">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37">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37">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37">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37">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3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37">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37">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37">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37">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37">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37">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37">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37">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37">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3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37">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37">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37">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37">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37">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37">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37">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37">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37">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3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37">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37">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37">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37">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37">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37">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37">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37">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37">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3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37">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37">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37">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37">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37">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37">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37">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37">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37">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3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37">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37">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37">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37">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37">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37">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37">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37">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37">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3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37">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37">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37">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37">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37">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37">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37">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37">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37">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3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37">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37">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37">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37">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37">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37">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37">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37">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37">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37">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37">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37">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37">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37">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37">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37">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37">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37">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3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37">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37">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37">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37">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37">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37">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37">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37">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37">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3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37">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37">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37">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37">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37">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37">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37">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37">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37">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3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37">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37">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37">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37">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37">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37">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37">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37">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37">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3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37">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37">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37">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37">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37">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37">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37">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37">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37">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3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37">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37">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37">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37">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37">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37">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37">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37">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37">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3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37">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37">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37">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37">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37">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37">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37">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37">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37">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3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37">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37">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37">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37">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37">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37">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37">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37">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37">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3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37">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37">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37">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37">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37">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37">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37">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37">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37">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3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37">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37">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37">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37">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37">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37">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37">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37">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37">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37">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37">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37">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37">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37">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37">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37">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37">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37">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3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37">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37">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37">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37">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37">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37">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37">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37">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37">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3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37">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37">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37">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37">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37">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37">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37">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37">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37">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3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37">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37">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37">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37">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37">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37">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37">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37">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37">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3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37">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37">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37">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37">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37">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37">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37">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37">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37">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3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37">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37">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37">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37">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37">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37">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37">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37">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37">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3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37">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37">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37">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37">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37">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37">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37">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37">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37">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3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37">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37">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37">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37">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37">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37">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37">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37">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37">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3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37">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37">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37">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37">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37">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37">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37">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37">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37">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3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37">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37">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37">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37">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37">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37">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37">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37">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37">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37">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37">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37">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37">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37">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37">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37">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37">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37">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3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37">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37">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37">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37">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37">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37">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37">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37">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37">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3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37">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37">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37">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37">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37">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37">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37">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37">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37">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3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37">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37">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37">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37">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37">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37">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37">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37">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37">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3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37">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37">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37">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37">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37">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37">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37">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37">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37">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3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37">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37">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37">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37">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37">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37">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37">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37">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37">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3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37">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37">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37">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37">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37">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37">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37">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37">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37">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3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37">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37">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37">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37">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37">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37">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37">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37">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37">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3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37">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37">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37">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37">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37">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37">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37">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37">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37">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3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37">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37">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37">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37">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37">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37">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37">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37">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37">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37">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37">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37">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37">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37">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37">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37">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37">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37">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3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37">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37">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37">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37">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37">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37">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37">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37">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37">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3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37">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37">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37">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37">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37">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37">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37">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37">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37">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3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37">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37">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37">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37">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37">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37">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37">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37">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37">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3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37">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37">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37">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37">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37">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37">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37">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37">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37">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3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37">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37">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37">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37">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37">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37">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37">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37">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37">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3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37">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37">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37">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37">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37">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37">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37">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37">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37">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3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37">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37">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37">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37">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37">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37">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37">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37">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37">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3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37">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37">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37">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37">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37">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37">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37">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37">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37">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3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37">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37">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37">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37">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37">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37">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37">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37">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37">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37">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37">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37">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37">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37">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37">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37">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37">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37">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3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37">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37">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37">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37">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37">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37">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37">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37">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37">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3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37">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37">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37">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37">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37">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37">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37">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37">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37">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3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37">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37">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37">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37">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37">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37">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37">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37">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37">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3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37">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37">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37">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37">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37">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37">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37">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37">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37">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3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37">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37">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37">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37">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37">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37">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37">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37">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37">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3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37">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37">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37">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37">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37">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37">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37">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37">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37">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3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37">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37">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37">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37">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37">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37">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37">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37">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37">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3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37">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37">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37">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37">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37">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37">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37">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37">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37">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3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37">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37">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37">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37">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37">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37">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37">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37">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37">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37">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37">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37">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37">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37">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37">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37">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37">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37">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3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37">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37">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37">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37">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37">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37">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37">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37">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37">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3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37">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37">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37">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37">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37">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37">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37">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37">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37">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3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37">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37">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37">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37">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37">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37">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37">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37">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37">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3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37">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37">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37">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37">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37">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37">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37">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37">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37">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3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37">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37">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37">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37">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37">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37">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37">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37">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37">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3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37">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37">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37">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37">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37">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37">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37">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37">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37">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3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37">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37">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37">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37">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37">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37">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37">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37">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37">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3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37">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37">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37">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37">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37">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37">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37">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37">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37">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3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37">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37">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37">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37">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37">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37">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37">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37">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37">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37">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37">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37">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37">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37">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37">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37">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37">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37">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3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37">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37">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37">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37">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37">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37">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37">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37">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37">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3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37">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37">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37">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37">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37">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37">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37">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37">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37">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3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37">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37">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37">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37">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37">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37">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37">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37">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37">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3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37">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37">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37">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37">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37">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37">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37">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37">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37">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3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37">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37">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37">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37">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37">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37">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37">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37">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37">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37">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37">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37">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37">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6" customHeight="1" s="137">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6" customHeight="1" s="137">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6" customHeight="1" s="137">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6" customHeight="1" s="137">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6" customHeight="1" s="137">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6" customHeight="1" s="137">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6" customHeight="1" s="137">
      <c r="A1007" s="1"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6" customHeight="1" s="137">
      <c r="A1008" s="1"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6" customHeight="1" s="137">
      <c r="A1009" s="1"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6" customHeight="1" s="137">
      <c r="A1010" s="1"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6" customHeight="1" s="137">
      <c r="A1011" s="1"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6" customHeight="1" s="137">
      <c r="A1012" s="1"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6" customHeight="1" s="137">
      <c r="A1013" s="1" t="n"/>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6" customHeight="1" s="137">
      <c r="A1014" s="1" t="n"/>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6" customHeight="1" s="137">
      <c r="A1015" s="1" t="n"/>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6" customHeight="1" s="137">
      <c r="A1016" s="1" t="n"/>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6" customHeight="1" s="137">
      <c r="A1017" s="1" t="n"/>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6" customHeight="1" s="137">
      <c r="A1018" s="1" t="n"/>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6" customHeight="1" s="137">
      <c r="A1019" s="1" t="n"/>
      <c r="B1019" s="1" t="n"/>
      <c r="C1019" s="1"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6" customHeight="1" s="137">
      <c r="A1020" s="1" t="n"/>
      <c r="B1020" s="1" t="n"/>
      <c r="C1020" s="1"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6" customHeight="1" s="137">
      <c r="A1021" s="1" t="n"/>
      <c r="B1021" s="1" t="n"/>
      <c r="C1021" s="1"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6" customHeight="1" s="137">
      <c r="A1022" s="1" t="n"/>
      <c r="B1022" s="1" t="n"/>
      <c r="C1022" s="1" t="n"/>
      <c r="D1022" s="1" t="n"/>
      <c r="E1022" s="1" t="n"/>
      <c r="F1022" s="1" t="n"/>
      <c r="G1022" s="1" t="n"/>
      <c r="H1022" s="1" t="n"/>
      <c r="I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6" customHeight="1" s="137">
      <c r="A1023" s="1" t="n"/>
      <c r="B1023" s="1" t="n"/>
      <c r="C1023" s="1" t="n"/>
      <c r="D1023" s="1" t="n"/>
      <c r="E1023" s="1" t="n"/>
      <c r="F1023" s="1" t="n"/>
      <c r="G1023" s="1" t="n"/>
      <c r="H1023" s="1" t="n"/>
      <c r="I1023" s="1" t="n"/>
      <c r="J1023" s="1" t="n"/>
      <c r="K1023" s="1" t="n"/>
      <c r="L1023" s="1" t="n"/>
      <c r="M1023" s="1" t="n"/>
      <c r="N1023" s="1" t="n"/>
      <c r="O1023" s="1" t="n"/>
      <c r="P1023" s="1" t="n"/>
      <c r="Q1023" s="1" t="n"/>
      <c r="R1023" s="1" t="n"/>
      <c r="S1023" s="1" t="n"/>
      <c r="T1023" s="1" t="n"/>
      <c r="U1023" s="1" t="n"/>
      <c r="V1023" s="1" t="n"/>
      <c r="W1023" s="1" t="n"/>
      <c r="X1023" s="1" t="n"/>
      <c r="Y1023" s="1" t="n"/>
      <c r="Z1023" s="1" t="n"/>
    </row>
    <row r="1024" ht="16" customHeight="1" s="137">
      <c r="A1024" s="1" t="n"/>
      <c r="B1024" s="1" t="n"/>
      <c r="C1024" s="1" t="n"/>
      <c r="D1024" s="1" t="n"/>
      <c r="E1024" s="1" t="n"/>
      <c r="F1024" s="1" t="n"/>
      <c r="G1024" s="1" t="n"/>
      <c r="H1024" s="1" t="n"/>
      <c r="I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6" customHeight="1" s="137">
      <c r="A1025" s="1" t="n"/>
      <c r="B1025" s="1" t="n"/>
      <c r="C1025" s="1" t="n"/>
      <c r="D1025" s="1" t="n"/>
      <c r="E1025" s="1" t="n"/>
      <c r="F1025" s="1" t="n"/>
      <c r="G1025" s="1" t="n"/>
      <c r="H1025" s="1" t="n"/>
      <c r="I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6" customHeight="1" s="137">
      <c r="A1026" s="1" t="n"/>
      <c r="B1026" s="1" t="n"/>
      <c r="C1026" s="1" t="n"/>
      <c r="D1026" s="1" t="n"/>
      <c r="E1026" s="1" t="n"/>
      <c r="F1026" s="1" t="n"/>
      <c r="G1026" s="1" t="n"/>
      <c r="H1026" s="1" t="n"/>
      <c r="I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6" customHeight="1" s="137">
      <c r="A1027" s="1" t="n"/>
      <c r="B1027" s="1" t="n"/>
      <c r="C1027" s="1" t="n"/>
      <c r="D1027" s="1" t="n"/>
      <c r="E1027" s="1" t="n"/>
      <c r="F1027" s="1" t="n"/>
      <c r="G1027" s="1" t="n"/>
      <c r="H1027" s="1" t="n"/>
      <c r="I1027" s="1" t="n"/>
      <c r="J1027" s="1" t="n"/>
      <c r="K1027" s="1" t="n"/>
      <c r="L1027" s="1" t="n"/>
      <c r="M1027" s="1" t="n"/>
      <c r="N1027" s="1" t="n"/>
      <c r="O1027" s="1" t="n"/>
      <c r="P1027" s="1" t="n"/>
      <c r="Q1027" s="1" t="n"/>
      <c r="R1027" s="1" t="n"/>
      <c r="S1027" s="1" t="n"/>
      <c r="T1027" s="1" t="n"/>
      <c r="U1027" s="1" t="n"/>
      <c r="V1027" s="1" t="n"/>
      <c r="W1027" s="1" t="n"/>
      <c r="X1027" s="1" t="n"/>
      <c r="Y1027" s="1" t="n"/>
      <c r="Z1027" s="1" t="n"/>
    </row>
  </sheetData>
  <mergeCells count="14">
    <mergeCell ref="A4:H4"/>
    <mergeCell ref="B6:C6"/>
    <mergeCell ref="J4:K4"/>
    <mergeCell ref="M7:N7"/>
    <mergeCell ref="B7:C7"/>
    <mergeCell ref="J5:K5"/>
    <mergeCell ref="B5:C5"/>
    <mergeCell ref="A2:H2"/>
    <mergeCell ref="J7:K7"/>
    <mergeCell ref="M5:N5"/>
    <mergeCell ref="A1:H1"/>
    <mergeCell ref="B9:C9"/>
    <mergeCell ref="B8:C8"/>
    <mergeCell ref="M4:N4"/>
  </mergeCells>
  <dataValidations count="12">
    <dataValidation sqref="I16 I17 I18 I19 I20 I21 I22 I23 I24 I25 I27 I28 I29 I35 I36 I37 I38 I39 I40 I41 I42 I44 I45 I46 I47 I48 I49 I50 I51 I53 I54 I55 I56 I57 I58 I59 I60 I62 I63 I64 I65 I66 I67 I69 I70 I71 I72 I73 I74 I80 I81 I82 I83 I84 I85 I86 I87 I88 I89 I91 I92 I93 I94 I95" showDropDown="0" showInputMessage="0" showErrorMessage="0" allowBlank="1" type="list">
      <formula1>CategoryList</formula1>
    </dataValidation>
    <dataValidation sqref="B112 C112 D112" showDropDown="0" showInputMessage="0" showErrorMessage="0" allowBlank="1" type="list">
      <formula1>OriginList</formula1>
    </dataValidation>
    <dataValidation sqref="B113 C113 D113" showDropDown="0" showInputMessage="0" showErrorMessage="0" allowBlank="1" type="list">
      <formula1>DestinationList</formula1>
    </dataValidation>
    <dataValidation sqref="B114 C114 D114" showDropDown="0" showInputMessage="0" showErrorMessage="0" allowBlank="1" type="list">
      <formula1>"Drive,Train,Flight"</formula1>
    </dataValidation>
    <dataValidation sqref="B115 C115 D115" showDropDown="0" showInputMessage="0" showErrorMessage="0" allowBlank="1" type="list">
      <formula1>"Short Haul,Medium Haul,Major Market to NYC"</formula1>
    </dataValidation>
    <dataValidation sqref="B116 C116 D116" showDropDown="0" showInputMessage="0" showErrorMessage="0" allowBlank="1" type="list">
      <formula1>"No,Yes"</formula1>
    </dataValidation>
    <dataValidation sqref="B117 C117 D117" showDropDown="0" showInputMessage="0" showErrorMessage="0" allowBlank="1" type="list">
      <formula1>"1,2,3,4,5"</formula1>
    </dataValidation>
    <dataValidation sqref="B118 C118 D118" showDropDown="0" showInputMessage="0" showErrorMessage="0" allowBlank="1" type="list">
      <formula1>"0,1,2,3,4,5"</formula1>
    </dataValidation>
    <dataValidation sqref="B119 C119 D119" showDropDown="0" showInputMessage="0" showErrorMessage="0" allowBlank="1" type="list">
      <formula1>"Low,High"</formula1>
    </dataValidation>
    <dataValidation sqref="B120 C120 D120" showDropDown="0" showInputMessage="0" showErrorMessage="0" allowBlank="1" type="list">
      <formula1>"None,Sedan,SUV,Sprinter"</formula1>
    </dataValidation>
    <dataValidation sqref="B121 C121 D121" showDropDown="0" showInputMessage="0" showErrorMessage="0" allowBlank="1" type="list">
      <formula1>"Hourly,Airport Transfer"</formula1>
    </dataValidation>
    <dataValidation sqref="B122 C122 D122" showDropDown="0" showInputMessage="0" showErrorMessage="0" allowBlank="1" type="list">
      <formula1>"1,2,3,4,5,6,7,8,10,12"</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2026-02-18T18:42:04Z</dcterms:created>
  <dcterms:modified xsi:type="dcterms:W3CDTF">2026-02-24T02:49:47Z</dcterms:modified>
  <cp:lastModifiedBy>Alex Quill</cp:lastModifiedBy>
  <cp:revision>0</cp:revision>
</cp:coreProperties>
</file>