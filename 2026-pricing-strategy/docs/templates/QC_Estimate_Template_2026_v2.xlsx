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lient Setup" sheetId="1" state="visible" r:id="rId1"/>
    <sheet name="Venue Estimate" sheetId="2" state="visible" r:id="rId2"/>
    <sheet name="Decor Estimate" sheetId="3" state="visible" r:id="rId3"/>
    <sheet name="SAMPLE Decor Estimate" sheetId="4" state="visible" r:id="rId4"/>
  </sheets>
  <definedNames>
    <definedName name="CategoryTable">'Client Setup'!$A$23:$B$33</definedName>
    <definedName name="CategoryList">'Client Setup'!$A$23:$A$33</definedName>
    <definedName name="LocationList">'Client Setup'!$A$75:$A$96</definedName>
    <definedName name="TravelRates">'Client Setup'!$A$54:$F$63</definedName>
    <definedName name="DestinationList">'Client Setup'!$A$54:$A$63</definedName>
    <definedName name="VehicleRates">'Client Setup'!$A$67:$B$72</definedName>
    <definedName name="VehicleList">'Client Setup'!$A$67:$A$72</definedName>
  </definedNames>
  <calcPr calcId="124519" fullCalcOnLoad="1" refMode="A1" iterate="0" iterateCount="100" iterateDelta="0.0001"/>
</workbook>
</file>

<file path=xl/styles.xml><?xml version="1.0" encoding="utf-8"?>
<styleSheet xmlns="http://schemas.openxmlformats.org/spreadsheetml/2006/main">
  <numFmts count="7">
    <numFmt numFmtId="164" formatCode="mm/dd/yyyy"/>
    <numFmt numFmtId="165" formatCode="0.0%"/>
    <numFmt numFmtId="166" formatCode="0.0000%"/>
    <numFmt numFmtId="167" formatCode="\$#,##0.00"/>
    <numFmt numFmtId="168" formatCode="\$#,##0"/>
    <numFmt numFmtId="169" formatCode="$#,##0"/>
    <numFmt numFmtId="170" formatCode="$#,##0.00"/>
  </numFmts>
  <fonts count="39">
    <font>
      <name val="Calibri"/>
      <charset val="1"/>
      <family val="0"/>
      <color theme="1"/>
      <sz val="11"/>
    </font>
    <font>
      <name val="Arial"/>
      <family val="0"/>
      <sz val="10"/>
    </font>
    <font>
      <name val="Arial"/>
      <family val="0"/>
      <sz val="10"/>
    </font>
    <font>
      <name val="Arial"/>
      <family val="0"/>
      <sz val="10"/>
    </font>
    <font>
      <name val="Playfair Display"/>
      <charset val="1"/>
      <family val="0"/>
      <color theme="1"/>
      <sz val="11"/>
    </font>
    <font>
      <name val="Playfair Display"/>
      <charset val="1"/>
      <family val="0"/>
      <color rgb="FFA9AEB4"/>
      <sz val="11"/>
    </font>
    <font>
      <name val="Playfair Display"/>
      <charset val="1"/>
      <family val="0"/>
      <b val="1"/>
      <color rgb="FFECDFCE"/>
      <sz val="11"/>
    </font>
    <font>
      <name val="Playfair Display"/>
      <charset val="1"/>
      <family val="0"/>
      <b val="1"/>
      <color rgb="FF464543"/>
      <sz val="10"/>
    </font>
    <font>
      <name val="Playfair Display"/>
      <charset val="1"/>
      <family val="0"/>
      <b val="1"/>
      <color rgb="FF846E60"/>
      <sz val="10"/>
    </font>
    <font>
      <name val="Playfair Display"/>
      <charset val="1"/>
      <family val="0"/>
      <i val="1"/>
      <color rgb="FFA9AEB4"/>
      <sz val="9"/>
    </font>
    <font>
      <name val="Playfair Display"/>
      <charset val="1"/>
      <family val="0"/>
      <color rgb="FF464543"/>
      <sz val="10"/>
    </font>
    <font>
      <name val="Playfair Display"/>
      <charset val="1"/>
      <family val="0"/>
      <b val="1"/>
      <color rgb="FFA9AEB4"/>
      <sz val="8"/>
    </font>
    <font>
      <name val="Playfair Display"/>
      <charset val="1"/>
      <family val="0"/>
      <color rgb="FFA9AEB4"/>
      <sz val="8"/>
    </font>
    <font>
      <name val="Playfair Display"/>
      <charset val="1"/>
      <family val="0"/>
      <color rgb="FFA9AEB4"/>
      <sz val="9"/>
    </font>
    <font>
      <name val="Cambria"/>
      <charset val="1"/>
      <family val="0"/>
      <sz val="11"/>
    </font>
    <font>
      <name val="Playfair Display"/>
      <charset val="1"/>
      <family val="0"/>
      <b val="1"/>
      <color rgb="FFECDFCE"/>
      <sz val="12"/>
    </font>
    <font>
      <name val="Playfair Display"/>
      <charset val="1"/>
      <family val="0"/>
      <b val="1"/>
      <color rgb="FF464543"/>
      <sz val="11"/>
    </font>
    <font>
      <name val="Playfair Display"/>
      <charset val="1"/>
      <family val="0"/>
      <color rgb="FF464543"/>
      <sz val="11"/>
    </font>
    <font>
      <name val="Playfair Display"/>
      <charset val="1"/>
      <family val="0"/>
      <b val="1"/>
      <color rgb="FFA9AEB4"/>
      <sz val="9"/>
    </font>
    <font>
      <name val="Playfair Display"/>
      <charset val="1"/>
      <family val="0"/>
      <b val="1"/>
      <color rgb="FFECDFCE"/>
      <sz val="10"/>
    </font>
    <font>
      <name val="Playfair Display"/>
      <charset val="1"/>
      <family val="0"/>
      <b val="1"/>
      <color rgb="FF856404"/>
      <sz val="10"/>
    </font>
    <font>
      <name val="Playfair Display"/>
      <charset val="1"/>
      <family val="0"/>
      <b val="1"/>
      <color rgb="FF464543"/>
      <sz val="13"/>
    </font>
    <font>
      <name val="Playfair Display"/>
      <charset val="1"/>
      <family val="0"/>
      <color rgb="FFA9AEB4"/>
      <sz val="10"/>
    </font>
    <font>
      <name val="Playfair Display"/>
      <charset val="1"/>
      <family val="0"/>
      <b val="1"/>
      <color rgb="FF846E60"/>
      <sz val="9"/>
    </font>
    <font>
      <name val="Playfair Display"/>
      <charset val="1"/>
      <family val="0"/>
      <b val="1"/>
      <color rgb="FFECDFCE"/>
      <sz val="13"/>
    </font>
    <font>
      <name val="Playfair Display"/>
      <charset val="1"/>
      <family val="0"/>
      <b val="1"/>
      <color rgb="FFC19C81"/>
      <sz val="12"/>
    </font>
    <font>
      <name val="Playfair Display"/>
      <charset val="1"/>
      <family val="0"/>
      <b val="1"/>
      <color rgb="FF464543"/>
      <sz val="12"/>
    </font>
    <font>
      <name val="Playfair Display"/>
      <charset val="1"/>
      <family val="0"/>
      <b val="1"/>
      <sz val="10"/>
    </font>
    <font>
      <name val="Playfair Display"/>
      <charset val="1"/>
      <family val="0"/>
      <b val="1"/>
      <color rgb="FFC19C81"/>
      <sz val="10"/>
    </font>
    <font>
      <name val="Playfair Display"/>
      <charset val="1"/>
      <family val="0"/>
      <i val="1"/>
      <color rgb="FF846E60"/>
      <sz val="9"/>
    </font>
    <font>
      <name val="Playfair Display"/>
      <b val="1"/>
      <color rgb="FF464543"/>
      <sz val="10"/>
    </font>
    <font>
      <name val="Playfair Display"/>
      <b val="1"/>
      <color rgb="FF846E60"/>
      <sz val="10"/>
    </font>
    <font>
      <name val="Playfair Display"/>
      <b val="1"/>
      <color rgb="FFECDFCE"/>
      <sz val="10"/>
    </font>
    <font>
      <name val="Playfair Display"/>
      <color rgb="FF464543"/>
      <sz val="10"/>
    </font>
    <font>
      <name val="Playfair Display"/>
      <color rgb="FFA9AEB4"/>
      <sz val="9"/>
    </font>
    <font>
      <name val="Playfair Display"/>
      <color rgb="FFA9AEB4"/>
      <sz val="8"/>
    </font>
    <font>
      <name val="Playfair Display"/>
      <b val="1"/>
      <color rgb="FF846E60"/>
      <sz val="11"/>
    </font>
    <font>
      <name val="Playfair Display"/>
      <b val="1"/>
      <color rgb="FFC19C81"/>
      <sz val="10"/>
    </font>
    <font>
      <name val="Playfair Display"/>
      <color rgb="FF846E60"/>
      <sz val="10"/>
    </font>
  </fonts>
  <fills count="22">
    <fill>
      <patternFill/>
    </fill>
    <fill>
      <patternFill patternType="gray125"/>
    </fill>
    <fill>
      <patternFill patternType="solid">
        <fgColor rgb="FF464543"/>
        <bgColor rgb="FF333300"/>
      </patternFill>
    </fill>
    <fill>
      <patternFill patternType="solid">
        <fgColor rgb="FF846E60"/>
        <bgColor rgb="FF666699"/>
      </patternFill>
    </fill>
    <fill>
      <patternFill patternType="solid">
        <fgColor rgb="FFFAF6F3"/>
        <bgColor rgb="FFFFF8F0"/>
      </patternFill>
    </fill>
    <fill>
      <patternFill patternType="solid">
        <fgColor rgb="FFFFF8F0"/>
        <bgColor rgb="FFFAF6F3"/>
      </patternFill>
    </fill>
    <fill>
      <patternFill patternType="solid">
        <fgColor rgb="FFF5F0EB"/>
        <bgColor rgb="FFF2F0ED"/>
      </patternFill>
    </fill>
    <fill>
      <patternFill patternType="solid">
        <fgColor rgb="FFFFFFFF"/>
        <bgColor rgb="FFFFF8F0"/>
      </patternFill>
    </fill>
    <fill>
      <patternFill patternType="solid">
        <fgColor rgb="FFC19C81"/>
        <bgColor rgb="FFA9AEB4"/>
      </patternFill>
    </fill>
    <fill>
      <patternFill patternType="solid">
        <fgColor rgb="FFFFF3CD"/>
        <bgColor rgb="FFFDF5E6"/>
      </patternFill>
    </fill>
    <fill>
      <patternFill patternType="solid">
        <fgColor rgb="FFE8D9C8"/>
        <bgColor rgb="FFECDFCE"/>
      </patternFill>
    </fill>
    <fill>
      <patternFill patternType="solid">
        <fgColor rgb="FFDDD0C2"/>
        <bgColor rgb="FFE8D9C8"/>
      </patternFill>
    </fill>
    <fill>
      <patternFill patternType="solid">
        <fgColor rgb="FFF2F0ED"/>
        <bgColor rgb="FFF5F0EB"/>
      </patternFill>
    </fill>
    <fill>
      <patternFill patternType="solid">
        <fgColor rgb="FFFDF5E6"/>
        <bgColor rgb="FFFFF8F0"/>
      </patternFill>
    </fill>
    <fill>
      <patternFill patternType="solid">
        <fgColor rgb="FFF0E8DD"/>
        <bgColor rgb="FFF5F0EB"/>
      </patternFill>
    </fill>
    <fill>
      <patternFill patternType="solid">
        <fgColor rgb="FFFAF6F3"/>
      </patternFill>
    </fill>
    <fill>
      <patternFill patternType="solid">
        <fgColor rgb="FFFFF8F0"/>
      </patternFill>
    </fill>
    <fill>
      <patternFill patternType="solid">
        <fgColor rgb="FFC19C81"/>
      </patternFill>
    </fill>
    <fill>
      <patternFill patternType="solid">
        <fgColor rgb="FFE8D9C8"/>
      </patternFill>
    </fill>
    <fill>
      <patternFill patternType="solid">
        <fgColor rgb="FFF5F0EB"/>
      </patternFill>
    </fill>
    <fill>
      <patternFill patternType="solid">
        <fgColor rgb="FFFFFFFF"/>
      </patternFill>
    </fill>
    <fill>
      <patternFill patternType="solid">
        <fgColor rgb="FFECDFCE"/>
      </patternFill>
    </fill>
  </fills>
  <borders count="14">
    <border>
      <left/>
      <right/>
      <top/>
      <bottom/>
      <diagonal/>
    </border>
    <border>
      <left style="thin">
        <color rgb="FFECDFCE"/>
      </left>
      <right style="thin">
        <color rgb="FFECDFCE"/>
      </right>
      <top style="thin">
        <color rgb="FFECDFCE"/>
      </top>
      <bottom style="thin">
        <color rgb="FFECDFCE"/>
      </bottom>
      <diagonal/>
    </border>
    <border>
      <left style="thin">
        <color rgb="FFECDFCE"/>
      </left>
      <right style="thin">
        <color rgb="FFECDFCE"/>
      </right>
      <top/>
      <bottom style="medium">
        <color rgb="FFC19C81"/>
      </bottom>
      <diagonal/>
    </border>
    <border>
      <left/>
      <right/>
      <top style="medium">
        <color rgb="FF464543"/>
      </top>
      <bottom/>
      <diagonal/>
    </border>
    <border>
      <left style="thin">
        <color rgb="FFECDFCE"/>
      </left>
      <right style="thin">
        <color rgb="FFECDFCE"/>
      </right>
      <top style="thin">
        <color rgb="FFECDFCE"/>
      </top>
      <bottom style="medium">
        <color rgb="FFC19C81"/>
      </bottom>
      <diagonal/>
    </border>
    <border>
      <left/>
      <right/>
      <top/>
      <bottom style="medium">
        <color rgb="FF464543"/>
      </bottom>
      <diagonal/>
    </border>
    <border>
      <left style="thin">
        <color rgb="FFECDFCE"/>
      </left>
      <right style="thin">
        <color rgb="FFECDFCE"/>
      </right>
      <top/>
      <bottom style="thin">
        <color rgb="FFC19C81"/>
      </bottom>
      <diagonal/>
    </border>
    <border>
      <left/>
      <right/>
      <top style="thin">
        <color rgb="FFECDFCE"/>
      </top>
      <bottom/>
      <diagonal/>
    </border>
    <border>
      <left/>
      <right style="thin">
        <color rgb="FFECDFCE"/>
      </right>
      <top style="thin">
        <color rgb="FFECDFCE"/>
      </top>
      <bottom/>
      <diagonal/>
    </border>
    <border>
      <left/>
      <right/>
      <top style="thin">
        <color rgb="FFECDFCE"/>
      </top>
      <bottom style="thin">
        <color rgb="FFECDFCE"/>
      </bottom>
      <diagonal/>
    </border>
    <border>
      <left/>
      <right style="thin">
        <color rgb="FFECDFCE"/>
      </right>
      <top style="thin">
        <color rgb="FFECDFCE"/>
      </top>
      <bottom style="thin">
        <color rgb="FFECDFCE"/>
      </bottom>
      <diagonal/>
    </border>
    <border>
      <left/>
      <right/>
      <top style="thin">
        <color rgb="FFECDFCE"/>
      </top>
      <bottom style="medium">
        <color rgb="FFC19C81"/>
      </bottom>
      <diagonal/>
    </border>
    <border>
      <left/>
      <right style="thin">
        <color rgb="FFECDFCE"/>
      </right>
      <top style="thin">
        <color rgb="FFECDFCE"/>
      </top>
      <bottom style="medium">
        <color rgb="FFC19C81"/>
      </bottom>
      <diagonal/>
    </border>
    <border>
      <bottom style="thin">
        <color rgb="FFD4C5B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0">
    <xf numFmtId="0" fontId="0" fillId="0" borderId="0" applyAlignment="1" pivotButton="0" quotePrefix="0" xfId="0">
      <alignment horizontal="general" vertical="bottom"/>
    </xf>
    <xf numFmtId="0" fontId="4" fillId="2" borderId="1"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left" vertical="center"/>
    </xf>
    <xf numFmtId="0" fontId="4" fillId="0" borderId="0" applyAlignment="1" pivotButton="0" quotePrefix="0" xfId="0">
      <alignment horizontal="general" vertical="bottom"/>
    </xf>
    <xf numFmtId="0" fontId="6" fillId="3" borderId="1" applyAlignment="1" pivotButton="0" quotePrefix="0" xfId="0">
      <alignment horizontal="left" vertical="center"/>
    </xf>
    <xf numFmtId="0" fontId="7" fillId="4" borderId="1" applyAlignment="1" pivotButton="0" quotePrefix="0" xfId="0">
      <alignment horizontal="left" vertical="center"/>
    </xf>
    <xf numFmtId="0" fontId="8" fillId="5" borderId="1" applyAlignment="1" pivotButton="0" quotePrefix="0" xfId="0">
      <alignment horizontal="center" vertical="center"/>
    </xf>
    <xf numFmtId="0" fontId="4" fillId="4" borderId="1" applyAlignment="1" pivotButton="0" quotePrefix="0" xfId="0">
      <alignment horizontal="general" vertical="bottom"/>
    </xf>
    <xf numFmtId="164" fontId="8" fillId="5" borderId="1" applyAlignment="1" pivotButton="0" quotePrefix="0" xfId="0">
      <alignment horizontal="center" vertical="center"/>
    </xf>
    <xf numFmtId="3" fontId="8" fillId="5" borderId="1" applyAlignment="1" pivotButton="0" quotePrefix="0" xfId="0">
      <alignment horizontal="center" vertical="center"/>
    </xf>
    <xf numFmtId="0" fontId="9" fillId="4" borderId="1" applyAlignment="1" pivotButton="0" quotePrefix="0" xfId="0">
      <alignment horizontal="general" vertical="bottom"/>
    </xf>
    <xf numFmtId="0" fontId="10" fillId="4" borderId="1" applyAlignment="1" pivotButton="0" quotePrefix="0" xfId="0">
      <alignment horizontal="left" vertical="center"/>
    </xf>
    <xf numFmtId="10" fontId="7" fillId="6" borderId="1" applyAlignment="1" pivotButton="0" quotePrefix="0" xfId="0">
      <alignment horizontal="center" vertical="center"/>
    </xf>
    <xf numFmtId="9" fontId="8" fillId="5" borderId="1" applyAlignment="1" pivotButton="0" quotePrefix="0" xfId="0">
      <alignment horizontal="center" vertical="center"/>
    </xf>
    <xf numFmtId="0" fontId="9" fillId="4" borderId="1" applyAlignment="1" pivotButton="0" quotePrefix="0" xfId="0">
      <alignment horizontal="left" vertical="center"/>
    </xf>
    <xf numFmtId="165" fontId="8" fillId="5" borderId="1" applyAlignment="1" pivotButton="0" quotePrefix="0" xfId="0">
      <alignment horizontal="center" vertical="center"/>
    </xf>
    <xf numFmtId="0" fontId="10" fillId="7" borderId="1" applyAlignment="1" pivotButton="0" quotePrefix="0" xfId="0">
      <alignment horizontal="left" vertical="center" wrapText="1"/>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166" fontId="12" fillId="0" borderId="0" applyAlignment="1" pivotButton="0" quotePrefix="0" xfId="0">
      <alignment horizontal="general" vertical="bottom"/>
    </xf>
    <xf numFmtId="0" fontId="13" fillId="4" borderId="1" applyAlignment="1" pivotButton="0" quotePrefix="0" xfId="0">
      <alignment horizontal="left" vertical="center"/>
    </xf>
    <xf numFmtId="0" fontId="14" fillId="0" borderId="0" applyAlignment="1" pivotButton="0" quotePrefix="0" xfId="0">
      <alignment horizontal="general" vertical="bottom"/>
    </xf>
    <xf numFmtId="167" fontId="8" fillId="5" borderId="1" applyAlignment="1" pivotButton="0" quotePrefix="0" xfId="0">
      <alignment horizontal="center" vertical="center"/>
    </xf>
    <xf numFmtId="0" fontId="15" fillId="2" borderId="1" applyAlignment="1" pivotButton="0" quotePrefix="0" xfId="0">
      <alignment horizontal="center" vertical="center"/>
    </xf>
    <xf numFmtId="0" fontId="16" fillId="4" borderId="1" applyAlignment="1" pivotButton="0" quotePrefix="0" xfId="0">
      <alignment horizontal="left" vertical="center"/>
    </xf>
    <xf numFmtId="0" fontId="17" fillId="4" borderId="1" applyAlignment="1" pivotButton="0" quotePrefix="0" xfId="0">
      <alignment horizontal="right" vertical="center"/>
    </xf>
    <xf numFmtId="0" fontId="18" fillId="4" borderId="1" applyAlignment="1" pivotButton="0" quotePrefix="0" xfId="0">
      <alignment horizontal="center" vertical="center"/>
    </xf>
    <xf numFmtId="0" fontId="17" fillId="4" borderId="1" applyAlignment="1" pivotButton="0" quotePrefix="0" xfId="0">
      <alignment horizontal="left" vertical="center"/>
    </xf>
    <xf numFmtId="3" fontId="18" fillId="4" borderId="1" applyAlignment="1" pivotButton="0" quotePrefix="0" xfId="0">
      <alignment horizontal="center" vertical="center"/>
    </xf>
    <xf numFmtId="0" fontId="19" fillId="8" borderId="1" applyAlignment="1" pivotButton="0" quotePrefix="0" xfId="0">
      <alignment horizontal="left" vertical="center"/>
    </xf>
    <xf numFmtId="0" fontId="19" fillId="8" borderId="1" applyAlignment="1" pivotButton="0" quotePrefix="0" xfId="0">
      <alignment horizontal="center" vertical="center"/>
    </xf>
    <xf numFmtId="168" fontId="17" fillId="4" borderId="1" applyAlignment="1" pivotButton="0" quotePrefix="0" xfId="0">
      <alignment horizontal="right" vertical="center"/>
    </xf>
    <xf numFmtId="168" fontId="7" fillId="6" borderId="1" applyAlignment="1" pivotButton="0" quotePrefix="0" xfId="0">
      <alignment horizontal="right" vertical="center"/>
    </xf>
    <xf numFmtId="0" fontId="20" fillId="9" borderId="1" applyAlignment="1" pivotButton="0" quotePrefix="0" xfId="0">
      <alignment horizontal="center" vertical="center"/>
    </xf>
    <xf numFmtId="0" fontId="14" fillId="4" borderId="2" applyAlignment="1" pivotButton="0" quotePrefix="0" xfId="0">
      <alignment horizontal="general" vertical="bottom"/>
    </xf>
    <xf numFmtId="0" fontId="7" fillId="10" borderId="1" applyAlignment="1" pivotButton="0" quotePrefix="0" xfId="0">
      <alignment horizontal="left" vertical="center"/>
    </xf>
    <xf numFmtId="0" fontId="16" fillId="4" borderId="1" applyAlignment="1" pivotButton="0" quotePrefix="0" xfId="0">
      <alignment horizontal="left" vertical="center"/>
    </xf>
    <xf numFmtId="168" fontId="21" fillId="4" borderId="1" applyAlignment="1" pivotButton="0" quotePrefix="0" xfId="0">
      <alignment horizontal="right" vertical="center"/>
    </xf>
    <xf numFmtId="0" fontId="10" fillId="7" borderId="1" applyAlignment="1" pivotButton="0" quotePrefix="0" xfId="0">
      <alignment horizontal="left" vertical="center"/>
    </xf>
    <xf numFmtId="3" fontId="10" fillId="6" borderId="1" applyAlignment="1" pivotButton="0" quotePrefix="0" xfId="0">
      <alignment horizontal="center" vertical="center"/>
    </xf>
    <xf numFmtId="167" fontId="10" fillId="6" borderId="1" applyAlignment="1" pivotButton="0" quotePrefix="0" xfId="0">
      <alignment horizontal="right" vertical="center"/>
    </xf>
    <xf numFmtId="10" fontId="10" fillId="6" borderId="1" applyAlignment="1" pivotButton="0" quotePrefix="0" xfId="0">
      <alignment horizontal="center" vertical="center"/>
    </xf>
    <xf numFmtId="0" fontId="9" fillId="7" borderId="1" applyAlignment="1" pivotButton="0" quotePrefix="0" xfId="0">
      <alignment horizontal="general" vertical="bottom"/>
    </xf>
    <xf numFmtId="3" fontId="22" fillId="4" borderId="1" applyAlignment="1" pivotButton="0" quotePrefix="0" xfId="0">
      <alignment horizontal="right" vertical="center"/>
    </xf>
    <xf numFmtId="0" fontId="14" fillId="4" borderId="1" applyAlignment="1" pivotButton="0" quotePrefix="0" xfId="0">
      <alignment horizontal="general" vertical="bottom"/>
    </xf>
    <xf numFmtId="0" fontId="14" fillId="4" borderId="3" applyAlignment="1" pivotButton="0" quotePrefix="0" xfId="0">
      <alignment horizontal="general" vertical="bottom"/>
    </xf>
    <xf numFmtId="0" fontId="23" fillId="10" borderId="1" applyAlignment="1" pivotButton="0" quotePrefix="0" xfId="0">
      <alignment horizontal="left" vertical="center" wrapText="1"/>
    </xf>
    <xf numFmtId="0" fontId="9" fillId="7" borderId="1" applyAlignment="1" pivotButton="0" quotePrefix="0" xfId="0">
      <alignment horizontal="left" vertical="center" wrapText="1"/>
    </xf>
    <xf numFmtId="0" fontId="7" fillId="11" borderId="1" applyAlignment="1" pivotButton="0" quotePrefix="0" xfId="0">
      <alignment horizontal="left" vertical="center"/>
    </xf>
    <xf numFmtId="167" fontId="8" fillId="5" borderId="1" applyAlignment="1" pivotButton="0" quotePrefix="0" xfId="0">
      <alignment horizontal="center" vertical="center"/>
    </xf>
    <xf numFmtId="167" fontId="10" fillId="6" borderId="1" applyAlignment="1" pivotButton="0" quotePrefix="0" xfId="0">
      <alignment horizontal="right" vertical="center"/>
    </xf>
    <xf numFmtId="0" fontId="9" fillId="7" borderId="1" applyAlignment="1" pivotButton="0" quotePrefix="0" xfId="0">
      <alignment horizontal="left" vertical="center"/>
    </xf>
    <xf numFmtId="0" fontId="10" fillId="12" borderId="1" applyAlignment="1" pivotButton="0" quotePrefix="0" xfId="0">
      <alignment horizontal="left" vertical="center"/>
    </xf>
    <xf numFmtId="0" fontId="14" fillId="12" borderId="1" applyAlignment="1" pivotButton="0" quotePrefix="0" xfId="0">
      <alignment horizontal="general" vertical="bottom"/>
    </xf>
    <xf numFmtId="167" fontId="10" fillId="12" borderId="1" applyAlignment="1" pivotButton="0" quotePrefix="0" xfId="0">
      <alignment horizontal="right" vertical="center"/>
    </xf>
    <xf numFmtId="0" fontId="7" fillId="10" borderId="4" applyAlignment="1" pivotButton="0" quotePrefix="0" xfId="0">
      <alignment horizontal="left" vertical="center"/>
    </xf>
    <xf numFmtId="167" fontId="7" fillId="10" borderId="4" applyAlignment="1" pivotButton="0" quotePrefix="0" xfId="0">
      <alignment horizontal="right" vertical="center"/>
    </xf>
    <xf numFmtId="0" fontId="14" fillId="10" borderId="4" applyAlignment="1" pivotButton="0" quotePrefix="0" xfId="0">
      <alignment horizontal="general" vertical="bottom"/>
    </xf>
    <xf numFmtId="0" fontId="24" fillId="2" borderId="5" applyAlignment="1" pivotButton="0" quotePrefix="0" xfId="0">
      <alignment horizontal="left" vertical="center"/>
    </xf>
    <xf numFmtId="167" fontId="25" fillId="2" borderId="5" applyAlignment="1" pivotButton="0" quotePrefix="0" xfId="0">
      <alignment horizontal="right" vertical="center"/>
    </xf>
    <xf numFmtId="0" fontId="14" fillId="2" borderId="5" applyAlignment="1" pivotButton="0" quotePrefix="0" xfId="0">
      <alignment horizontal="general" vertical="bottom"/>
    </xf>
    <xf numFmtId="168" fontId="26" fillId="4" borderId="1" applyAlignment="1" pivotButton="0" quotePrefix="0" xfId="0">
      <alignment horizontal="center" vertical="center"/>
    </xf>
    <xf numFmtId="167" fontId="26" fillId="4" borderId="1" applyAlignment="1" pivotButton="0" quotePrefix="0" xfId="0">
      <alignment horizontal="center" vertical="center"/>
    </xf>
    <xf numFmtId="0" fontId="27" fillId="4" borderId="1" applyAlignment="1" pivotButton="0" quotePrefix="0" xfId="0">
      <alignment horizontal="left" vertical="center"/>
    </xf>
    <xf numFmtId="0" fontId="14" fillId="7" borderId="1" applyAlignment="1" pivotButton="0" quotePrefix="0" xfId="0">
      <alignment horizontal="general" vertical="bottom"/>
    </xf>
    <xf numFmtId="165" fontId="10" fillId="7" borderId="1" applyAlignment="1" pivotButton="0" quotePrefix="0" xfId="0">
      <alignment horizontal="right" vertical="center"/>
    </xf>
    <xf numFmtId="167" fontId="10" fillId="7" borderId="1" applyAlignment="1" pivotButton="0" quotePrefix="0" xfId="0">
      <alignment horizontal="right" vertical="center"/>
    </xf>
    <xf numFmtId="165" fontId="7" fillId="10" borderId="4" applyAlignment="1" pivotButton="0" quotePrefix="0" xfId="0">
      <alignment horizontal="right" vertical="center"/>
    </xf>
    <xf numFmtId="164" fontId="18" fillId="4" borderId="1" applyAlignment="1" pivotButton="0" quotePrefix="0" xfId="0">
      <alignment horizontal="center" vertical="center"/>
    </xf>
    <xf numFmtId="0" fontId="28" fillId="13" borderId="1" applyAlignment="1" pivotButton="0" quotePrefix="0" xfId="0">
      <alignment horizontal="left" vertical="center"/>
    </xf>
    <xf numFmtId="168" fontId="17" fillId="4" borderId="1" applyAlignment="1" pivotButton="0" quotePrefix="0" xfId="0">
      <alignment horizontal="right" vertical="center"/>
    </xf>
    <xf numFmtId="0" fontId="10" fillId="7" borderId="1" applyAlignment="1" pivotButton="0" quotePrefix="0" xfId="0">
      <alignment horizontal="general" vertical="bottom"/>
    </xf>
    <xf numFmtId="0" fontId="29" fillId="7" borderId="1" applyAlignment="1" pivotButton="0" quotePrefix="0" xfId="0">
      <alignment horizontal="general" vertical="bottom"/>
    </xf>
    <xf numFmtId="0" fontId="4" fillId="4" borderId="2" applyAlignment="1" pivotButton="0" quotePrefix="0" xfId="0">
      <alignment horizontal="general" vertical="bottom"/>
    </xf>
    <xf numFmtId="168" fontId="21" fillId="4" borderId="1" applyAlignment="1" pivotButton="0" quotePrefix="0" xfId="0">
      <alignment horizontal="right" vertical="center"/>
    </xf>
    <xf numFmtId="0" fontId="4" fillId="4" borderId="3" applyAlignment="1" pivotButton="0" quotePrefix="0" xfId="0">
      <alignment horizontal="general" vertical="bottom"/>
    </xf>
    <xf numFmtId="0" fontId="4" fillId="7" borderId="1" applyAlignment="1" pivotButton="0" quotePrefix="0" xfId="0">
      <alignment horizontal="general" vertical="bottom"/>
    </xf>
    <xf numFmtId="0" fontId="8" fillId="14" borderId="1" applyAlignment="1" pivotButton="0" quotePrefix="0" xfId="0">
      <alignment horizontal="left" vertical="center"/>
    </xf>
    <xf numFmtId="168" fontId="8" fillId="14" borderId="1" applyAlignment="1" pivotButton="0" quotePrefix="0" xfId="0">
      <alignment horizontal="right" vertical="center"/>
    </xf>
    <xf numFmtId="0" fontId="4" fillId="10" borderId="4" applyAlignment="1" pivotButton="0" quotePrefix="0" xfId="0">
      <alignment horizontal="general" vertical="bottom"/>
    </xf>
    <xf numFmtId="167" fontId="7" fillId="10" borderId="4" applyAlignment="1" pivotButton="0" quotePrefix="0" xfId="0">
      <alignment horizontal="right" vertical="center"/>
    </xf>
    <xf numFmtId="0" fontId="4" fillId="4" borderId="6" applyAlignment="1" pivotButton="0" quotePrefix="0" xfId="0">
      <alignment horizontal="general" vertical="bottom"/>
    </xf>
    <xf numFmtId="0" fontId="4" fillId="12" borderId="1" applyAlignment="1" pivotButton="0" quotePrefix="0" xfId="0">
      <alignment horizontal="general" vertical="bottom"/>
    </xf>
    <xf numFmtId="167" fontId="10" fillId="12" borderId="1" applyAlignment="1" pivotButton="0" quotePrefix="0" xfId="0">
      <alignment horizontal="right" vertical="center"/>
    </xf>
    <xf numFmtId="167" fontId="25" fillId="2" borderId="5" applyAlignment="1" pivotButton="0" quotePrefix="0" xfId="0">
      <alignment horizontal="right" vertical="center"/>
    </xf>
    <xf numFmtId="0" fontId="4" fillId="2" borderId="5" applyAlignment="1" pivotButton="0" quotePrefix="0" xfId="0">
      <alignment horizontal="general" vertical="bottom"/>
    </xf>
    <xf numFmtId="167" fontId="26" fillId="4" borderId="1" applyAlignment="1" pivotButton="0" quotePrefix="0" xfId="0">
      <alignment horizontal="center" vertical="center"/>
    </xf>
    <xf numFmtId="167" fontId="10" fillId="7" borderId="1" applyAlignment="1" pivotButton="0" quotePrefix="0" xfId="0">
      <alignment horizontal="right" vertical="center"/>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bottom"/>
    </xf>
    <xf numFmtId="0" fontId="0" fillId="0" borderId="9" pivotButton="0" quotePrefix="0" xfId="0"/>
    <xf numFmtId="0" fontId="0" fillId="0" borderId="10" pivotButton="0" quotePrefix="0" xfId="0"/>
    <xf numFmtId="0" fontId="4" fillId="0" borderId="0" applyAlignment="1" pivotButton="0" quotePrefix="0" xfId="0">
      <alignment horizontal="general" vertical="bottom"/>
    </xf>
    <xf numFmtId="0" fontId="5" fillId="2" borderId="1" applyAlignment="1" pivotButton="0" quotePrefix="0" xfId="0">
      <alignment horizontal="left" vertical="center"/>
    </xf>
    <xf numFmtId="0" fontId="6" fillId="3" borderId="1" applyAlignment="1" pivotButton="0" quotePrefix="0" xfId="0">
      <alignment horizontal="left" vertical="center"/>
    </xf>
    <xf numFmtId="0" fontId="7" fillId="4" borderId="1" applyAlignment="1" pivotButton="0" quotePrefix="0" xfId="0">
      <alignment horizontal="left" vertical="center"/>
    </xf>
    <xf numFmtId="0" fontId="8" fillId="5" borderId="1" applyAlignment="1" pivotButton="0" quotePrefix="0" xfId="0">
      <alignment horizontal="center" vertical="center"/>
    </xf>
    <xf numFmtId="0" fontId="4" fillId="4" borderId="1" applyAlignment="1" pivotButton="0" quotePrefix="0" xfId="0">
      <alignment horizontal="general" vertical="bottom"/>
    </xf>
    <xf numFmtId="164" fontId="8" fillId="5" borderId="1" applyAlignment="1" pivotButton="0" quotePrefix="0" xfId="0">
      <alignment horizontal="center" vertical="center"/>
    </xf>
    <xf numFmtId="3" fontId="8" fillId="5" borderId="1" applyAlignment="1" pivotButton="0" quotePrefix="0" xfId="0">
      <alignment horizontal="center" vertical="center"/>
    </xf>
    <xf numFmtId="18" fontId="31" fillId="16" borderId="1" applyAlignment="1" pivotButton="0" quotePrefix="0" xfId="0">
      <alignment horizontal="center" vertical="center"/>
    </xf>
    <xf numFmtId="0" fontId="30" fillId="15" borderId="0" applyAlignment="1" pivotButton="0" quotePrefix="0" xfId="0">
      <alignment horizontal="left" vertical="center"/>
    </xf>
    <xf numFmtId="0" fontId="31" fillId="16" borderId="0" applyAlignment="1" pivotButton="0" quotePrefix="0" xfId="0">
      <alignment horizontal="center" vertical="center"/>
    </xf>
    <xf numFmtId="0" fontId="0" fillId="15" borderId="0" pivotButton="0" quotePrefix="0" xfId="0"/>
    <xf numFmtId="0" fontId="9" fillId="4" borderId="1" applyAlignment="1" pivotButton="0" quotePrefix="0" xfId="0">
      <alignment horizontal="general" vertical="bottom"/>
    </xf>
    <xf numFmtId="0" fontId="10" fillId="4" borderId="1" applyAlignment="1" pivotButton="0" quotePrefix="0" xfId="0">
      <alignment horizontal="left" vertical="center"/>
    </xf>
    <xf numFmtId="10" fontId="7" fillId="6" borderId="1" applyAlignment="1" pivotButton="0" quotePrefix="0" xfId="0">
      <alignment horizontal="center" vertical="center"/>
    </xf>
    <xf numFmtId="0" fontId="32" fillId="17" borderId="1" applyAlignment="1" pivotButton="0" quotePrefix="0" xfId="0">
      <alignment horizontal="left" vertical="center"/>
    </xf>
    <xf numFmtId="0" fontId="32" fillId="17" borderId="1" applyAlignment="1" pivotButton="0" quotePrefix="0" xfId="0">
      <alignment horizontal="center" vertical="center"/>
    </xf>
    <xf numFmtId="9" fontId="32" fillId="17" borderId="1" applyAlignment="1" pivotButton="0" quotePrefix="0" xfId="0">
      <alignment horizontal="left" vertical="center"/>
    </xf>
    <xf numFmtId="0" fontId="9" fillId="17" borderId="1" applyAlignment="1" pivotButton="0" quotePrefix="0" xfId="0">
      <alignment horizontal="left" vertical="center"/>
    </xf>
    <xf numFmtId="0" fontId="0" fillId="17" borderId="0" pivotButton="0" quotePrefix="0" xfId="0"/>
    <xf numFmtId="0" fontId="33" fillId="15" borderId="0" applyAlignment="1" pivotButton="0" quotePrefix="0" xfId="0">
      <alignment horizontal="left" vertical="center"/>
    </xf>
    <xf numFmtId="9" fontId="31" fillId="16" borderId="0" applyAlignment="1" pivotButton="0" quotePrefix="0" xfId="0">
      <alignment horizontal="center" vertical="center"/>
    </xf>
    <xf numFmtId="0" fontId="34" fillId="15" borderId="0" applyAlignment="1" pivotButton="0" quotePrefix="0" xfId="0">
      <alignment horizontal="left" vertical="center"/>
    </xf>
    <xf numFmtId="0" fontId="30" fillId="18" borderId="0" applyAlignment="1" pivotButton="0" quotePrefix="0" xfId="0">
      <alignment horizontal="left" vertical="center"/>
    </xf>
    <xf numFmtId="0" fontId="0" fillId="18" borderId="0" pivotButton="0" quotePrefix="0" xfId="0"/>
    <xf numFmtId="0" fontId="34" fillId="18" borderId="0" applyAlignment="1" pivotButton="0" quotePrefix="0" xfId="0">
      <alignment horizontal="left" vertical="center"/>
    </xf>
    <xf numFmtId="165" fontId="8" fillId="5" borderId="1" applyAlignment="1" pivotButton="0" quotePrefix="0" xfId="0">
      <alignment horizontal="center" vertical="center"/>
    </xf>
    <xf numFmtId="0" fontId="9" fillId="4" borderId="1" applyAlignment="1" pivotButton="0" quotePrefix="0" xfId="0">
      <alignment horizontal="left" vertical="center"/>
    </xf>
    <xf numFmtId="9" fontId="8" fillId="5" borderId="1" applyAlignment="1" pivotButton="0" quotePrefix="0" xfId="0">
      <alignment horizontal="center" vertical="center"/>
    </xf>
    <xf numFmtId="0" fontId="10" fillId="7" borderId="1" applyAlignment="1" pivotButton="0" quotePrefix="0" xfId="0">
      <alignment horizontal="left" vertical="center" wrapText="1"/>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166" fontId="12" fillId="0" borderId="0" applyAlignment="1" pivotButton="0" quotePrefix="0" xfId="0">
      <alignment horizontal="general" vertical="bottom"/>
    </xf>
    <xf numFmtId="0" fontId="13" fillId="4" borderId="1" applyAlignment="1" pivotButton="0" quotePrefix="0" xfId="0">
      <alignment horizontal="left" vertical="center"/>
    </xf>
    <xf numFmtId="0" fontId="14" fillId="0" borderId="0" applyAlignment="1" pivotButton="0" quotePrefix="0" xfId="0">
      <alignment horizontal="general" vertical="bottom"/>
    </xf>
    <xf numFmtId="167" fontId="8" fillId="5" borderId="1" applyAlignment="1" pivotButton="0" quotePrefix="0" xfId="0">
      <alignment horizontal="center" vertical="center"/>
    </xf>
    <xf numFmtId="0" fontId="15" fillId="2" borderId="1" applyAlignment="1" pivotButton="0" quotePrefix="0" xfId="0">
      <alignment horizontal="center" vertical="center"/>
    </xf>
    <xf numFmtId="0" fontId="16" fillId="4" borderId="1" applyAlignment="1" pivotButton="0" quotePrefix="0" xfId="0">
      <alignment horizontal="left" vertical="center"/>
    </xf>
    <xf numFmtId="0" fontId="17" fillId="4" borderId="1" applyAlignment="1" pivotButton="0" quotePrefix="0" xfId="0">
      <alignment horizontal="right" vertical="center"/>
    </xf>
    <xf numFmtId="0" fontId="18" fillId="4" borderId="1" applyAlignment="1" pivotButton="0" quotePrefix="0" xfId="0">
      <alignment horizontal="center" vertical="center"/>
    </xf>
    <xf numFmtId="0" fontId="17" fillId="4" borderId="1" applyAlignment="1" pivotButton="0" quotePrefix="0" xfId="0">
      <alignment horizontal="left" vertical="center"/>
    </xf>
    <xf numFmtId="3" fontId="18" fillId="4" borderId="1" applyAlignment="1" pivotButton="0" quotePrefix="0" xfId="0">
      <alignment horizontal="center" vertical="center"/>
    </xf>
    <xf numFmtId="0" fontId="19" fillId="8" borderId="1" applyAlignment="1" pivotButton="0" quotePrefix="0" xfId="0">
      <alignment horizontal="left" vertical="center"/>
    </xf>
    <xf numFmtId="0" fontId="19" fillId="8" borderId="1" applyAlignment="1" pivotButton="0" quotePrefix="0" xfId="0">
      <alignment horizontal="center" vertical="center"/>
    </xf>
    <xf numFmtId="0" fontId="33" fillId="19" borderId="0" applyAlignment="1" pivotButton="0" quotePrefix="0" xfId="0">
      <alignment horizontal="left" vertical="center"/>
    </xf>
    <xf numFmtId="168" fontId="17" fillId="4" borderId="1" applyAlignment="1" pivotButton="0" quotePrefix="0" xfId="0">
      <alignment horizontal="right" vertical="center"/>
    </xf>
    <xf numFmtId="168" fontId="7" fillId="6" borderId="1" applyAlignment="1" pivotButton="0" quotePrefix="0" xfId="0">
      <alignment horizontal="right" vertical="center"/>
    </xf>
    <xf numFmtId="0" fontId="20" fillId="9" borderId="1" applyAlignment="1" pivotButton="0" quotePrefix="0" xfId="0">
      <alignment horizontal="center" vertical="center"/>
    </xf>
    <xf numFmtId="0" fontId="14" fillId="4" borderId="2" applyAlignment="1" pivotButton="0" quotePrefix="0" xfId="0">
      <alignment horizontal="general" vertical="bottom"/>
    </xf>
    <xf numFmtId="0" fontId="7" fillId="10" borderId="1" applyAlignment="1" pivotButton="0" quotePrefix="0" xfId="0">
      <alignment horizontal="left" vertical="center"/>
    </xf>
    <xf numFmtId="168" fontId="21" fillId="4" borderId="1" applyAlignment="1" pivotButton="0" quotePrefix="0" xfId="0">
      <alignment horizontal="right" vertical="center"/>
    </xf>
    <xf numFmtId="0" fontId="10" fillId="7" borderId="1" applyAlignment="1" pivotButton="0" quotePrefix="0" xfId="0">
      <alignment horizontal="left" vertical="center"/>
    </xf>
    <xf numFmtId="3" fontId="10" fillId="6" borderId="1" applyAlignment="1" pivotButton="0" quotePrefix="0" xfId="0">
      <alignment horizontal="center" vertical="center"/>
    </xf>
    <xf numFmtId="167" fontId="10" fillId="6" borderId="1" applyAlignment="1" pivotButton="0" quotePrefix="0" xfId="0">
      <alignment horizontal="right" vertical="center"/>
    </xf>
    <xf numFmtId="10" fontId="10" fillId="6" borderId="1" applyAlignment="1" pivotButton="0" quotePrefix="0" xfId="0">
      <alignment horizontal="center" vertical="center"/>
    </xf>
    <xf numFmtId="0" fontId="35" fillId="16" borderId="1" applyAlignment="1" pivotButton="0" quotePrefix="0" xfId="0">
      <alignment horizontal="left" vertical="center"/>
    </xf>
    <xf numFmtId="3" fontId="22" fillId="4" borderId="1" applyAlignment="1" pivotButton="0" quotePrefix="0" xfId="0">
      <alignment horizontal="right" vertical="center"/>
    </xf>
    <xf numFmtId="0" fontId="14" fillId="4" borderId="1" applyAlignment="1" pivotButton="0" quotePrefix="0" xfId="0">
      <alignment horizontal="general" vertical="bottom"/>
    </xf>
    <xf numFmtId="0" fontId="14" fillId="4" borderId="3" applyAlignment="1" pivotButton="0" quotePrefix="0" xfId="0">
      <alignment horizontal="general" vertical="bottom"/>
    </xf>
    <xf numFmtId="0" fontId="23" fillId="10" borderId="1" applyAlignment="1" pivotButton="0" quotePrefix="0" xfId="0">
      <alignment horizontal="left" vertical="center" wrapText="1"/>
    </xf>
    <xf numFmtId="0" fontId="9" fillId="7" borderId="1" applyAlignment="1" pivotButton="0" quotePrefix="0" xfId="0">
      <alignment horizontal="left" vertical="center" wrapText="1"/>
    </xf>
    <xf numFmtId="0" fontId="7" fillId="11" borderId="1" applyAlignment="1" pivotButton="0" quotePrefix="0" xfId="0">
      <alignment horizontal="left" vertical="center"/>
    </xf>
    <xf numFmtId="0" fontId="10" fillId="12" borderId="1" applyAlignment="1" pivotButton="0" quotePrefix="0" xfId="0">
      <alignment horizontal="left" vertical="center"/>
    </xf>
    <xf numFmtId="0" fontId="14" fillId="12" borderId="1" applyAlignment="1" pivotButton="0" quotePrefix="0" xfId="0">
      <alignment horizontal="general" vertical="bottom"/>
    </xf>
    <xf numFmtId="167" fontId="10" fillId="12" borderId="1" applyAlignment="1" pivotButton="0" quotePrefix="0" xfId="0">
      <alignment horizontal="right" vertical="center"/>
    </xf>
    <xf numFmtId="0" fontId="7" fillId="10" borderId="4" applyAlignment="1" pivotButton="0" quotePrefix="0" xfId="0">
      <alignment horizontal="left" vertical="center"/>
    </xf>
    <xf numFmtId="167" fontId="7" fillId="10" borderId="4" applyAlignment="1" pivotButton="0" quotePrefix="0" xfId="0">
      <alignment horizontal="right" vertical="center"/>
    </xf>
    <xf numFmtId="0" fontId="14" fillId="10" borderId="4" applyAlignment="1" pivotButton="0" quotePrefix="0" xfId="0">
      <alignment horizontal="general" vertical="bottom"/>
    </xf>
    <xf numFmtId="0" fontId="24" fillId="2" borderId="5" applyAlignment="1" pivotButton="0" quotePrefix="0" xfId="0">
      <alignment horizontal="left" vertical="center"/>
    </xf>
    <xf numFmtId="167" fontId="25" fillId="2" borderId="5" applyAlignment="1" pivotButton="0" quotePrefix="0" xfId="0">
      <alignment horizontal="right" vertical="center"/>
    </xf>
    <xf numFmtId="0" fontId="14" fillId="2" borderId="5" applyAlignment="1" pivotButton="0" quotePrefix="0" xfId="0">
      <alignment horizontal="general" vertical="bottom"/>
    </xf>
    <xf numFmtId="168" fontId="26" fillId="4" borderId="1" applyAlignment="1" pivotButton="0" quotePrefix="0" xfId="0">
      <alignment horizontal="center" vertical="center"/>
    </xf>
    <xf numFmtId="167" fontId="26" fillId="4" borderId="1" applyAlignment="1" pivotButton="0" quotePrefix="0" xfId="0">
      <alignment horizontal="center" vertical="center"/>
    </xf>
    <xf numFmtId="0" fontId="27" fillId="4" borderId="1" applyAlignment="1" pivotButton="0" quotePrefix="0" xfId="0">
      <alignment horizontal="left" vertical="center"/>
    </xf>
    <xf numFmtId="0" fontId="14" fillId="7" borderId="1" applyAlignment="1" pivotButton="0" quotePrefix="0" xfId="0">
      <alignment horizontal="general" vertical="bottom"/>
    </xf>
    <xf numFmtId="165" fontId="10" fillId="7" borderId="1" applyAlignment="1" pivotButton="0" quotePrefix="0" xfId="0">
      <alignment horizontal="right" vertical="center"/>
    </xf>
    <xf numFmtId="167" fontId="10" fillId="7" borderId="1" applyAlignment="1" pivotButton="0" quotePrefix="0" xfId="0">
      <alignment horizontal="right" vertical="center"/>
    </xf>
    <xf numFmtId="165" fontId="7" fillId="10" borderId="4" applyAlignment="1" pivotButton="0" quotePrefix="0" xfId="0">
      <alignment horizontal="right" vertical="center"/>
    </xf>
    <xf numFmtId="0" fontId="33" fillId="20" borderId="0" applyAlignment="1" pivotButton="0" quotePrefix="0" xfId="0">
      <alignment horizontal="left" vertical="center"/>
    </xf>
    <xf numFmtId="0" fontId="14" fillId="20" borderId="0" applyAlignment="1" pivotButton="0" quotePrefix="0" xfId="0">
      <alignment horizontal="general" vertical="bottom"/>
    </xf>
    <xf numFmtId="0" fontId="30" fillId="20" borderId="0" applyAlignment="1" pivotButton="0" quotePrefix="0" xfId="0">
      <alignment horizontal="left" vertical="center"/>
    </xf>
    <xf numFmtId="3" fontId="31" fillId="16" borderId="0" applyAlignment="1" pivotButton="0" quotePrefix="0" xfId="0">
      <alignment horizontal="center" vertical="center"/>
    </xf>
    <xf numFmtId="169" fontId="33" fillId="19" borderId="0" applyAlignment="1" pivotButton="0" quotePrefix="0" xfId="0">
      <alignment horizontal="left" vertical="center"/>
    </xf>
    <xf numFmtId="0" fontId="34" fillId="20" borderId="0" applyAlignment="1" pivotButton="0" quotePrefix="0" xfId="0">
      <alignment horizontal="left" vertical="center"/>
    </xf>
    <xf numFmtId="0" fontId="4" fillId="20" borderId="0" applyAlignment="1" pivotButton="0" quotePrefix="0" xfId="0">
      <alignment horizontal="general" vertical="bottom"/>
    </xf>
    <xf numFmtId="170" fontId="30" fillId="20" borderId="0" applyAlignment="1" pivotButton="0" quotePrefix="0" xfId="0">
      <alignment horizontal="left" vertical="center"/>
    </xf>
    <xf numFmtId="0" fontId="4" fillId="18" borderId="0" applyAlignment="1" pivotButton="0" quotePrefix="0" xfId="0">
      <alignment horizontal="general" vertical="bottom"/>
    </xf>
    <xf numFmtId="165" fontId="30" fillId="18" borderId="0" applyAlignment="1" pivotButton="0" quotePrefix="0" xfId="0">
      <alignment horizontal="left" vertical="center"/>
    </xf>
    <xf numFmtId="164" fontId="18" fillId="4" borderId="1" applyAlignment="1" pivotButton="0" quotePrefix="0" xfId="0">
      <alignment horizontal="center" vertical="center"/>
    </xf>
    <xf numFmtId="0" fontId="32" fillId="17" borderId="0" applyAlignment="1" pivotButton="0" quotePrefix="0" xfId="0">
      <alignment horizontal="left" vertical="center"/>
    </xf>
    <xf numFmtId="0" fontId="28" fillId="13" borderId="1" applyAlignment="1" pivotButton="0" quotePrefix="0" xfId="0">
      <alignment horizontal="left" vertical="center"/>
    </xf>
    <xf numFmtId="0" fontId="10" fillId="7" borderId="1" applyAlignment="1" pivotButton="0" quotePrefix="0" xfId="0">
      <alignment horizontal="general" vertical="bottom"/>
    </xf>
    <xf numFmtId="0" fontId="29" fillId="7" borderId="1" applyAlignment="1" pivotButton="0" quotePrefix="0" xfId="0">
      <alignment horizontal="general" vertical="bottom"/>
    </xf>
    <xf numFmtId="0" fontId="9" fillId="7" borderId="1" applyAlignment="1" pivotButton="0" quotePrefix="0" xfId="0">
      <alignment horizontal="general" vertical="bottom"/>
    </xf>
    <xf numFmtId="0" fontId="35" fillId="16" borderId="0" applyAlignment="1" pivotButton="0" quotePrefix="0" xfId="0">
      <alignment horizontal="left" vertical="center"/>
    </xf>
    <xf numFmtId="0" fontId="4" fillId="4" borderId="2" applyAlignment="1" pivotButton="0" quotePrefix="0" xfId="0">
      <alignment horizontal="general" vertical="bottom"/>
    </xf>
    <xf numFmtId="0" fontId="4" fillId="4" borderId="3" applyAlignment="1" pivotButton="0" quotePrefix="0" xfId="0">
      <alignment horizontal="general" vertical="bottom"/>
    </xf>
    <xf numFmtId="0" fontId="4" fillId="7" borderId="1" applyAlignment="1" pivotButton="0" quotePrefix="0" xfId="0">
      <alignment horizontal="general" vertical="bottom"/>
    </xf>
    <xf numFmtId="0" fontId="8" fillId="14" borderId="1" applyAlignment="1" pivotButton="0" quotePrefix="0" xfId="0">
      <alignment horizontal="left" vertical="center"/>
    </xf>
    <xf numFmtId="168" fontId="8" fillId="14" borderId="1" applyAlignment="1" pivotButton="0" quotePrefix="0" xfId="0">
      <alignment horizontal="right" vertical="center"/>
    </xf>
    <xf numFmtId="0" fontId="4" fillId="10" borderId="4" applyAlignment="1" pivotButton="0" quotePrefix="0" xfId="0">
      <alignment horizontal="general" vertical="bottom"/>
    </xf>
    <xf numFmtId="0" fontId="4" fillId="4" borderId="6" applyAlignment="1" pivotButton="0" quotePrefix="0" xfId="0">
      <alignment horizontal="general" vertical="bottom"/>
    </xf>
    <xf numFmtId="0" fontId="4" fillId="12" borderId="1" applyAlignment="1" pivotButton="0" quotePrefix="0" xfId="0">
      <alignment horizontal="general" vertical="bottom"/>
    </xf>
    <xf numFmtId="0" fontId="4" fillId="2" borderId="5" applyAlignment="1" pivotButton="0" quotePrefix="0" xfId="0">
      <alignment horizontal="general" vertical="bottom"/>
    </xf>
    <xf numFmtId="49" fontId="31" fillId="16" borderId="1" applyAlignment="1" pivotButton="0" quotePrefix="0" xfId="0">
      <alignment horizontal="center" vertical="center"/>
    </xf>
    <xf numFmtId="49" fontId="33" fillId="19" borderId="0" applyAlignment="1" pivotButton="0" quotePrefix="0" xfId="0">
      <alignment horizontal="center" vertical="center"/>
    </xf>
    <xf numFmtId="0" fontId="4" fillId="15" borderId="0" applyAlignment="1" pivotButton="0" quotePrefix="0" xfId="0">
      <alignment horizontal="general" vertical="bottom"/>
    </xf>
    <xf numFmtId="0" fontId="33" fillId="4" borderId="1" applyAlignment="1" pivotButton="0" quotePrefix="0" xfId="0">
      <alignment horizontal="left" vertical="center"/>
    </xf>
    <xf numFmtId="49" fontId="33" fillId="19" borderId="1" applyAlignment="1" pivotButton="0" quotePrefix="0" xfId="0">
      <alignment horizontal="center" vertical="center"/>
    </xf>
    <xf numFmtId="0" fontId="36" fillId="21" borderId="0" applyAlignment="1" pivotButton="0" quotePrefix="0" xfId="0">
      <alignment horizontal="general" vertical="bottom"/>
    </xf>
    <xf numFmtId="0" fontId="37" fillId="18" borderId="0" applyAlignment="1" pivotButton="0" quotePrefix="0" xfId="0">
      <alignment horizontal="center" vertical="center"/>
    </xf>
    <xf numFmtId="169" fontId="31" fillId="16" borderId="0" applyAlignment="1" pivotButton="0" quotePrefix="0" xfId="0">
      <alignment horizontal="center" vertical="center"/>
    </xf>
    <xf numFmtId="0" fontId="36" fillId="21" borderId="0" pivotButton="0" quotePrefix="0" xfId="0"/>
    <xf numFmtId="0" fontId="38" fillId="19" borderId="0" applyAlignment="1" pivotButton="0" quotePrefix="0" xfId="0">
      <alignment horizontal="center" vertical="center"/>
    </xf>
    <xf numFmtId="169" fontId="38" fillId="19" borderId="0" applyAlignment="1" pivotButton="0" quotePrefix="0" xfId="0">
      <alignment horizontal="center" vertical="center"/>
    </xf>
    <xf numFmtId="0" fontId="30" fillId="15" borderId="13" applyAlignment="1" pivotButton="0" quotePrefix="0" xfId="0">
      <alignment horizontal="left" vertical="center"/>
    </xf>
    <xf numFmtId="169" fontId="31" fillId="19" borderId="13" applyAlignment="1" pivotButton="0" quotePrefix="0" xfId="0">
      <alignment horizontal="center" vertical="center"/>
    </xf>
    <xf numFmtId="169" fontId="31" fillId="18" borderId="0" applyAlignment="1" pivotButton="0" quotePrefix="0" xfId="0">
      <alignment horizontal="center" vertical="center"/>
    </xf>
    <xf numFmtId="0" fontId="36" fillId="21" borderId="1" applyAlignment="1" pivotButton="0" quotePrefix="0" xfId="0">
      <alignment horizontal="left" vertical="center"/>
    </xf>
    <xf numFmtId="0" fontId="33" fillId="15" borderId="1" applyAlignment="1" pivotButton="0" quotePrefix="0" xfId="0">
      <alignment horizontal="left" vertical="center"/>
    </xf>
    <xf numFmtId="9" fontId="10" fillId="7" borderId="1" applyAlignment="1" pivotButton="0" quotePrefix="0" xfId="0">
      <alignment horizontal="right" vertical="center"/>
    </xf>
    <xf numFmtId="169" fontId="38" fillId="19" borderId="1" applyAlignment="1" pivotButton="0" quotePrefix="0" xfId="0">
      <alignment horizontal="center" vertical="center"/>
    </xf>
    <xf numFmtId="0" fontId="30" fillId="15" borderId="1" applyAlignment="1" pivotButton="0" quotePrefix="0" xfId="0">
      <alignment horizontal="left" vertical="center"/>
    </xf>
    <xf numFmtId="0" fontId="33" fillId="15" borderId="4" applyAlignment="1" pivotButton="0" quotePrefix="0" xfId="0">
      <alignment horizontal="left" vertical="center"/>
    </xf>
    <xf numFmtId="165" fontId="38" fillId="19" borderId="4" applyAlignment="1" pivotButton="0" quotePrefix="0" xfId="0">
      <alignment horizontal="center" vertical="center"/>
    </xf>
    <xf numFmtId="165" fontId="38" fillId="19" borderId="0"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56404"/>
      <rgbColor rgb="FF800080"/>
      <rgbColor rgb="FF008080"/>
      <rgbColor rgb="FFA9AEB4"/>
      <rgbColor rgb="FF846E60"/>
      <rgbColor rgb="FF9999FF"/>
      <rgbColor rgb="FF993366"/>
      <rgbColor rgb="FFFFF3CD"/>
      <rgbColor rgb="FFF2F0ED"/>
      <rgbColor rgb="FF660066"/>
      <rgbColor rgb="FFFF8080"/>
      <rgbColor rgb="FF0066CC"/>
      <rgbColor rgb="FFDDD0C2"/>
      <rgbColor rgb="FF000080"/>
      <rgbColor rgb="FFFF00FF"/>
      <rgbColor rgb="FFFFFF00"/>
      <rgbColor rgb="FF00FFFF"/>
      <rgbColor rgb="FF800080"/>
      <rgbColor rgb="FF800000"/>
      <rgbColor rgb="FF008080"/>
      <rgbColor rgb="FF0000FF"/>
      <rgbColor rgb="FF00CCFF"/>
      <rgbColor rgb="FFF5F0EB"/>
      <rgbColor rgb="FFF0E8DD"/>
      <rgbColor rgb="FFFDF5E6"/>
      <rgbColor rgb="FFECDFCE"/>
      <rgbColor rgb="FFFAF6F3"/>
      <rgbColor rgb="FFFFF8F0"/>
      <rgbColor rgb="FFE8D9C8"/>
      <rgbColor rgb="FF3366FF"/>
      <rgbColor rgb="FF33CCCC"/>
      <rgbColor rgb="FF99CC00"/>
      <rgbColor rgb="FFFFCC00"/>
      <rgbColor rgb="FFFF9900"/>
      <rgbColor rgb="FFFF6600"/>
      <rgbColor rgb="FF666699"/>
      <rgbColor rgb="FFC19C81"/>
      <rgbColor rgb="FF003366"/>
      <rgbColor rgb="FF339966"/>
      <rgbColor rgb="FF003300"/>
      <rgbColor rgb="FF333300"/>
      <rgbColor rgb="FF993300"/>
      <rgbColor rgb="FF993366"/>
      <rgbColor rgb="FF333399"/>
      <rgbColor rgb="FF46454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Z101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6" customWidth="1" style="89" min="1" max="1"/>
    <col width="20" customWidth="1" style="89" min="2" max="2"/>
    <col width="18" customWidth="1" style="89" min="3" max="4"/>
    <col width="28" customWidth="1" style="89" min="5" max="5"/>
    <col width="18" customWidth="1" style="89" min="6" max="7"/>
    <col width="8.710000000000001" customWidth="1" style="89" min="8" max="26"/>
  </cols>
  <sheetData>
    <row r="1" ht="62.25" customHeight="1" s="90">
      <c r="A1" s="91" t="n"/>
      <c r="B1" s="92" t="n"/>
      <c r="C1" s="92" t="n"/>
      <c r="D1" s="92" t="n"/>
      <c r="E1" s="92" t="n"/>
      <c r="F1" s="92" t="n"/>
      <c r="G1" s="93" t="n"/>
      <c r="H1" s="94" t="n"/>
      <c r="I1" s="94" t="n"/>
      <c r="J1" s="94" t="n"/>
      <c r="K1" s="94" t="n"/>
      <c r="L1" s="94" t="n"/>
      <c r="M1" s="94" t="n"/>
      <c r="N1" s="94" t="n"/>
      <c r="O1" s="94" t="n"/>
      <c r="P1" s="94" t="n"/>
      <c r="Q1" s="94" t="n"/>
      <c r="R1" s="94" t="n"/>
      <c r="S1" s="94" t="n"/>
      <c r="T1" s="94" t="n"/>
      <c r="U1" s="94" t="n"/>
      <c r="V1" s="94" t="n"/>
      <c r="W1" s="94" t="n"/>
      <c r="X1" s="94" t="n"/>
      <c r="Y1" s="94" t="n"/>
      <c r="Z1" s="94" t="n"/>
    </row>
    <row r="2" ht="21.75" customHeight="1" s="90">
      <c r="A2" s="95" t="inlineStr">
        <is>
          <t>Client Setup — Complete Once Per Program</t>
        </is>
      </c>
      <c r="B2" s="92" t="n"/>
      <c r="C2" s="92" t="n"/>
      <c r="D2" s="92" t="n"/>
      <c r="E2" s="92" t="n"/>
      <c r="F2" s="92" t="n"/>
      <c r="G2" s="93" t="n"/>
      <c r="H2" s="94" t="n"/>
      <c r="I2" s="94" t="n"/>
      <c r="J2" s="94" t="n"/>
      <c r="K2" s="94" t="n"/>
      <c r="L2" s="94" t="n"/>
      <c r="M2" s="94" t="n"/>
      <c r="N2" s="94" t="n"/>
      <c r="O2" s="94" t="n"/>
      <c r="P2" s="94" t="n"/>
      <c r="Q2" s="94" t="n"/>
      <c r="R2" s="94" t="n"/>
      <c r="S2" s="94" t="n"/>
      <c r="T2" s="94" t="n"/>
      <c r="U2" s="94" t="n"/>
      <c r="V2" s="94" t="n"/>
      <c r="W2" s="94" t="n"/>
      <c r="X2" s="94" t="n"/>
      <c r="Y2" s="94" t="n"/>
      <c r="Z2" s="94" t="n"/>
    </row>
    <row r="3" ht="6" customHeight="1" s="90">
      <c r="A3" s="94" t="n"/>
      <c r="B3" s="94" t="n"/>
      <c r="C3" s="94" t="n"/>
      <c r="D3" s="94" t="n"/>
      <c r="E3" s="94" t="n"/>
      <c r="F3" s="94" t="n"/>
      <c r="G3" s="94" t="n"/>
      <c r="H3" s="94" t="n"/>
      <c r="I3" s="94" t="n"/>
      <c r="J3" s="94" t="n"/>
      <c r="K3" s="94" t="n"/>
      <c r="L3" s="94" t="n"/>
      <c r="M3" s="94" t="n"/>
      <c r="N3" s="94" t="n"/>
      <c r="O3" s="94" t="n"/>
      <c r="P3" s="94" t="n"/>
      <c r="Q3" s="94" t="n"/>
      <c r="R3" s="94" t="n"/>
      <c r="S3" s="94" t="n"/>
      <c r="T3" s="94" t="n"/>
      <c r="U3" s="94" t="n"/>
      <c r="V3" s="94" t="n"/>
      <c r="W3" s="94" t="n"/>
      <c r="X3" s="94" t="n"/>
      <c r="Y3" s="94" t="n"/>
      <c r="Z3" s="94" t="n"/>
    </row>
    <row r="4" ht="27.75" customHeight="1" s="90">
      <c r="A4" s="96" t="inlineStr">
        <is>
          <t>EVENT DETAILS</t>
        </is>
      </c>
      <c r="B4" s="92" t="n"/>
      <c r="C4" s="92" t="n"/>
      <c r="D4" s="92" t="n"/>
      <c r="E4" s="92" t="n"/>
      <c r="F4" s="92" t="n"/>
      <c r="G4" s="93" t="n"/>
      <c r="H4" s="94" t="n"/>
      <c r="I4" s="94" t="n"/>
      <c r="J4" s="94" t="n"/>
      <c r="K4" s="94" t="n"/>
      <c r="L4" s="94" t="n"/>
      <c r="M4" s="94" t="n"/>
      <c r="N4" s="94" t="n"/>
      <c r="O4" s="94" t="n"/>
      <c r="P4" s="94" t="n"/>
      <c r="Q4" s="94" t="n"/>
      <c r="R4" s="94" t="n"/>
      <c r="S4" s="94" t="n"/>
      <c r="T4" s="94" t="n"/>
      <c r="U4" s="94" t="n"/>
      <c r="V4" s="94" t="n"/>
      <c r="W4" s="94" t="n"/>
      <c r="X4" s="94" t="n"/>
      <c r="Y4" s="94" t="n"/>
      <c r="Z4" s="94" t="n"/>
    </row>
    <row r="5" ht="27.75" customHeight="1" s="90">
      <c r="A5" s="97" t="inlineStr">
        <is>
          <t>Client Name:</t>
        </is>
      </c>
      <c r="B5" s="98" t="n"/>
      <c r="C5" s="93" t="n"/>
      <c r="D5" s="99" t="n"/>
      <c r="E5" s="99" t="n"/>
      <c r="F5" s="99" t="n"/>
      <c r="G5" s="99" t="n"/>
      <c r="H5" s="94" t="n"/>
      <c r="I5" s="94" t="n"/>
      <c r="J5" s="94" t="n"/>
      <c r="K5" s="94" t="n"/>
      <c r="L5" s="94" t="n"/>
      <c r="M5" s="94" t="n"/>
      <c r="N5" s="94" t="n"/>
      <c r="O5" s="94" t="n"/>
      <c r="P5" s="94" t="n"/>
      <c r="Q5" s="94" t="n"/>
      <c r="R5" s="94" t="n"/>
      <c r="S5" s="94" t="n"/>
      <c r="T5" s="94" t="n"/>
      <c r="U5" s="94" t="n"/>
      <c r="V5" s="94" t="n"/>
      <c r="W5" s="94" t="n"/>
      <c r="X5" s="94" t="n"/>
      <c r="Y5" s="94" t="n"/>
      <c r="Z5" s="94" t="n"/>
    </row>
    <row r="6" ht="27.75" customHeight="1" s="90">
      <c r="A6" s="97" t="inlineStr">
        <is>
          <t>Event Date:</t>
        </is>
      </c>
      <c r="B6" s="100" t="n"/>
      <c r="C6" s="93" t="n"/>
      <c r="D6" s="99" t="n"/>
      <c r="E6" s="99" t="n"/>
      <c r="F6" s="99" t="n"/>
      <c r="G6" s="99" t="n"/>
      <c r="H6" s="94" t="n"/>
      <c r="I6" s="94" t="n"/>
      <c r="J6" s="94" t="n"/>
      <c r="K6" s="94" t="n"/>
      <c r="L6" s="94" t="n"/>
      <c r="M6" s="94" t="n"/>
      <c r="N6" s="94" t="n"/>
      <c r="O6" s="94" t="n"/>
      <c r="P6" s="94" t="n"/>
      <c r="Q6" s="94" t="n"/>
      <c r="R6" s="94" t="n"/>
      <c r="S6" s="94" t="n"/>
      <c r="T6" s="94" t="n"/>
      <c r="U6" s="94" t="n"/>
      <c r="V6" s="94" t="n"/>
      <c r="W6" s="94" t="n"/>
      <c r="X6" s="94" t="n"/>
      <c r="Y6" s="94" t="n"/>
      <c r="Z6" s="94" t="n"/>
    </row>
    <row r="7" ht="27.75" customHeight="1" s="90">
      <c r="A7" s="97" t="inlineStr">
        <is>
          <t>Guest Count:</t>
        </is>
      </c>
      <c r="B7" s="101" t="n"/>
      <c r="C7" s="93" t="n"/>
      <c r="D7" s="99" t="n"/>
      <c r="E7" s="99" t="n"/>
      <c r="F7" s="99" t="n"/>
      <c r="G7" s="99" t="n"/>
      <c r="H7" s="94" t="n"/>
      <c r="I7" s="94" t="n"/>
      <c r="J7" s="94" t="n"/>
      <c r="K7" s="94" t="n"/>
      <c r="L7" s="94" t="n"/>
      <c r="M7" s="94" t="n"/>
      <c r="N7" s="94" t="n"/>
      <c r="O7" s="94" t="n"/>
      <c r="P7" s="94" t="n"/>
      <c r="Q7" s="94" t="n"/>
      <c r="R7" s="94" t="n"/>
      <c r="S7" s="94" t="n"/>
      <c r="T7" s="94" t="n"/>
      <c r="U7" s="94" t="n"/>
      <c r="V7" s="94" t="n"/>
      <c r="W7" s="94" t="n"/>
      <c r="X7" s="94" t="n"/>
      <c r="Y7" s="94" t="n"/>
      <c r="Z7" s="94" t="n"/>
    </row>
    <row r="8" ht="27.75" customHeight="1" s="90">
      <c r="A8" s="97" t="inlineStr">
        <is>
          <t>Service Style:</t>
        </is>
      </c>
      <c r="B8" s="98" t="n"/>
      <c r="C8" s="93" t="n"/>
      <c r="D8" s="99" t="n"/>
      <c r="E8" s="99" t="n"/>
      <c r="F8" s="99" t="n"/>
      <c r="G8" s="99" t="n"/>
      <c r="H8" s="94" t="n"/>
      <c r="I8" s="94" t="n"/>
      <c r="J8" s="94" t="n"/>
      <c r="K8" s="94" t="n"/>
      <c r="L8" s="94" t="n"/>
      <c r="M8" s="94" t="n"/>
      <c r="N8" s="94" t="n"/>
      <c r="O8" s="94" t="n"/>
      <c r="P8" s="94" t="n"/>
      <c r="Q8" s="94" t="n"/>
      <c r="R8" s="94" t="n"/>
      <c r="S8" s="94" t="n"/>
      <c r="T8" s="94" t="n"/>
      <c r="U8" s="94" t="n"/>
      <c r="V8" s="94" t="n"/>
      <c r="W8" s="94" t="n"/>
      <c r="X8" s="94" t="n"/>
      <c r="Y8" s="94" t="n"/>
      <c r="Z8" s="94" t="n"/>
    </row>
    <row r="9" ht="27.75" customHeight="1" s="90">
      <c r="A9" s="97" t="inlineStr">
        <is>
          <t>Alcohol:</t>
        </is>
      </c>
      <c r="B9" s="98" t="n"/>
      <c r="C9" s="93" t="n"/>
      <c r="D9" s="99" t="n"/>
      <c r="E9" s="99" t="n"/>
      <c r="F9" s="99" t="n"/>
      <c r="G9" s="99" t="n"/>
      <c r="H9" s="94" t="n"/>
      <c r="I9" s="94" t="n"/>
      <c r="J9" s="94" t="n"/>
      <c r="K9" s="94" t="n"/>
      <c r="L9" s="94" t="n"/>
      <c r="M9" s="94" t="n"/>
      <c r="N9" s="94" t="n"/>
      <c r="O9" s="94" t="n"/>
      <c r="P9" s="94" t="n"/>
      <c r="Q9" s="94" t="n"/>
      <c r="R9" s="94" t="n"/>
      <c r="S9" s="94" t="n"/>
      <c r="T9" s="94" t="n"/>
      <c r="U9" s="94" t="n"/>
      <c r="V9" s="94" t="n"/>
      <c r="W9" s="94" t="n"/>
      <c r="X9" s="94" t="n"/>
      <c r="Y9" s="94" t="n"/>
      <c r="Z9" s="94" t="n"/>
    </row>
    <row r="10" ht="27.75" customHeight="1" s="90">
      <c r="A10" s="97" t="inlineStr">
        <is>
          <t>Event Time:</t>
        </is>
      </c>
      <c r="B10" s="198" t="n"/>
      <c r="C10" s="93" t="n"/>
      <c r="D10" s="99" t="n"/>
      <c r="E10" s="99" t="n"/>
      <c r="F10" s="99" t="n"/>
      <c r="G10" s="99" t="n"/>
      <c r="H10" s="94" t="n"/>
      <c r="I10" s="94" t="n"/>
      <c r="J10" s="94" t="n"/>
      <c r="K10" s="94" t="n"/>
      <c r="L10" s="94" t="n"/>
      <c r="M10" s="94" t="n"/>
      <c r="N10" s="94" t="n"/>
      <c r="O10" s="94" t="n"/>
      <c r="P10" s="94" t="n"/>
      <c r="Q10" s="94" t="n"/>
      <c r="R10" s="94" t="n"/>
      <c r="S10" s="94" t="n"/>
      <c r="T10" s="94" t="n"/>
      <c r="U10" s="94" t="n"/>
      <c r="V10" s="94" t="n"/>
      <c r="W10" s="94" t="n"/>
      <c r="X10" s="94" t="n"/>
      <c r="Y10" s="94" t="n"/>
      <c r="Z10" s="94" t="n"/>
    </row>
    <row r="11" ht="6" customHeight="1" s="90">
      <c r="A11" s="103" t="inlineStr">
        <is>
          <t>Company Name:</t>
        </is>
      </c>
      <c r="B11" s="104" t="n"/>
      <c r="D11" s="105" t="n"/>
      <c r="E11" s="105" t="n"/>
      <c r="F11" s="105" t="n"/>
      <c r="G11" s="105" t="n"/>
    </row>
    <row r="12" ht="27.75" customHeight="1" s="90">
      <c r="A12" s="103" t="inlineStr">
        <is>
          <t>Program Name:</t>
        </is>
      </c>
      <c r="B12" s="104" t="n"/>
      <c r="D12" s="105" t="n"/>
      <c r="E12" s="105" t="n"/>
      <c r="F12" s="105" t="n"/>
      <c r="G12" s="105" t="n"/>
    </row>
    <row r="13" ht="27.75" customHeight="1" s="90">
      <c r="A13" s="103" t="inlineStr">
        <is>
          <t>Client Hotel:</t>
        </is>
      </c>
      <c r="B13" s="104" t="n"/>
      <c r="D13" s="105" t="n"/>
      <c r="E13" s="105" t="n"/>
      <c r="F13" s="105" t="n"/>
      <c r="G13" s="105" t="n"/>
    </row>
    <row r="14" ht="25.5" customHeight="1" s="90">
      <c r="A14" s="94" t="n"/>
      <c r="B14" s="94" t="n"/>
      <c r="C14" s="94" t="n"/>
      <c r="D14" s="94" t="n"/>
      <c r="E14" s="94" t="n"/>
      <c r="F14" s="94" t="n"/>
      <c r="G14" s="94" t="n"/>
      <c r="H14" s="94" t="n"/>
      <c r="I14" s="94" t="n"/>
      <c r="J14" s="94" t="n"/>
      <c r="K14" s="94" t="n"/>
      <c r="L14" s="94" t="n"/>
      <c r="M14" s="94" t="n"/>
      <c r="N14" s="94" t="n"/>
      <c r="O14" s="94" t="n"/>
      <c r="P14" s="94" t="n"/>
      <c r="Q14" s="94" t="n"/>
      <c r="R14" s="94" t="n"/>
      <c r="S14" s="94" t="n"/>
      <c r="T14" s="94" t="n"/>
      <c r="U14" s="94" t="n"/>
      <c r="V14" s="94" t="n"/>
      <c r="W14" s="94" t="n"/>
      <c r="X14" s="94" t="n"/>
      <c r="Y14" s="94" t="n"/>
      <c r="Z14" s="94" t="n"/>
    </row>
    <row r="15" ht="25.5" customHeight="1" s="90">
      <c r="A15" s="96" t="inlineStr">
        <is>
          <t>LOCATION &amp; TAX RATES</t>
        </is>
      </c>
      <c r="H15" s="94" t="n"/>
      <c r="I15" s="94" t="n"/>
      <c r="J15" s="94" t="n"/>
      <c r="K15" s="94" t="n"/>
      <c r="L15" s="94" t="n"/>
      <c r="M15" s="94" t="n"/>
      <c r="N15" s="94" t="n"/>
      <c r="O15" s="94" t="n"/>
      <c r="P15" s="94" t="n"/>
      <c r="Q15" s="94" t="n"/>
      <c r="R15" s="94" t="n"/>
      <c r="S15" s="94" t="n"/>
      <c r="T15" s="94" t="n"/>
      <c r="U15" s="94" t="n"/>
      <c r="V15" s="94" t="n"/>
      <c r="W15" s="94" t="n"/>
      <c r="X15" s="94" t="n"/>
      <c r="Y15" s="94" t="n"/>
      <c r="Z15" s="94" t="n"/>
    </row>
    <row r="16" ht="25.5" customHeight="1" s="90">
      <c r="A16" s="97" t="inlineStr">
        <is>
          <t>State / Location:</t>
        </is>
      </c>
      <c r="B16" s="98" t="n"/>
      <c r="D16" s="106" t="inlineStr">
        <is>
          <t>Tax rates auto-populate from location</t>
        </is>
      </c>
      <c r="H16" s="94" t="n"/>
      <c r="I16" s="94" t="n"/>
      <c r="J16" s="94" t="n"/>
      <c r="K16" s="94" t="n"/>
      <c r="L16" s="94" t="n"/>
      <c r="M16" s="94" t="n"/>
      <c r="N16" s="94" t="n"/>
      <c r="O16" s="94" t="n"/>
      <c r="P16" s="94" t="n"/>
      <c r="Q16" s="94" t="n"/>
      <c r="R16" s="94" t="n"/>
      <c r="S16" s="94" t="n"/>
      <c r="T16" s="94" t="n"/>
      <c r="U16" s="94" t="n"/>
      <c r="V16" s="94" t="n"/>
      <c r="W16" s="94" t="n"/>
      <c r="X16" s="94" t="n"/>
      <c r="Y16" s="94" t="n"/>
      <c r="Z16" s="94" t="n"/>
    </row>
    <row r="17" ht="6" customHeight="1" s="90">
      <c r="A17" s="107" t="inlineStr">
        <is>
          <t>Food Tax Rate:</t>
        </is>
      </c>
      <c r="B17" s="108">
        <f>IF(B16="","",VLOOKUP(B16,$A$75:$D$96,2,FALSE()))</f>
        <v/>
      </c>
      <c r="C17" s="99" t="n"/>
      <c r="D17" s="106" t="inlineStr">
        <is>
          <t>Tax on food &amp; NA beverages</t>
        </is>
      </c>
      <c r="H17" s="94" t="n"/>
      <c r="I17" s="94" t="n"/>
      <c r="J17" s="94" t="n"/>
      <c r="K17" s="94" t="n"/>
      <c r="L17" s="94" t="n"/>
      <c r="M17" s="94" t="n"/>
      <c r="N17" s="94" t="n"/>
      <c r="O17" s="94" t="n"/>
      <c r="P17" s="94" t="n"/>
      <c r="Q17" s="94" t="n"/>
      <c r="R17" s="94" t="n"/>
      <c r="S17" s="94" t="n"/>
      <c r="T17" s="94" t="n"/>
      <c r="U17" s="94" t="n"/>
      <c r="V17" s="94" t="n"/>
      <c r="W17" s="94" t="n"/>
      <c r="X17" s="94" t="n"/>
      <c r="Y17" s="94" t="n"/>
      <c r="Z17" s="94" t="n"/>
    </row>
    <row r="18" ht="27.75" customHeight="1" s="90">
      <c r="A18" s="107" t="inlineStr">
        <is>
          <t>Alcohol Tax Rate:</t>
        </is>
      </c>
      <c r="B18" s="108">
        <f>IF(B16="","",VLOOKUP(B16,$A$75:$D$96,3,FALSE()))</f>
        <v/>
      </c>
      <c r="C18" s="99" t="n"/>
      <c r="D18" s="106" t="inlineStr">
        <is>
          <t>Tax on bar/alcohol</t>
        </is>
      </c>
      <c r="H18" s="94" t="n"/>
      <c r="I18" s="94" t="n"/>
      <c r="J18" s="94" t="n"/>
      <c r="K18" s="94" t="n"/>
      <c r="L18" s="94" t="n"/>
      <c r="M18" s="94" t="n"/>
      <c r="N18" s="94" t="n"/>
      <c r="O18" s="94" t="n"/>
      <c r="P18" s="94" t="n"/>
      <c r="Q18" s="94" t="n"/>
      <c r="R18" s="94" t="n"/>
      <c r="S18" s="94" t="n"/>
      <c r="T18" s="94" t="n"/>
      <c r="U18" s="94" t="n"/>
      <c r="V18" s="94" t="n"/>
      <c r="W18" s="94" t="n"/>
      <c r="X18" s="94" t="n"/>
      <c r="Y18" s="94" t="n"/>
      <c r="Z18" s="94" t="n"/>
    </row>
    <row r="19" ht="25.5" customHeight="1" s="90">
      <c r="A19" s="107" t="inlineStr">
        <is>
          <t>General Sales Tax Rate:</t>
        </is>
      </c>
      <c r="B19" s="108">
        <f>IF(B16="","",VLOOKUP(B16,$A$75:$D$96,4,FALSE()))</f>
        <v/>
      </c>
      <c r="C19" s="99" t="n"/>
      <c r="D19" s="106" t="inlineStr">
        <is>
          <t>Tax on equipment, rentals, staffing</t>
        </is>
      </c>
      <c r="H19" s="94" t="n"/>
      <c r="I19" s="94" t="n"/>
      <c r="J19" s="94" t="n"/>
      <c r="K19" s="94" t="n"/>
      <c r="L19" s="94" t="n"/>
      <c r="M19" s="94" t="n"/>
      <c r="N19" s="94" t="n"/>
      <c r="O19" s="94" t="n"/>
      <c r="P19" s="94" t="n"/>
      <c r="Q19" s="94" t="n"/>
      <c r="R19" s="94" t="n"/>
      <c r="S19" s="94" t="n"/>
      <c r="T19" s="94" t="n"/>
      <c r="U19" s="94" t="n"/>
      <c r="V19" s="94" t="n"/>
      <c r="W19" s="94" t="n"/>
      <c r="X19" s="94" t="n"/>
      <c r="Y19" s="94" t="n"/>
      <c r="Z19" s="94" t="n"/>
    </row>
    <row r="20" ht="25.5" customHeight="1" s="90">
      <c r="A20" s="94" t="n"/>
      <c r="B20" s="94" t="n"/>
      <c r="C20" s="94" t="n"/>
      <c r="D20" s="94" t="n"/>
      <c r="E20" s="94" t="n"/>
      <c r="F20" s="94" t="n"/>
      <c r="G20" s="94" t="n"/>
      <c r="H20" s="94" t="n"/>
      <c r="I20" s="94" t="n"/>
      <c r="J20" s="94" t="n"/>
      <c r="K20" s="94" t="n"/>
      <c r="L20" s="94" t="n"/>
      <c r="M20" s="94" t="n"/>
      <c r="N20" s="94" t="n"/>
      <c r="O20" s="94" t="n"/>
      <c r="P20" s="94" t="n"/>
      <c r="Q20" s="94" t="n"/>
      <c r="R20" s="94" t="n"/>
      <c r="S20" s="94" t="n"/>
      <c r="T20" s="94" t="n"/>
      <c r="U20" s="94" t="n"/>
      <c r="V20" s="94" t="n"/>
      <c r="W20" s="94" t="n"/>
      <c r="X20" s="94" t="n"/>
      <c r="Y20" s="94" t="n"/>
      <c r="Z20" s="94" t="n"/>
    </row>
    <row r="21" ht="25.5" customHeight="1" s="90">
      <c r="A21" s="96" t="inlineStr">
        <is>
          <t>PRICING &amp; COMMISSION</t>
        </is>
      </c>
      <c r="H21" s="94" t="n"/>
      <c r="I21" s="94" t="n"/>
      <c r="J21" s="94" t="n"/>
      <c r="K21" s="94" t="n"/>
      <c r="L21" s="94" t="n"/>
      <c r="M21" s="94" t="n"/>
      <c r="N21" s="94" t="n"/>
      <c r="O21" s="94" t="n"/>
      <c r="P21" s="94" t="n"/>
      <c r="Q21" s="94" t="n"/>
      <c r="R21" s="94" t="n"/>
      <c r="S21" s="94" t="n"/>
      <c r="T21" s="94" t="n"/>
      <c r="U21" s="94" t="n"/>
      <c r="V21" s="94" t="n"/>
      <c r="W21" s="94" t="n"/>
      <c r="X21" s="94" t="n"/>
      <c r="Y21" s="94" t="n"/>
      <c r="Z21" s="94" t="n"/>
    </row>
    <row r="22" ht="25.5" customHeight="1" s="90">
      <c r="A22" s="109" t="inlineStr">
        <is>
          <t>Category</t>
        </is>
      </c>
      <c r="B22" s="110" t="inlineStr">
        <is>
          <t>Markup %</t>
        </is>
      </c>
      <c r="C22" s="111" t="inlineStr">
        <is>
          <t>Note</t>
        </is>
      </c>
      <c r="D22" s="112" t="n"/>
      <c r="E22" s="113" t="n"/>
      <c r="F22" s="113" t="n"/>
      <c r="G22" s="113" t="n"/>
      <c r="H22" s="94" t="n"/>
      <c r="I22" s="94" t="n"/>
      <c r="J22" s="94" t="n"/>
      <c r="K22" s="94" t="n"/>
      <c r="L22" s="94" t="n"/>
      <c r="M22" s="94" t="n"/>
      <c r="N22" s="94" t="n"/>
      <c r="O22" s="94" t="n"/>
      <c r="P22" s="94" t="n"/>
      <c r="Q22" s="94" t="n"/>
      <c r="R22" s="94" t="n"/>
      <c r="S22" s="94" t="n"/>
      <c r="T22" s="94" t="n"/>
      <c r="U22" s="94" t="n"/>
      <c r="V22" s="94" t="n"/>
      <c r="W22" s="94" t="n"/>
      <c r="X22" s="94" t="n"/>
      <c r="Y22" s="94" t="n"/>
      <c r="Z22" s="94" t="n"/>
    </row>
    <row r="23" ht="6" customHeight="1" s="90">
      <c r="A23" s="114" t="inlineStr">
        <is>
          <t>Catering &amp; F&amp;B</t>
        </is>
      </c>
      <c r="B23" s="115" t="n">
        <v>0.54</v>
      </c>
      <c r="C23" s="116" t="inlineStr">
        <is>
          <t>Floor — clients compare per-head pricing</t>
        </is>
      </c>
      <c r="D23" s="105" t="n"/>
      <c r="E23" s="105" t="n"/>
      <c r="F23" s="105" t="n"/>
      <c r="G23" s="105" t="n"/>
    </row>
    <row r="24" ht="27.75" customHeight="1" s="90">
      <c r="A24" s="114" t="inlineStr">
        <is>
          <t>Venues &amp; Room Rentals</t>
        </is>
      </c>
      <c r="B24" s="115" t="n">
        <v>0.6</v>
      </c>
      <c r="C24" s="116" t="inlineStr">
        <is>
          <t>Full venue relationship management</t>
        </is>
      </c>
      <c r="D24" s="105" t="n"/>
      <c r="E24" s="105" t="n"/>
      <c r="F24" s="105" t="n"/>
      <c r="G24" s="105" t="n"/>
    </row>
    <row r="25" ht="25.5" customHeight="1" s="90">
      <c r="A25" s="114" t="inlineStr">
        <is>
          <t>AV &amp; Production</t>
        </is>
      </c>
      <c r="B25" s="115" t="n">
        <v>0.65</v>
      </c>
      <c r="C25" s="116" t="inlineStr">
        <is>
          <t>Technical coordination, hard to price-shop</t>
        </is>
      </c>
      <c r="D25" s="105" t="n"/>
      <c r="E25" s="105" t="n"/>
      <c r="F25" s="105" t="n"/>
      <c r="G25" s="105" t="n"/>
    </row>
    <row r="26" ht="25.5" customHeight="1" s="90">
      <c r="A26" s="114" t="inlineStr">
        <is>
          <t>Décor &amp; Design</t>
        </is>
      </c>
      <c r="B26" s="115" t="n">
        <v>0.85</v>
      </c>
      <c r="C26" s="116" t="inlineStr">
        <is>
          <t>Custom creative — no comparison exists</t>
        </is>
      </c>
      <c r="D26" s="105" t="n"/>
      <c r="E26" s="105" t="n"/>
      <c r="F26" s="105" t="n"/>
      <c r="G26" s="105" t="n"/>
    </row>
    <row r="27" ht="25.5" customHeight="1" s="90">
      <c r="A27" s="114" t="inlineStr">
        <is>
          <t>Entertainment</t>
        </is>
      </c>
      <c r="B27" s="115" t="n">
        <v>0.75</v>
      </c>
      <c r="C27" s="116" t="inlineStr">
        <is>
          <t>Talent sourcing, contracts, riders</t>
        </is>
      </c>
      <c r="D27" s="105" t="n"/>
      <c r="E27" s="105" t="n"/>
      <c r="F27" s="105" t="n"/>
      <c r="G27" s="105" t="n"/>
    </row>
    <row r="28" ht="6" customHeight="1" s="90">
      <c r="A28" s="114" t="inlineStr">
        <is>
          <t>Activities &amp; Experiences</t>
        </is>
      </c>
      <c r="B28" s="115" t="n">
        <v>0.75</v>
      </c>
      <c r="C28" s="116" t="inlineStr">
        <is>
          <t>Curation, coordination, permitting</t>
        </is>
      </c>
      <c r="D28" s="105" t="n"/>
      <c r="E28" s="105" t="n"/>
      <c r="F28" s="105" t="n"/>
      <c r="G28" s="105" t="n"/>
    </row>
    <row r="29" ht="27.75" customHeight="1" s="90">
      <c r="A29" s="114" t="inlineStr">
        <is>
          <t>Transportation</t>
        </is>
      </c>
      <c r="B29" s="115" t="n">
        <v>0.75</v>
      </c>
      <c r="C29" s="116" t="inlineStr">
        <is>
          <t>Route planning, high-liability</t>
        </is>
      </c>
      <c r="D29" s="105" t="n"/>
      <c r="E29" s="105" t="n"/>
      <c r="F29" s="105" t="n"/>
      <c r="G29" s="105" t="n"/>
    </row>
    <row r="30" ht="24" customHeight="1" s="90">
      <c r="A30" s="114" t="inlineStr">
        <is>
          <t>Staffing &amp; Labor</t>
        </is>
      </c>
      <c r="B30" s="115" t="n">
        <v>0.9</v>
      </c>
      <c r="C30" s="116" t="inlineStr">
        <is>
          <t>Recruitment, scheduling, management</t>
        </is>
      </c>
      <c r="D30" s="105" t="n"/>
      <c r="E30" s="105" t="n"/>
      <c r="F30" s="105" t="n"/>
      <c r="G30" s="105" t="n"/>
    </row>
    <row r="31" ht="24" customHeight="1" s="90">
      <c r="A31" s="114" t="inlineStr">
        <is>
          <t>Purchased / Sourced Items</t>
        </is>
      </c>
      <c r="B31" s="115" t="n">
        <v>2</v>
      </c>
      <c r="C31" s="116" t="inlineStr">
        <is>
          <t>Small items, disproportionate time (3×)</t>
        </is>
      </c>
      <c r="D31" s="105" t="n"/>
      <c r="E31" s="105" t="n"/>
      <c r="F31" s="105" t="n"/>
      <c r="G31" s="105" t="n"/>
    </row>
    <row r="32" ht="24" customHeight="1" s="90">
      <c r="A32" s="114" t="inlineStr">
        <is>
          <t>Delivery &amp; Logistics</t>
        </is>
      </c>
      <c r="B32" s="115" t="n">
        <v>0.85</v>
      </c>
      <c r="C32" s="116" t="inlineStr">
        <is>
          <t>Timing risk, damage liability</t>
        </is>
      </c>
      <c r="D32" s="105" t="n"/>
      <c r="E32" s="105" t="n"/>
      <c r="F32" s="105" t="n"/>
      <c r="G32" s="105" t="n"/>
    </row>
    <row r="33" ht="24" customHeight="1" s="90">
      <c r="A33" s="114" t="inlineStr">
        <is>
          <t>Tours &amp; Guided Experiences</t>
        </is>
      </c>
      <c r="B33" s="115" t="n">
        <v>0.65</v>
      </c>
      <c r="C33" s="116" t="inlineStr">
        <is>
          <t>Guide sourcing, route design</t>
        </is>
      </c>
      <c r="D33" s="105" t="n"/>
      <c r="E33" s="105" t="n"/>
      <c r="F33" s="105" t="n"/>
      <c r="G33" s="105" t="n"/>
    </row>
    <row r="34" ht="24" customHeight="1" s="90">
      <c r="A34" s="117" t="inlineStr">
        <is>
          <t>Absolute Floor: 54%</t>
        </is>
      </c>
      <c r="B34" s="118" t="n"/>
      <c r="C34" s="119" t="inlineStr">
        <is>
          <t>No exceptions without owner approval</t>
        </is>
      </c>
      <c r="D34" s="118" t="n"/>
      <c r="E34" s="118" t="n"/>
      <c r="F34" s="118" t="n"/>
      <c r="G34" s="118" t="n"/>
    </row>
    <row r="35" ht="24" customHeight="1" s="90">
      <c r="A35" s="107" t="inlineStr">
        <is>
          <t>CC Processing Fee %:</t>
        </is>
      </c>
      <c r="B35" s="99" t="n"/>
      <c r="C35" s="120" t="n">
        <v>0.035</v>
      </c>
      <c r="D35" s="121" t="inlineStr">
        <is>
          <t>Applied to subtotal</t>
        </is>
      </c>
      <c r="E35" s="92" t="n"/>
      <c r="F35" s="92" t="n"/>
      <c r="G35" s="93" t="n"/>
      <c r="H35" s="94" t="n"/>
      <c r="I35" s="94" t="n"/>
      <c r="J35" s="94" t="n"/>
      <c r="K35" s="94" t="n"/>
      <c r="L35" s="94" t="n"/>
      <c r="M35" s="94" t="n"/>
      <c r="N35" s="94" t="n"/>
      <c r="O35" s="94" t="n"/>
      <c r="P35" s="94" t="n"/>
      <c r="Q35" s="94" t="n"/>
      <c r="R35" s="94" t="n"/>
      <c r="S35" s="94" t="n"/>
      <c r="T35" s="94" t="n"/>
      <c r="U35" s="94" t="n"/>
      <c r="V35" s="94" t="n"/>
      <c r="W35" s="94" t="n"/>
      <c r="X35" s="94" t="n"/>
      <c r="Y35" s="94" t="n"/>
      <c r="Z35" s="94" t="n"/>
    </row>
    <row r="36" ht="15.75" customHeight="1" s="90">
      <c r="A36" s="107" t="inlineStr">
        <is>
          <t>Third-Party Commission:</t>
        </is>
      </c>
      <c r="B36" s="99" t="n"/>
      <c r="C36" s="122" t="n">
        <v>0.05</v>
      </c>
      <c r="D36" s="121" t="inlineStr">
        <is>
          <t>Select commission rate</t>
        </is>
      </c>
      <c r="E36" s="92" t="n"/>
      <c r="F36" s="92" t="n"/>
      <c r="G36" s="93" t="n"/>
      <c r="H36" s="94" t="n"/>
      <c r="I36" s="94" t="n"/>
      <c r="J36" s="94" t="n"/>
      <c r="K36" s="94" t="n"/>
      <c r="L36" s="94" t="n"/>
      <c r="M36" s="94" t="n"/>
      <c r="N36" s="94" t="n"/>
      <c r="O36" s="94" t="n"/>
      <c r="P36" s="94" t="n"/>
      <c r="Q36" s="94" t="n"/>
      <c r="R36" s="94" t="n"/>
      <c r="S36" s="94" t="n"/>
      <c r="T36" s="94" t="n"/>
      <c r="U36" s="94" t="n"/>
      <c r="V36" s="94" t="n"/>
      <c r="W36" s="94" t="n"/>
      <c r="X36" s="94" t="n"/>
      <c r="Y36" s="94" t="n"/>
      <c r="Z36" s="94" t="n"/>
    </row>
    <row r="37" ht="15.75" customHeight="1" s="90">
      <c r="A37" s="107" t="inlineStr">
        <is>
          <t>Global DMC (6.5%):</t>
        </is>
      </c>
      <c r="B37" s="99" t="n"/>
      <c r="C37" s="98" t="inlineStr">
        <is>
          <t>Yes</t>
        </is>
      </c>
      <c r="D37" s="121" t="inlineStr">
        <is>
          <t>Yes = 6.5% applied</t>
        </is>
      </c>
      <c r="E37" s="92" t="n"/>
      <c r="F37" s="92" t="n"/>
      <c r="G37" s="93" t="n"/>
      <c r="H37" s="94" t="n"/>
      <c r="I37" s="94" t="n"/>
      <c r="J37" s="94" t="n"/>
      <c r="K37" s="94" t="n"/>
      <c r="L37" s="94" t="n"/>
      <c r="M37" s="94" t="n"/>
      <c r="N37" s="94" t="n"/>
      <c r="O37" s="94" t="n"/>
      <c r="P37" s="94" t="n"/>
      <c r="Q37" s="94" t="n"/>
      <c r="R37" s="94" t="n"/>
      <c r="S37" s="94" t="n"/>
      <c r="T37" s="94" t="n"/>
      <c r="U37" s="94" t="n"/>
      <c r="V37" s="94" t="n"/>
      <c r="W37" s="94" t="n"/>
      <c r="X37" s="94" t="n"/>
      <c r="Y37" s="94" t="n"/>
      <c r="Z37" s="94" t="n"/>
    </row>
    <row r="38" ht="15.75" customHeight="1" s="90">
      <c r="A38" s="94" t="n"/>
      <c r="B38" s="94" t="n"/>
      <c r="C38" s="94" t="n"/>
      <c r="D38" s="94" t="n"/>
      <c r="E38" s="94" t="n"/>
      <c r="F38" s="94" t="n"/>
      <c r="G38" s="94" t="n"/>
      <c r="H38" s="94" t="n"/>
      <c r="I38" s="94" t="n"/>
      <c r="J38" s="94" t="n"/>
      <c r="K38" s="94" t="n"/>
      <c r="L38" s="94" t="n"/>
      <c r="M38" s="94" t="n"/>
      <c r="N38" s="94" t="n"/>
      <c r="O38" s="94" t="n"/>
      <c r="P38" s="94" t="n"/>
      <c r="Q38" s="94" t="n"/>
      <c r="R38" s="94" t="n"/>
      <c r="S38" s="94" t="n"/>
      <c r="T38" s="94" t="n"/>
      <c r="U38" s="94" t="n"/>
      <c r="V38" s="94" t="n"/>
      <c r="W38" s="94" t="n"/>
      <c r="X38" s="94" t="n"/>
      <c r="Y38" s="94" t="n"/>
      <c r="Z38" s="94" t="n"/>
    </row>
    <row r="39" ht="15.75" customHeight="1" s="90">
      <c r="A39" s="96" t="inlineStr">
        <is>
          <t>RESTAURANT FEE DEFAULTS (can be overridden per venue)</t>
        </is>
      </c>
      <c r="B39" s="92" t="n"/>
      <c r="C39" s="92" t="n"/>
      <c r="D39" s="92" t="n"/>
      <c r="E39" s="92" t="n"/>
      <c r="F39" s="92" t="n"/>
      <c r="G39" s="93" t="n"/>
      <c r="H39" s="94" t="n"/>
      <c r="I39" s="94" t="n"/>
      <c r="J39" s="94" t="n"/>
      <c r="K39" s="94" t="n"/>
      <c r="L39" s="94" t="n"/>
      <c r="M39" s="94" t="n"/>
      <c r="N39" s="94" t="n"/>
      <c r="O39" s="94" t="n"/>
      <c r="P39" s="94" t="n"/>
      <c r="Q39" s="94" t="n"/>
      <c r="R39" s="94" t="n"/>
      <c r="S39" s="94" t="n"/>
      <c r="T39" s="94" t="n"/>
      <c r="U39" s="94" t="n"/>
      <c r="V39" s="94" t="n"/>
      <c r="W39" s="94" t="n"/>
      <c r="X39" s="94" t="n"/>
      <c r="Y39" s="94" t="n"/>
      <c r="Z39" s="94" t="n"/>
    </row>
    <row r="40" ht="15.75" customHeight="1" s="90">
      <c r="A40" s="107" t="inlineStr">
        <is>
          <t>Service Charge:</t>
        </is>
      </c>
      <c r="B40" s="99" t="n"/>
      <c r="C40" s="98" t="inlineStr">
        <is>
          <t>20%</t>
        </is>
      </c>
      <c r="D40" s="121" t="inlineStr">
        <is>
          <t>20%, 21.5%, or None</t>
        </is>
      </c>
      <c r="E40" s="92" t="n"/>
      <c r="F40" s="92" t="n"/>
      <c r="G40" s="93" t="n"/>
      <c r="H40" s="94" t="n"/>
      <c r="I40" s="94" t="n"/>
      <c r="J40" s="94" t="n"/>
      <c r="K40" s="94" t="n"/>
      <c r="L40" s="94" t="n"/>
      <c r="M40" s="94" t="n"/>
      <c r="N40" s="94" t="n"/>
      <c r="O40" s="94" t="n"/>
      <c r="P40" s="94" t="n"/>
      <c r="Q40" s="94" t="n"/>
      <c r="R40" s="94" t="n"/>
      <c r="S40" s="94" t="n"/>
      <c r="T40" s="94" t="n"/>
      <c r="U40" s="94" t="n"/>
      <c r="V40" s="94" t="n"/>
      <c r="W40" s="94" t="n"/>
      <c r="X40" s="94" t="n"/>
      <c r="Y40" s="94" t="n"/>
      <c r="Z40" s="94" t="n"/>
    </row>
    <row r="41" ht="15.75" customHeight="1" s="90">
      <c r="A41" s="107" t="inlineStr">
        <is>
          <t>Gratuity:</t>
        </is>
      </c>
      <c r="B41" s="99" t="n"/>
      <c r="C41" s="98" t="inlineStr">
        <is>
          <t>20%</t>
        </is>
      </c>
      <c r="D41" s="121" t="inlineStr">
        <is>
          <t>20% or None</t>
        </is>
      </c>
      <c r="E41" s="92" t="n"/>
      <c r="F41" s="92" t="n"/>
      <c r="G41" s="93" t="n"/>
      <c r="H41" s="94" t="n"/>
      <c r="I41" s="94" t="n"/>
      <c r="J41" s="94" t="n"/>
      <c r="K41" s="94" t="n"/>
      <c r="L41" s="94" t="n"/>
      <c r="M41" s="94" t="n"/>
      <c r="N41" s="94" t="n"/>
      <c r="O41" s="94" t="n"/>
      <c r="P41" s="94" t="n"/>
      <c r="Q41" s="94" t="n"/>
      <c r="R41" s="94" t="n"/>
      <c r="S41" s="94" t="n"/>
      <c r="T41" s="94" t="n"/>
      <c r="U41" s="94" t="n"/>
      <c r="V41" s="94" t="n"/>
      <c r="W41" s="94" t="n"/>
      <c r="X41" s="94" t="n"/>
      <c r="Y41" s="94" t="n"/>
      <c r="Z41" s="94" t="n"/>
    </row>
    <row r="42" ht="15.75" customHeight="1" s="90">
      <c r="A42" s="107" t="inlineStr">
        <is>
          <t>Admin Fee:</t>
        </is>
      </c>
      <c r="B42" s="99" t="n"/>
      <c r="C42" s="98" t="inlineStr">
        <is>
          <t>5%</t>
        </is>
      </c>
      <c r="D42" s="121" t="inlineStr">
        <is>
          <t>5% or None</t>
        </is>
      </c>
      <c r="E42" s="92" t="n"/>
      <c r="F42" s="92" t="n"/>
      <c r="G42" s="93" t="n"/>
      <c r="H42" s="94" t="n"/>
      <c r="I42" s="94" t="n"/>
      <c r="J42" s="94" t="n"/>
      <c r="K42" s="94" t="n"/>
      <c r="L42" s="94" t="n"/>
      <c r="M42" s="94" t="n"/>
      <c r="N42" s="94" t="n"/>
      <c r="O42" s="94" t="n"/>
      <c r="P42" s="94" t="n"/>
      <c r="Q42" s="94" t="n"/>
      <c r="R42" s="94" t="n"/>
      <c r="S42" s="94" t="n"/>
      <c r="T42" s="94" t="n"/>
      <c r="U42" s="94" t="n"/>
      <c r="V42" s="94" t="n"/>
      <c r="W42" s="94" t="n"/>
      <c r="X42" s="94" t="n"/>
      <c r="Y42" s="94" t="n"/>
      <c r="Z42" s="94" t="n"/>
    </row>
    <row r="43" ht="15.75" customHeight="1" s="90">
      <c r="A43" s="94" t="n"/>
      <c r="B43" s="94" t="n"/>
      <c r="C43" s="94" t="n"/>
      <c r="D43" s="94" t="n"/>
      <c r="E43" s="94" t="n"/>
      <c r="F43" s="94" t="n"/>
      <c r="G43" s="94" t="n"/>
      <c r="H43" s="94" t="n"/>
      <c r="I43" s="94" t="n"/>
      <c r="J43" s="94" t="n"/>
      <c r="K43" s="94" t="n"/>
      <c r="L43" s="94" t="n"/>
      <c r="M43" s="94" t="n"/>
      <c r="N43" s="94" t="n"/>
      <c r="O43" s="94" t="n"/>
      <c r="P43" s="94" t="n"/>
      <c r="Q43" s="94" t="n"/>
      <c r="R43" s="94" t="n"/>
      <c r="S43" s="94" t="n"/>
      <c r="T43" s="94" t="n"/>
      <c r="U43" s="94" t="n"/>
      <c r="V43" s="94" t="n"/>
      <c r="W43" s="94" t="n"/>
      <c r="X43" s="94" t="n"/>
      <c r="Y43" s="94" t="n"/>
      <c r="Z43" s="94" t="n"/>
    </row>
    <row r="44" ht="15.75" customHeight="1" s="90">
      <c r="A44" s="96" t="inlineStr">
        <is>
          <t>HOW TO USE</t>
        </is>
      </c>
      <c r="B44" s="92" t="n"/>
      <c r="C44" s="92" t="n"/>
      <c r="D44" s="92" t="n"/>
      <c r="E44" s="92" t="n"/>
      <c r="F44" s="92" t="n"/>
      <c r="G44" s="93" t="n"/>
      <c r="H44" s="94" t="n"/>
      <c r="I44" s="94" t="n"/>
      <c r="J44" s="94" t="n"/>
      <c r="K44" s="94" t="n"/>
      <c r="L44" s="94" t="n"/>
      <c r="M44" s="94" t="n"/>
      <c r="N44" s="94" t="n"/>
      <c r="O44" s="94" t="n"/>
      <c r="P44" s="94" t="n"/>
      <c r="Q44" s="94" t="n"/>
      <c r="R44" s="94" t="n"/>
      <c r="S44" s="94" t="n"/>
      <c r="T44" s="94" t="n"/>
      <c r="U44" s="94" t="n"/>
      <c r="V44" s="94" t="n"/>
      <c r="W44" s="94" t="n"/>
      <c r="X44" s="94" t="n"/>
      <c r="Y44" s="94" t="n"/>
      <c r="Z44" s="94" t="n"/>
    </row>
    <row r="45" ht="15.75" customHeight="1" s="90">
      <c r="A45" s="123" t="inlineStr">
        <is>
          <t>1.  Fill out all fields above — this information feeds into every estimate tab.</t>
        </is>
      </c>
      <c r="B45" s="92" t="n"/>
      <c r="C45" s="92" t="n"/>
      <c r="D45" s="92" t="n"/>
      <c r="E45" s="92" t="n"/>
      <c r="F45" s="92" t="n"/>
      <c r="G45" s="93" t="n"/>
      <c r="H45" s="94" t="n"/>
      <c r="I45" s="94" t="n"/>
      <c r="J45" s="94" t="n"/>
      <c r="K45" s="94" t="n"/>
      <c r="L45" s="94" t="n"/>
      <c r="M45" s="94" t="n"/>
      <c r="N45" s="94" t="n"/>
      <c r="O45" s="94" t="n"/>
      <c r="P45" s="94" t="n"/>
      <c r="Q45" s="94" t="n"/>
      <c r="R45" s="94" t="n"/>
      <c r="S45" s="94" t="n"/>
      <c r="T45" s="94" t="n"/>
      <c r="U45" s="94" t="n"/>
      <c r="V45" s="94" t="n"/>
      <c r="W45" s="94" t="n"/>
      <c r="X45" s="94" t="n"/>
      <c r="Y45" s="94" t="n"/>
      <c r="Z45" s="94" t="n"/>
    </row>
    <row r="46" ht="15.75" customHeight="1" s="90">
      <c r="A46" s="123" t="inlineStr">
        <is>
          <t>2.  Right-click the 'Venue Estimate' tab → 'Move or Copy' → check 'Create a copy'.</t>
        </is>
      </c>
      <c r="B46" s="92" t="n"/>
      <c r="C46" s="92" t="n"/>
      <c r="D46" s="92" t="n"/>
      <c r="E46" s="92" t="n"/>
      <c r="F46" s="92" t="n"/>
      <c r="G46" s="93" t="n"/>
      <c r="H46" s="94" t="n"/>
      <c r="I46" s="94" t="n"/>
      <c r="J46" s="94" t="n"/>
      <c r="K46" s="94" t="n"/>
      <c r="L46" s="94" t="n"/>
      <c r="M46" s="94" t="n"/>
      <c r="N46" s="94" t="n"/>
      <c r="O46" s="94" t="n"/>
      <c r="P46" s="94" t="n"/>
      <c r="Q46" s="94" t="n"/>
      <c r="R46" s="94" t="n"/>
      <c r="S46" s="94" t="n"/>
      <c r="T46" s="94" t="n"/>
      <c r="U46" s="94" t="n"/>
      <c r="V46" s="94" t="n"/>
      <c r="W46" s="94" t="n"/>
      <c r="X46" s="94" t="n"/>
      <c r="Y46" s="94" t="n"/>
      <c r="Z46" s="94" t="n"/>
    </row>
    <row r="47" ht="15.75" customHeight="1" s="90">
      <c r="A47" s="123" t="inlineStr">
        <is>
          <t>3.  Rename the copied tab to the restaurant/venue name.</t>
        </is>
      </c>
      <c r="B47" s="92" t="n"/>
      <c r="C47" s="92" t="n"/>
      <c r="D47" s="92" t="n"/>
      <c r="E47" s="92" t="n"/>
      <c r="F47" s="92" t="n"/>
      <c r="G47" s="93" t="n"/>
      <c r="H47" s="94" t="n"/>
      <c r="I47" s="94" t="n"/>
      <c r="J47" s="94" t="n"/>
      <c r="K47" s="94" t="n"/>
      <c r="L47" s="94" t="n"/>
      <c r="M47" s="94" t="n"/>
      <c r="N47" s="94" t="n"/>
      <c r="O47" s="94" t="n"/>
      <c r="P47" s="94" t="n"/>
      <c r="Q47" s="94" t="n"/>
      <c r="R47" s="94" t="n"/>
      <c r="S47" s="94" t="n"/>
      <c r="T47" s="94" t="n"/>
      <c r="U47" s="94" t="n"/>
      <c r="V47" s="94" t="n"/>
      <c r="W47" s="94" t="n"/>
      <c r="X47" s="94" t="n"/>
      <c r="Y47" s="94" t="n"/>
      <c r="Z47" s="94" t="n"/>
    </row>
    <row r="48" ht="15.75" customHeight="1" s="90">
      <c r="A48" s="123" t="inlineStr">
        <is>
          <t>4.  On the new tab, enter venue name, F&amp;B minimum, and line item pricing.</t>
        </is>
      </c>
      <c r="B48" s="92" t="n"/>
      <c r="C48" s="92" t="n"/>
      <c r="D48" s="92" t="n"/>
      <c r="E48" s="92" t="n"/>
      <c r="F48" s="92" t="n"/>
      <c r="G48" s="93" t="n"/>
      <c r="H48" s="94" t="n"/>
      <c r="I48" s="94" t="n"/>
      <c r="J48" s="94" t="n"/>
      <c r="K48" s="94" t="n"/>
      <c r="L48" s="94" t="n"/>
      <c r="M48" s="94" t="n"/>
      <c r="N48" s="94" t="n"/>
      <c r="O48" s="94" t="n"/>
      <c r="P48" s="94" t="n"/>
      <c r="Q48" s="94" t="n"/>
      <c r="R48" s="94" t="n"/>
      <c r="S48" s="94" t="n"/>
      <c r="T48" s="94" t="n"/>
      <c r="U48" s="94" t="n"/>
      <c r="V48" s="94" t="n"/>
      <c r="W48" s="94" t="n"/>
      <c r="X48" s="94" t="n"/>
      <c r="Y48" s="94" t="n"/>
      <c r="Z48" s="94" t="n"/>
    </row>
    <row r="49" ht="15.75" customHeight="1" s="90">
      <c r="A49" s="123" t="inlineStr">
        <is>
          <t>5.  Fee structure defaults from this tab but can be overridden per venue (yellow fields).</t>
        </is>
      </c>
      <c r="B49" s="92" t="n"/>
      <c r="C49" s="92" t="n"/>
      <c r="D49" s="92" t="n"/>
      <c r="E49" s="92" t="n"/>
      <c r="F49" s="92" t="n"/>
      <c r="G49" s="93" t="n"/>
      <c r="H49" s="94" t="n"/>
      <c r="I49" s="94" t="n"/>
      <c r="J49" s="94" t="n"/>
      <c r="K49" s="94" t="n"/>
      <c r="L49" s="94" t="n"/>
      <c r="M49" s="94" t="n"/>
      <c r="N49" s="94" t="n"/>
      <c r="O49" s="94" t="n"/>
      <c r="P49" s="94" t="n"/>
      <c r="Q49" s="94" t="n"/>
      <c r="R49" s="94" t="n"/>
      <c r="S49" s="94" t="n"/>
      <c r="T49" s="94" t="n"/>
      <c r="U49" s="94" t="n"/>
      <c r="V49" s="94" t="n"/>
      <c r="W49" s="94" t="n"/>
      <c r="X49" s="94" t="n"/>
      <c r="Y49" s="94" t="n"/>
      <c r="Z49" s="94" t="n"/>
    </row>
    <row r="50" ht="15.75" customHeight="1" s="90">
      <c r="A50" s="123" t="inlineStr">
        <is>
          <t>6.  The Client-Ready Table auto-generates rounded numbers for Canva export.</t>
        </is>
      </c>
      <c r="B50" s="92" t="n"/>
      <c r="C50" s="92" t="n"/>
      <c r="D50" s="92" t="n"/>
      <c r="E50" s="92" t="n"/>
      <c r="F50" s="92" t="n"/>
      <c r="G50" s="93" t="n"/>
      <c r="H50" s="94" t="n"/>
      <c r="I50" s="94" t="n"/>
      <c r="J50" s="94" t="n"/>
      <c r="K50" s="94" t="n"/>
      <c r="L50" s="94" t="n"/>
      <c r="M50" s="94" t="n"/>
      <c r="N50" s="94" t="n"/>
      <c r="O50" s="94" t="n"/>
      <c r="P50" s="94" t="n"/>
      <c r="Q50" s="94" t="n"/>
      <c r="R50" s="94" t="n"/>
      <c r="S50" s="94" t="n"/>
      <c r="T50" s="94" t="n"/>
      <c r="U50" s="94" t="n"/>
      <c r="V50" s="94" t="n"/>
      <c r="W50" s="94" t="n"/>
      <c r="X50" s="94" t="n"/>
      <c r="Y50" s="94" t="n"/>
      <c r="Z50" s="94" t="n"/>
    </row>
    <row r="51" ht="15.75" customHeight="1" s="90">
      <c r="A51" s="94" t="n"/>
      <c r="B51" s="94" t="n"/>
      <c r="C51" s="94" t="n"/>
      <c r="D51" s="94" t="n"/>
      <c r="E51" s="94" t="n"/>
      <c r="F51" s="94" t="n"/>
      <c r="G51" s="94" t="n"/>
      <c r="H51" s="94" t="n"/>
      <c r="I51" s="94" t="n"/>
      <c r="J51" s="94" t="n"/>
      <c r="K51" s="94" t="n"/>
      <c r="L51" s="94" t="n"/>
      <c r="M51" s="94" t="n"/>
      <c r="N51" s="94" t="n"/>
      <c r="O51" s="94" t="n"/>
      <c r="P51" s="94" t="n"/>
      <c r="Q51" s="94" t="n"/>
      <c r="R51" s="94" t="n"/>
      <c r="S51" s="94" t="n"/>
      <c r="T51" s="94" t="n"/>
      <c r="U51" s="94" t="n"/>
      <c r="V51" s="94" t="n"/>
      <c r="W51" s="94" t="n"/>
      <c r="X51" s="94" t="n"/>
      <c r="Y51" s="94" t="n"/>
      <c r="Z51" s="94" t="n"/>
    </row>
    <row r="52" ht="15.75" customHeight="1" s="90">
      <c r="A52" s="203" t="inlineStr">
        <is>
          <t>QC TRAVEL RATE TABLE</t>
        </is>
      </c>
      <c r="B52" s="203" t="n"/>
      <c r="C52" s="203" t="n"/>
      <c r="D52" s="203" t="n"/>
      <c r="E52" s="203" t="n"/>
      <c r="F52" s="203" t="n"/>
      <c r="G52" s="94" t="n"/>
      <c r="H52" s="94" t="n"/>
      <c r="I52" s="94" t="n"/>
      <c r="J52" s="94" t="n"/>
      <c r="K52" s="94" t="n"/>
      <c r="L52" s="94" t="n"/>
      <c r="M52" s="94" t="n"/>
      <c r="N52" s="94" t="n"/>
      <c r="O52" s="94" t="n"/>
      <c r="P52" s="94" t="n"/>
      <c r="Q52" s="94" t="n"/>
      <c r="R52" s="94" t="n"/>
      <c r="S52" s="94" t="n"/>
      <c r="T52" s="94" t="n"/>
      <c r="U52" s="94" t="n"/>
      <c r="V52" s="94" t="n"/>
      <c r="W52" s="94" t="n"/>
      <c r="X52" s="94" t="n"/>
      <c r="Y52" s="94" t="n"/>
      <c r="Z52" s="94" t="n"/>
    </row>
    <row r="53" ht="15.75" customHeight="1" s="90">
      <c r="A53" s="204" t="inlineStr">
        <is>
          <t>Destination</t>
        </is>
      </c>
      <c r="B53" s="204" t="inlineStr">
        <is>
          <t>Default Travel Type</t>
        </is>
      </c>
      <c r="C53" s="204" t="inlineStr">
        <is>
          <t>Drive Mileage (per trip)</t>
        </is>
      </c>
      <c r="D53" s="204" t="inlineStr">
        <is>
          <t>Flight Cost (per person)</t>
        </is>
      </c>
      <c r="E53" s="204" t="inlineStr">
        <is>
          <t>Hotel/Night (per person)</t>
        </is>
      </c>
      <c r="F53" s="204" t="inlineStr">
        <is>
          <t>Per Diem/Day (per person)</t>
        </is>
      </c>
      <c r="G53" s="94" t="n"/>
      <c r="H53" s="94" t="n"/>
      <c r="I53" s="94" t="n"/>
      <c r="J53" s="94" t="n"/>
      <c r="K53" s="94" t="n"/>
      <c r="L53" s="94" t="n"/>
      <c r="M53" s="94" t="n"/>
      <c r="N53" s="94" t="n"/>
      <c r="O53" s="94" t="n"/>
      <c r="P53" s="94" t="n"/>
      <c r="Q53" s="94" t="n"/>
      <c r="R53" s="94" t="n"/>
      <c r="S53" s="94" t="n"/>
      <c r="T53" s="94" t="n"/>
      <c r="U53" s="94" t="n"/>
      <c r="V53" s="94" t="n"/>
      <c r="W53" s="94" t="n"/>
      <c r="X53" s="94" t="n"/>
      <c r="Y53" s="94" t="n"/>
      <c r="Z53" s="94" t="n"/>
    </row>
    <row r="54" ht="15.75" customHeight="1" s="90">
      <c r="A54" s="114" t="inlineStr">
        <is>
          <t>NYC</t>
        </is>
      </c>
      <c r="B54" s="104" t="inlineStr">
        <is>
          <t>Flight</t>
        </is>
      </c>
      <c r="C54" s="205" t="n">
        <v>300</v>
      </c>
      <c r="D54" s="205" t="n">
        <v>500</v>
      </c>
      <c r="E54" s="205" t="n">
        <v>500</v>
      </c>
      <c r="F54" s="205" t="n">
        <v>100</v>
      </c>
      <c r="G54" s="94" t="n"/>
      <c r="H54" s="94" t="n"/>
      <c r="I54" s="94" t="n"/>
      <c r="J54" s="94" t="n"/>
      <c r="K54" s="94" t="n"/>
      <c r="L54" s="94" t="n"/>
      <c r="M54" s="94" t="n"/>
      <c r="N54" s="94" t="n"/>
      <c r="O54" s="94" t="n"/>
      <c r="P54" s="94" t="n"/>
      <c r="Q54" s="94" t="n"/>
      <c r="R54" s="94" t="n"/>
      <c r="S54" s="94" t="n"/>
      <c r="T54" s="94" t="n"/>
      <c r="U54" s="94" t="n"/>
      <c r="V54" s="94" t="n"/>
      <c r="W54" s="94" t="n"/>
      <c r="X54" s="94" t="n"/>
      <c r="Y54" s="94" t="n"/>
      <c r="Z54" s="94" t="n"/>
    </row>
    <row r="55" ht="15.75" customHeight="1" s="90">
      <c r="A55" s="114" t="inlineStr">
        <is>
          <t>DC</t>
        </is>
      </c>
      <c r="B55" s="104" t="inlineStr">
        <is>
          <t>Drive</t>
        </is>
      </c>
      <c r="C55" s="205" t="n">
        <v>200</v>
      </c>
      <c r="D55" s="205" t="n">
        <v>500</v>
      </c>
      <c r="E55" s="205" t="n">
        <v>250</v>
      </c>
      <c r="F55" s="205" t="n">
        <v>75</v>
      </c>
      <c r="G55" s="94" t="n"/>
      <c r="H55" s="94" t="n"/>
      <c r="I55" s="94" t="n"/>
      <c r="J55" s="94" t="n"/>
      <c r="K55" s="94" t="n"/>
      <c r="L55" s="94" t="n"/>
      <c r="M55" s="94" t="n"/>
      <c r="N55" s="94" t="n"/>
      <c r="O55" s="94" t="n"/>
      <c r="P55" s="94" t="n"/>
      <c r="Q55" s="94" t="n"/>
      <c r="R55" s="94" t="n"/>
      <c r="S55" s="94" t="n"/>
      <c r="T55" s="94" t="n"/>
      <c r="U55" s="94" t="n"/>
      <c r="V55" s="94" t="n"/>
      <c r="W55" s="94" t="n"/>
      <c r="X55" s="94" t="n"/>
      <c r="Y55" s="94" t="n"/>
      <c r="Z55" s="94" t="n"/>
    </row>
    <row r="56" ht="15.75" customHeight="1" s="90">
      <c r="A56" s="114" t="inlineStr">
        <is>
          <t>Philadelphia</t>
        </is>
      </c>
      <c r="B56" s="104" t="inlineStr">
        <is>
          <t>Drive</t>
        </is>
      </c>
      <c r="C56" s="205" t="n">
        <v>200</v>
      </c>
      <c r="D56" s="205" t="n">
        <v>500</v>
      </c>
      <c r="E56" s="205" t="n">
        <v>250</v>
      </c>
      <c r="F56" s="205" t="n">
        <v>75</v>
      </c>
      <c r="G56" s="94" t="n"/>
      <c r="H56" s="94" t="n"/>
      <c r="I56" s="94" t="n"/>
      <c r="J56" s="94" t="n"/>
      <c r="K56" s="94" t="n"/>
      <c r="L56" s="94" t="n"/>
      <c r="M56" s="94" t="n"/>
      <c r="N56" s="94" t="n"/>
      <c r="O56" s="94" t="n"/>
      <c r="P56" s="94" t="n"/>
      <c r="Q56" s="94" t="n"/>
      <c r="R56" s="94" t="n"/>
      <c r="S56" s="94" t="n"/>
      <c r="T56" s="94" t="n"/>
      <c r="U56" s="94" t="n"/>
      <c r="V56" s="94" t="n"/>
      <c r="W56" s="94" t="n"/>
      <c r="X56" s="94" t="n"/>
      <c r="Y56" s="94" t="n"/>
      <c r="Z56" s="94" t="n"/>
    </row>
    <row r="57" ht="15.75" customHeight="1" s="90">
      <c r="A57" s="114" t="inlineStr">
        <is>
          <t>Charlotte</t>
        </is>
      </c>
      <c r="B57" s="104" t="inlineStr">
        <is>
          <t>Drive</t>
        </is>
      </c>
      <c r="C57" s="205" t="n">
        <v>100</v>
      </c>
      <c r="D57" s="205" t="n">
        <v>400</v>
      </c>
      <c r="E57" s="205" t="n">
        <v>200</v>
      </c>
      <c r="F57" s="205" t="n">
        <v>75</v>
      </c>
      <c r="G57" s="94" t="n"/>
      <c r="H57" s="94" t="n"/>
      <c r="I57" s="94" t="n"/>
      <c r="J57" s="94" t="n"/>
      <c r="K57" s="94" t="n"/>
      <c r="L57" s="94" t="n"/>
      <c r="M57" s="94" t="n"/>
      <c r="N57" s="94" t="n"/>
      <c r="O57" s="94" t="n"/>
      <c r="P57" s="94" t="n"/>
      <c r="Q57" s="94" t="n"/>
      <c r="R57" s="94" t="n"/>
      <c r="S57" s="94" t="n"/>
      <c r="T57" s="94" t="n"/>
      <c r="U57" s="94" t="n"/>
      <c r="V57" s="94" t="n"/>
      <c r="W57" s="94" t="n"/>
      <c r="X57" s="94" t="n"/>
      <c r="Y57" s="94" t="n"/>
      <c r="Z57" s="94" t="n"/>
    </row>
    <row r="58" ht="15.75" customHeight="1" s="90">
      <c r="A58" s="114" t="inlineStr">
        <is>
          <t>Raleigh NC</t>
        </is>
      </c>
      <c r="B58" s="104" t="inlineStr">
        <is>
          <t>Drive</t>
        </is>
      </c>
      <c r="C58" s="205" t="n">
        <v>100</v>
      </c>
      <c r="D58" s="205" t="n">
        <v>400</v>
      </c>
      <c r="E58" s="205" t="n">
        <v>200</v>
      </c>
      <c r="F58" s="205" t="n">
        <v>75</v>
      </c>
      <c r="G58" s="94" t="n"/>
      <c r="H58" s="94" t="n"/>
      <c r="I58" s="94" t="n"/>
      <c r="J58" s="94" t="n"/>
      <c r="K58" s="94" t="n"/>
      <c r="L58" s="94" t="n"/>
      <c r="M58" s="94" t="n"/>
      <c r="N58" s="94" t="n"/>
      <c r="O58" s="94" t="n"/>
      <c r="P58" s="94" t="n"/>
      <c r="Q58" s="94" t="n"/>
      <c r="R58" s="94" t="n"/>
      <c r="S58" s="94" t="n"/>
      <c r="T58" s="94" t="n"/>
      <c r="U58" s="94" t="n"/>
      <c r="V58" s="94" t="n"/>
      <c r="W58" s="94" t="n"/>
      <c r="X58" s="94" t="n"/>
      <c r="Y58" s="94" t="n"/>
      <c r="Z58" s="94" t="n"/>
    </row>
    <row r="59" ht="15" customHeight="1" s="90">
      <c r="A59" s="114" t="inlineStr">
        <is>
          <t>Asheville NC</t>
        </is>
      </c>
      <c r="B59" s="104" t="inlineStr">
        <is>
          <t>Drive</t>
        </is>
      </c>
      <c r="C59" s="205" t="n">
        <v>100</v>
      </c>
      <c r="D59" s="205" t="n">
        <v>400</v>
      </c>
      <c r="E59" s="205" t="n">
        <v>200</v>
      </c>
      <c r="F59" s="205" t="n">
        <v>75</v>
      </c>
      <c r="G59" s="94" t="n"/>
      <c r="H59" s="94" t="n"/>
      <c r="I59" s="94" t="n"/>
      <c r="J59" s="94" t="n"/>
      <c r="K59" s="94" t="n"/>
      <c r="L59" s="94" t="n"/>
      <c r="M59" s="94" t="n"/>
      <c r="N59" s="94" t="n"/>
      <c r="O59" s="94" t="n"/>
      <c r="P59" s="94" t="n"/>
      <c r="Q59" s="94" t="n"/>
      <c r="R59" s="94" t="n"/>
      <c r="S59" s="94" t="n"/>
      <c r="T59" s="94" t="n"/>
      <c r="U59" s="94" t="n"/>
      <c r="V59" s="94" t="n"/>
      <c r="W59" s="94" t="n"/>
      <c r="X59" s="94" t="n"/>
      <c r="Y59" s="94" t="n"/>
      <c r="Z59" s="94" t="n"/>
    </row>
    <row r="60" ht="15" customHeight="1" s="90">
      <c r="A60" s="114" t="inlineStr">
        <is>
          <t>Charleston SC</t>
        </is>
      </c>
      <c r="B60" s="104" t="inlineStr">
        <is>
          <t>Drive</t>
        </is>
      </c>
      <c r="C60" s="205" t="n">
        <v>100</v>
      </c>
      <c r="D60" s="205" t="n">
        <v>400</v>
      </c>
      <c r="E60" s="205" t="n">
        <v>200</v>
      </c>
      <c r="F60" s="205" t="n">
        <v>75</v>
      </c>
      <c r="G60" s="94" t="n"/>
      <c r="H60" s="94" t="n"/>
      <c r="I60" s="94" t="n"/>
      <c r="J60" s="94" t="n"/>
      <c r="K60" s="94" t="n"/>
      <c r="L60" s="94" t="n"/>
      <c r="M60" s="94" t="n"/>
      <c r="N60" s="94" t="n"/>
      <c r="O60" s="94" t="n"/>
      <c r="P60" s="94" t="n"/>
      <c r="Q60" s="94" t="n"/>
      <c r="R60" s="94" t="n"/>
      <c r="S60" s="94" t="n"/>
      <c r="T60" s="94" t="n"/>
      <c r="U60" s="94" t="n"/>
      <c r="V60" s="94" t="n"/>
      <c r="W60" s="94" t="n"/>
      <c r="X60" s="94" t="n"/>
      <c r="Y60" s="94" t="n"/>
      <c r="Z60" s="94" t="n"/>
    </row>
    <row r="61" ht="15" customHeight="1" s="90">
      <c r="A61" s="114" t="inlineStr">
        <is>
          <t>Atlanta</t>
        </is>
      </c>
      <c r="B61" s="104" t="inlineStr">
        <is>
          <t>Drive</t>
        </is>
      </c>
      <c r="C61" s="205" t="n">
        <v>150</v>
      </c>
      <c r="D61" s="205" t="n">
        <v>400</v>
      </c>
      <c r="E61" s="205" t="n">
        <v>200</v>
      </c>
      <c r="F61" s="205" t="n">
        <v>75</v>
      </c>
      <c r="G61" s="94" t="n"/>
      <c r="H61" s="94" t="n"/>
      <c r="I61" s="94" t="n"/>
      <c r="J61" s="94" t="n"/>
      <c r="K61" s="94" t="n"/>
      <c r="L61" s="94" t="n"/>
      <c r="M61" s="94" t="n"/>
      <c r="N61" s="94" t="n"/>
      <c r="O61" s="94" t="n"/>
      <c r="P61" s="94" t="n"/>
      <c r="Q61" s="94" t="n"/>
      <c r="R61" s="94" t="n"/>
      <c r="S61" s="94" t="n"/>
      <c r="T61" s="94" t="n"/>
      <c r="U61" s="94" t="n"/>
      <c r="V61" s="94" t="n"/>
      <c r="W61" s="94" t="n"/>
      <c r="X61" s="94" t="n"/>
      <c r="Y61" s="94" t="n"/>
      <c r="Z61" s="94" t="n"/>
    </row>
    <row r="62" ht="15" customHeight="1" s="90">
      <c r="A62" s="114" t="inlineStr">
        <is>
          <t>Richmond VA</t>
        </is>
      </c>
      <c r="B62" s="104" t="inlineStr">
        <is>
          <t>Drive</t>
        </is>
      </c>
      <c r="C62" s="205" t="n">
        <v>150</v>
      </c>
      <c r="D62" s="205" t="n">
        <v>400</v>
      </c>
      <c r="E62" s="205" t="n">
        <v>200</v>
      </c>
      <c r="F62" s="205" t="n">
        <v>75</v>
      </c>
      <c r="G62" s="94" t="n"/>
      <c r="H62" s="94" t="n"/>
      <c r="I62" s="94" t="n"/>
      <c r="J62" s="94" t="n"/>
      <c r="K62" s="94" t="n"/>
      <c r="L62" s="94" t="n"/>
      <c r="M62" s="94" t="n"/>
      <c r="N62" s="94" t="n"/>
      <c r="O62" s="94" t="n"/>
      <c r="P62" s="94" t="n"/>
      <c r="Q62" s="94" t="n"/>
      <c r="R62" s="94" t="n"/>
      <c r="S62" s="94" t="n"/>
      <c r="T62" s="94" t="n"/>
      <c r="U62" s="94" t="n"/>
      <c r="V62" s="94" t="n"/>
      <c r="W62" s="94" t="n"/>
      <c r="X62" s="94" t="n"/>
      <c r="Y62" s="94" t="n"/>
      <c r="Z62" s="94" t="n"/>
    </row>
    <row r="63" ht="15" customHeight="1" s="90">
      <c r="A63" s="114" t="inlineStr">
        <is>
          <t>Other</t>
        </is>
      </c>
      <c r="B63" s="104" t="inlineStr">
        <is>
          <t>Drive</t>
        </is>
      </c>
      <c r="C63" s="205" t="n">
        <v>150</v>
      </c>
      <c r="D63" s="205" t="n">
        <v>500</v>
      </c>
      <c r="E63" s="205" t="n">
        <v>200</v>
      </c>
      <c r="F63" s="205" t="n">
        <v>75</v>
      </c>
      <c r="G63" s="94" t="n"/>
      <c r="H63" s="94" t="n"/>
      <c r="I63" s="94" t="n"/>
      <c r="J63" s="94" t="n"/>
      <c r="K63" s="94" t="n"/>
      <c r="L63" s="94" t="n"/>
      <c r="M63" s="94" t="n"/>
      <c r="N63" s="94" t="n"/>
      <c r="O63" s="94" t="n"/>
      <c r="P63" s="94" t="n"/>
      <c r="Q63" s="94" t="n"/>
      <c r="R63" s="94" t="n"/>
      <c r="S63" s="94" t="n"/>
      <c r="T63" s="94" t="n"/>
      <c r="U63" s="94" t="n"/>
      <c r="V63" s="94" t="n"/>
      <c r="W63" s="94" t="n"/>
      <c r="X63" s="94" t="n"/>
      <c r="Y63" s="94" t="n"/>
      <c r="Z63" s="94" t="n"/>
    </row>
    <row r="64" ht="15" customHeight="1" s="90">
      <c r="A64" s="94" t="n"/>
      <c r="B64" s="94" t="n"/>
      <c r="C64" s="94" t="n"/>
      <c r="D64" s="94" t="n"/>
      <c r="E64" s="94" t="n"/>
      <c r="F64" s="94" t="n"/>
      <c r="G64" s="94" t="n"/>
      <c r="H64" s="94" t="n"/>
      <c r="I64" s="94" t="n"/>
      <c r="J64" s="94" t="n"/>
      <c r="K64" s="94" t="n"/>
      <c r="L64" s="94" t="n"/>
      <c r="M64" s="94" t="n"/>
      <c r="N64" s="94" t="n"/>
      <c r="O64" s="94" t="n"/>
      <c r="P64" s="94" t="n"/>
      <c r="Q64" s="94" t="n"/>
      <c r="R64" s="94" t="n"/>
      <c r="S64" s="94" t="n"/>
      <c r="T64" s="94" t="n"/>
      <c r="U64" s="94" t="n"/>
      <c r="V64" s="94" t="n"/>
      <c r="W64" s="94" t="n"/>
      <c r="X64" s="94" t="n"/>
      <c r="Y64" s="94" t="n"/>
      <c r="Z64" s="94" t="n"/>
    </row>
    <row r="65" ht="15" customHeight="1" s="90">
      <c r="A65" s="203" t="inlineStr">
        <is>
          <t>VEHICLE RATE TABLE</t>
        </is>
      </c>
      <c r="B65" s="203" t="n"/>
      <c r="C65" s="94" t="n"/>
      <c r="D65" s="94" t="n"/>
      <c r="E65" s="94" t="n"/>
      <c r="F65" s="94" t="n"/>
      <c r="G65" s="94" t="n"/>
      <c r="H65" s="94" t="n"/>
      <c r="I65" s="94" t="n"/>
      <c r="J65" s="94" t="n"/>
      <c r="K65" s="94" t="n"/>
      <c r="L65" s="94" t="n"/>
      <c r="M65" s="94" t="n"/>
      <c r="N65" s="94" t="n"/>
      <c r="O65" s="94" t="n"/>
      <c r="P65" s="94" t="n"/>
      <c r="Q65" s="94" t="n"/>
      <c r="R65" s="94" t="n"/>
      <c r="S65" s="94" t="n"/>
      <c r="T65" s="94" t="n"/>
      <c r="U65" s="94" t="n"/>
      <c r="V65" s="94" t="n"/>
      <c r="W65" s="94" t="n"/>
      <c r="X65" s="94" t="n"/>
      <c r="Y65" s="94" t="n"/>
      <c r="Z65" s="94" t="n"/>
    </row>
    <row r="66" ht="15" customHeight="1" s="90">
      <c r="A66" s="204" t="inlineStr">
        <is>
          <t>Vehicle</t>
        </is>
      </c>
      <c r="B66" s="204" t="inlineStr">
        <is>
          <t>Cost</t>
        </is>
      </c>
      <c r="C66" s="94" t="n"/>
      <c r="D66" s="94" t="n"/>
      <c r="E66" s="94" t="n"/>
      <c r="F66" s="94" t="n"/>
      <c r="G66" s="94" t="n"/>
      <c r="H66" s="94" t="n"/>
      <c r="I66" s="94" t="n"/>
      <c r="J66" s="94" t="n"/>
      <c r="K66" s="94" t="n"/>
      <c r="L66" s="94" t="n"/>
      <c r="M66" s="94" t="n"/>
      <c r="N66" s="94" t="n"/>
      <c r="O66" s="94" t="n"/>
      <c r="P66" s="94" t="n"/>
      <c r="Q66" s="94" t="n"/>
      <c r="R66" s="94" t="n"/>
      <c r="S66" s="94" t="n"/>
      <c r="T66" s="94" t="n"/>
      <c r="U66" s="94" t="n"/>
      <c r="V66" s="94" t="n"/>
      <c r="W66" s="94" t="n"/>
      <c r="X66" s="94" t="n"/>
      <c r="Y66" s="94" t="n"/>
      <c r="Z66" s="94" t="n"/>
    </row>
    <row r="67" ht="15" customHeight="1" s="90">
      <c r="A67" s="114" t="inlineStr">
        <is>
          <t>None</t>
        </is>
      </c>
      <c r="B67" s="205" t="n">
        <v>0</v>
      </c>
      <c r="C67" s="94" t="n"/>
      <c r="D67" s="94" t="n"/>
      <c r="E67" s="94" t="n"/>
      <c r="F67" s="94" t="n"/>
      <c r="G67" s="94" t="n"/>
      <c r="H67" s="94" t="n"/>
      <c r="I67" s="94" t="n"/>
      <c r="J67" s="94" t="n"/>
      <c r="K67" s="94" t="n"/>
      <c r="L67" s="94" t="n"/>
      <c r="M67" s="94" t="n"/>
      <c r="N67" s="94" t="n"/>
      <c r="O67" s="94" t="n"/>
      <c r="P67" s="94" t="n"/>
      <c r="Q67" s="94" t="n"/>
      <c r="R67" s="94" t="n"/>
      <c r="S67" s="94" t="n"/>
      <c r="T67" s="94" t="n"/>
      <c r="U67" s="94" t="n"/>
      <c r="V67" s="94" t="n"/>
      <c r="W67" s="94" t="n"/>
      <c r="X67" s="94" t="n"/>
      <c r="Y67" s="94" t="n"/>
      <c r="Z67" s="94" t="n"/>
    </row>
    <row r="68" ht="15" customHeight="1" s="90">
      <c r="A68" s="114" t="inlineStr">
        <is>
          <t>SUV ($450)</t>
        </is>
      </c>
      <c r="B68" s="205" t="n">
        <v>450</v>
      </c>
      <c r="C68" s="94" t="n"/>
      <c r="D68" s="94" t="n"/>
      <c r="E68" s="94" t="n"/>
      <c r="F68" s="94" t="n"/>
      <c r="G68" s="94" t="n"/>
      <c r="H68" s="94" t="n"/>
      <c r="I68" s="94" t="n"/>
      <c r="J68" s="94" t="n"/>
      <c r="K68" s="94" t="n"/>
      <c r="L68" s="94" t="n"/>
      <c r="M68" s="94" t="n"/>
      <c r="N68" s="94" t="n"/>
      <c r="O68" s="94" t="n"/>
      <c r="P68" s="94" t="n"/>
      <c r="Q68" s="94" t="n"/>
      <c r="R68" s="94" t="n"/>
      <c r="S68" s="94" t="n"/>
      <c r="T68" s="94" t="n"/>
      <c r="U68" s="94" t="n"/>
      <c r="V68" s="94" t="n"/>
      <c r="W68" s="94" t="n"/>
      <c r="X68" s="94" t="n"/>
      <c r="Y68" s="94" t="n"/>
      <c r="Z68" s="94" t="n"/>
    </row>
    <row r="69" ht="15" customHeight="1" s="90">
      <c r="A69" s="114" t="inlineStr">
        <is>
          <t>Sprinter ($850)</t>
        </is>
      </c>
      <c r="B69" s="205" t="n">
        <v>850</v>
      </c>
      <c r="C69" s="94" t="n"/>
      <c r="D69" s="94" t="n"/>
      <c r="E69" s="94" t="n"/>
      <c r="F69" s="94" t="n"/>
      <c r="G69" s="94" t="n"/>
      <c r="H69" s="94" t="n"/>
      <c r="I69" s="94" t="n"/>
      <c r="J69" s="94" t="n"/>
      <c r="K69" s="94" t="n"/>
      <c r="L69" s="94" t="n"/>
      <c r="M69" s="94" t="n"/>
      <c r="N69" s="94" t="n"/>
      <c r="O69" s="94" t="n"/>
      <c r="P69" s="94" t="n"/>
      <c r="Q69" s="94" t="n"/>
      <c r="R69" s="94" t="n"/>
      <c r="S69" s="94" t="n"/>
      <c r="T69" s="94" t="n"/>
      <c r="U69" s="94" t="n"/>
      <c r="V69" s="94" t="n"/>
      <c r="W69" s="94" t="n"/>
      <c r="X69" s="94" t="n"/>
      <c r="Y69" s="94" t="n"/>
      <c r="Z69" s="94" t="n"/>
    </row>
    <row r="70" ht="15" customHeight="1" s="90">
      <c r="A70" s="114" t="inlineStr">
        <is>
          <t>Mini Bus ($1,200)</t>
        </is>
      </c>
      <c r="B70" s="205" t="n">
        <v>1200</v>
      </c>
      <c r="C70" s="94" t="n"/>
      <c r="D70" s="94" t="n"/>
      <c r="E70" s="94" t="n"/>
      <c r="F70" s="94" t="n"/>
      <c r="G70" s="94" t="n"/>
      <c r="H70" s="94" t="n"/>
      <c r="I70" s="94" t="n"/>
      <c r="J70" s="94" t="n"/>
      <c r="K70" s="94" t="n"/>
      <c r="L70" s="94" t="n"/>
      <c r="M70" s="94" t="n"/>
      <c r="N70" s="94" t="n"/>
      <c r="O70" s="94" t="n"/>
      <c r="P70" s="94" t="n"/>
      <c r="Q70" s="94" t="n"/>
      <c r="R70" s="94" t="n"/>
      <c r="S70" s="94" t="n"/>
      <c r="T70" s="94" t="n"/>
      <c r="U70" s="94" t="n"/>
      <c r="V70" s="94" t="n"/>
      <c r="W70" s="94" t="n"/>
      <c r="X70" s="94" t="n"/>
      <c r="Y70" s="94" t="n"/>
      <c r="Z70" s="94" t="n"/>
    </row>
    <row r="71" ht="15" customHeight="1" s="90">
      <c r="A71" s="114" t="inlineStr">
        <is>
          <t>Motor Coach ($1,800)</t>
        </is>
      </c>
      <c r="B71" s="205" t="n">
        <v>1800</v>
      </c>
      <c r="C71" s="94" t="n"/>
      <c r="D71" s="94" t="n"/>
      <c r="E71" s="94" t="n"/>
      <c r="F71" s="94" t="n"/>
      <c r="G71" s="94" t="n"/>
      <c r="H71" s="94" t="n"/>
      <c r="I71" s="94" t="n"/>
      <c r="J71" s="94" t="n"/>
      <c r="K71" s="94" t="n"/>
      <c r="L71" s="94" t="n"/>
      <c r="M71" s="94" t="n"/>
      <c r="N71" s="94" t="n"/>
      <c r="O71" s="94" t="n"/>
      <c r="P71" s="94" t="n"/>
      <c r="Q71" s="94" t="n"/>
      <c r="R71" s="94" t="n"/>
      <c r="S71" s="94" t="n"/>
      <c r="T71" s="94" t="n"/>
      <c r="U71" s="94" t="n"/>
      <c r="V71" s="94" t="n"/>
      <c r="W71" s="94" t="n"/>
      <c r="X71" s="94" t="n"/>
      <c r="Y71" s="94" t="n"/>
      <c r="Z71" s="94" t="n"/>
    </row>
    <row r="72" ht="15" customHeight="1" s="90">
      <c r="A72" s="114" t="inlineStr">
        <is>
          <t>Custom</t>
        </is>
      </c>
      <c r="B72" s="205" t="n">
        <v>0</v>
      </c>
      <c r="C72" s="94" t="n"/>
      <c r="D72" s="94" t="n"/>
      <c r="E72" s="94" t="n"/>
      <c r="F72" s="94" t="n"/>
      <c r="G72" s="94" t="n"/>
      <c r="H72" s="94" t="n"/>
      <c r="I72" s="94" t="n"/>
      <c r="J72" s="94" t="n"/>
      <c r="K72" s="94" t="n"/>
      <c r="L72" s="94" t="n"/>
      <c r="M72" s="94" t="n"/>
      <c r="N72" s="94" t="n"/>
      <c r="O72" s="94" t="n"/>
      <c r="P72" s="94" t="n"/>
      <c r="Q72" s="94" t="n"/>
      <c r="R72" s="94" t="n"/>
      <c r="S72" s="94" t="n"/>
      <c r="T72" s="94" t="n"/>
      <c r="U72" s="94" t="n"/>
      <c r="V72" s="94" t="n"/>
      <c r="W72" s="94" t="n"/>
      <c r="X72" s="94" t="n"/>
      <c r="Y72" s="94" t="n"/>
      <c r="Z72" s="94" t="n"/>
    </row>
    <row r="73" ht="15" customHeight="1" s="90">
      <c r="A73" s="94" t="n"/>
      <c r="B73" s="94" t="n"/>
      <c r="C73" s="94" t="n"/>
      <c r="D73" s="94" t="n"/>
      <c r="E73" s="94" t="n"/>
      <c r="F73" s="94" t="n"/>
      <c r="G73" s="94" t="n"/>
      <c r="H73" s="94" t="n"/>
      <c r="I73" s="94" t="n"/>
      <c r="J73" s="94" t="n"/>
      <c r="K73" s="94" t="n"/>
      <c r="L73" s="94" t="n"/>
      <c r="M73" s="94" t="n"/>
      <c r="N73" s="94" t="n"/>
      <c r="O73" s="94" t="n"/>
      <c r="P73" s="94" t="n"/>
      <c r="Q73" s="94" t="n"/>
      <c r="R73" s="94" t="n"/>
      <c r="S73" s="94" t="n"/>
      <c r="T73" s="94" t="n"/>
      <c r="U73" s="94" t="n"/>
      <c r="V73" s="94" t="n"/>
      <c r="W73" s="94" t="n"/>
      <c r="X73" s="94" t="n"/>
      <c r="Y73" s="94" t="n"/>
      <c r="Z73" s="94" t="n"/>
    </row>
    <row r="74" ht="15" customHeight="1" s="90">
      <c r="A74" s="124" t="inlineStr">
        <is>
          <t>LOCATION</t>
        </is>
      </c>
      <c r="B74" s="124" t="inlineStr">
        <is>
          <t>FOOD TAX</t>
        </is>
      </c>
      <c r="C74" s="124" t="inlineStr">
        <is>
          <t>ALCOHOL TAX</t>
        </is>
      </c>
      <c r="D74" s="124" t="inlineStr">
        <is>
          <t>GENERAL TAX</t>
        </is>
      </c>
      <c r="E74" s="94" t="n"/>
      <c r="F74" s="94" t="n"/>
      <c r="G74" s="94" t="n"/>
      <c r="H74" s="94" t="n"/>
      <c r="I74" s="94" t="n"/>
      <c r="J74" s="94" t="n"/>
      <c r="K74" s="94" t="n"/>
      <c r="L74" s="94" t="n"/>
      <c r="M74" s="94" t="n"/>
      <c r="N74" s="94" t="n"/>
      <c r="O74" s="94" t="n"/>
      <c r="P74" s="94" t="n"/>
      <c r="Q74" s="94" t="n"/>
      <c r="R74" s="94" t="n"/>
      <c r="S74" s="94" t="n"/>
      <c r="T74" s="94" t="n"/>
      <c r="U74" s="94" t="n"/>
      <c r="V74" s="94" t="n"/>
      <c r="W74" s="94" t="n"/>
      <c r="X74" s="94" t="n"/>
      <c r="Y74" s="94" t="n"/>
      <c r="Z74" s="94" t="n"/>
    </row>
    <row r="75" ht="15" customHeight="1" s="90">
      <c r="A75" s="125" t="inlineStr">
        <is>
          <t>Mecklenburg County NC (Charlotte)</t>
        </is>
      </c>
      <c r="B75" s="126" t="n">
        <v>0.0725</v>
      </c>
      <c r="C75" s="126" t="n">
        <v>0.0725</v>
      </c>
      <c r="D75" s="126" t="n">
        <v>0.0725</v>
      </c>
      <c r="E75" s="94" t="n"/>
      <c r="F75" s="94" t="n"/>
      <c r="G75" s="94" t="n"/>
      <c r="H75" s="94" t="n"/>
      <c r="I75" s="94" t="n"/>
      <c r="J75" s="94" t="n"/>
      <c r="K75" s="94" t="n"/>
      <c r="L75" s="94" t="n"/>
      <c r="M75" s="94" t="n"/>
      <c r="N75" s="94" t="n"/>
      <c r="O75" s="94" t="n"/>
      <c r="P75" s="94" t="n"/>
      <c r="Q75" s="94" t="n"/>
      <c r="R75" s="94" t="n"/>
      <c r="S75" s="94" t="n"/>
      <c r="T75" s="94" t="n"/>
      <c r="U75" s="94" t="n"/>
      <c r="V75" s="94" t="n"/>
      <c r="W75" s="94" t="n"/>
      <c r="X75" s="94" t="n"/>
      <c r="Y75" s="94" t="n"/>
      <c r="Z75" s="94" t="n"/>
    </row>
    <row r="76" ht="15" customHeight="1" s="90">
      <c r="A76" s="125" t="inlineStr">
        <is>
          <t>Wake County NC (Raleigh)</t>
        </is>
      </c>
      <c r="B76" s="126" t="n">
        <v>0.0725</v>
      </c>
      <c r="C76" s="126" t="n">
        <v>0.0725</v>
      </c>
      <c r="D76" s="126" t="n">
        <v>0.0725</v>
      </c>
      <c r="E76" s="94" t="n"/>
      <c r="F76" s="94" t="n"/>
      <c r="G76" s="94" t="n"/>
      <c r="H76" s="94" t="n"/>
      <c r="I76" s="94" t="n"/>
      <c r="J76" s="94" t="n"/>
      <c r="K76" s="94" t="n"/>
      <c r="L76" s="94" t="n"/>
      <c r="M76" s="94" t="n"/>
      <c r="N76" s="94" t="n"/>
      <c r="O76" s="94" t="n"/>
      <c r="P76" s="94" t="n"/>
      <c r="Q76" s="94" t="n"/>
      <c r="R76" s="94" t="n"/>
      <c r="S76" s="94" t="n"/>
      <c r="T76" s="94" t="n"/>
      <c r="U76" s="94" t="n"/>
      <c r="V76" s="94" t="n"/>
      <c r="W76" s="94" t="n"/>
      <c r="X76" s="94" t="n"/>
      <c r="Y76" s="94" t="n"/>
      <c r="Z76" s="94" t="n"/>
    </row>
    <row r="77" ht="15" customHeight="1" s="90">
      <c r="A77" s="125" t="inlineStr">
        <is>
          <t>Durham County NC</t>
        </is>
      </c>
      <c r="B77" s="126" t="n">
        <v>0.075</v>
      </c>
      <c r="C77" s="126" t="n">
        <v>0.075</v>
      </c>
      <c r="D77" s="126" t="n">
        <v>0.075</v>
      </c>
      <c r="E77" s="94" t="n"/>
      <c r="F77" s="94" t="n"/>
      <c r="G77" s="94" t="n"/>
      <c r="H77" s="94" t="n"/>
      <c r="I77" s="94" t="n"/>
      <c r="J77" s="94" t="n"/>
      <c r="K77" s="94" t="n"/>
      <c r="L77" s="94" t="n"/>
      <c r="M77" s="94" t="n"/>
      <c r="N77" s="94" t="n"/>
      <c r="O77" s="94" t="n"/>
      <c r="P77" s="94" t="n"/>
      <c r="Q77" s="94" t="n"/>
      <c r="R77" s="94" t="n"/>
      <c r="S77" s="94" t="n"/>
      <c r="T77" s="94" t="n"/>
      <c r="U77" s="94" t="n"/>
      <c r="V77" s="94" t="n"/>
      <c r="W77" s="94" t="n"/>
      <c r="X77" s="94" t="n"/>
      <c r="Y77" s="94" t="n"/>
      <c r="Z77" s="94" t="n"/>
    </row>
    <row r="78" ht="15" customHeight="1" s="90">
      <c r="A78" s="125" t="inlineStr">
        <is>
          <t>Cabarrus County NC (Concord)</t>
        </is>
      </c>
      <c r="B78" s="126" t="n">
        <v>0.07000000000000001</v>
      </c>
      <c r="C78" s="126" t="n">
        <v>0.07000000000000001</v>
      </c>
      <c r="D78" s="126" t="n">
        <v>0.07000000000000001</v>
      </c>
      <c r="E78" s="94" t="n"/>
      <c r="F78" s="94" t="n"/>
      <c r="G78" s="94" t="n"/>
      <c r="H78" s="94" t="n"/>
      <c r="I78" s="94" t="n"/>
      <c r="J78" s="94" t="n"/>
      <c r="K78" s="94" t="n"/>
      <c r="L78" s="94" t="n"/>
      <c r="M78" s="94" t="n"/>
      <c r="N78" s="94" t="n"/>
      <c r="O78" s="94" t="n"/>
      <c r="P78" s="94" t="n"/>
      <c r="Q78" s="94" t="n"/>
      <c r="R78" s="94" t="n"/>
      <c r="S78" s="94" t="n"/>
      <c r="T78" s="94" t="n"/>
      <c r="U78" s="94" t="n"/>
      <c r="V78" s="94" t="n"/>
      <c r="W78" s="94" t="n"/>
      <c r="X78" s="94" t="n"/>
      <c r="Y78" s="94" t="n"/>
      <c r="Z78" s="94" t="n"/>
    </row>
    <row r="79" ht="15" customHeight="1" s="90">
      <c r="A79" s="125" t="inlineStr">
        <is>
          <t>Buncombe County NC (Asheville)</t>
        </is>
      </c>
      <c r="B79" s="126" t="n">
        <v>0.07000000000000001</v>
      </c>
      <c r="C79" s="126" t="n">
        <v>0.07000000000000001</v>
      </c>
      <c r="D79" s="126" t="n">
        <v>0.07000000000000001</v>
      </c>
      <c r="E79" s="94" t="n"/>
      <c r="F79" s="94" t="n"/>
      <c r="G79" s="94" t="n"/>
      <c r="H79" s="94" t="n"/>
      <c r="I79" s="94" t="n"/>
      <c r="J79" s="94" t="n"/>
      <c r="K79" s="94" t="n"/>
      <c r="L79" s="94" t="n"/>
      <c r="M79" s="94" t="n"/>
      <c r="N79" s="94" t="n"/>
      <c r="O79" s="94" t="n"/>
      <c r="P79" s="94" t="n"/>
      <c r="Q79" s="94" t="n"/>
      <c r="R79" s="94" t="n"/>
      <c r="S79" s="94" t="n"/>
      <c r="T79" s="94" t="n"/>
      <c r="U79" s="94" t="n"/>
      <c r="V79" s="94" t="n"/>
      <c r="W79" s="94" t="n"/>
      <c r="X79" s="94" t="n"/>
      <c r="Y79" s="94" t="n"/>
      <c r="Z79" s="94" t="n"/>
    </row>
    <row r="80" ht="15" customHeight="1" s="90">
      <c r="A80" s="125" t="inlineStr">
        <is>
          <t>Wilson NC</t>
        </is>
      </c>
      <c r="B80" s="126" t="n">
        <v>0.0675</v>
      </c>
      <c r="C80" s="126" t="n">
        <v>0.0675</v>
      </c>
      <c r="D80" s="126" t="n">
        <v>0.0675</v>
      </c>
      <c r="E80" s="94" t="n"/>
      <c r="F80" s="94" t="n"/>
      <c r="G80" s="94" t="n"/>
      <c r="H80" s="94" t="n"/>
      <c r="I80" s="94" t="n"/>
      <c r="J80" s="94" t="n"/>
      <c r="K80" s="94" t="n"/>
      <c r="L80" s="94" t="n"/>
      <c r="M80" s="94" t="n"/>
      <c r="N80" s="94" t="n"/>
      <c r="O80" s="94" t="n"/>
      <c r="P80" s="94" t="n"/>
      <c r="Q80" s="94" t="n"/>
      <c r="R80" s="94" t="n"/>
      <c r="S80" s="94" t="n"/>
      <c r="T80" s="94" t="n"/>
      <c r="U80" s="94" t="n"/>
      <c r="V80" s="94" t="n"/>
      <c r="W80" s="94" t="n"/>
      <c r="X80" s="94" t="n"/>
      <c r="Y80" s="94" t="n"/>
      <c r="Z80" s="94" t="n"/>
    </row>
    <row r="81" ht="15" customHeight="1" s="90">
      <c r="A81" s="125" t="inlineStr">
        <is>
          <t>DC</t>
        </is>
      </c>
      <c r="B81" s="126" t="n">
        <v>0.1</v>
      </c>
      <c r="C81" s="126" t="n">
        <v>0.1025</v>
      </c>
      <c r="D81" s="126" t="n">
        <v>0.06</v>
      </c>
      <c r="E81" s="94" t="n"/>
      <c r="F81" s="94" t="n"/>
      <c r="G81" s="94" t="n"/>
      <c r="H81" s="94" t="n"/>
      <c r="I81" s="94" t="n"/>
      <c r="J81" s="94" t="n"/>
      <c r="K81" s="94" t="n"/>
      <c r="L81" s="94" t="n"/>
      <c r="M81" s="94" t="n"/>
      <c r="N81" s="94" t="n"/>
      <c r="O81" s="94" t="n"/>
      <c r="P81" s="94" t="n"/>
      <c r="Q81" s="94" t="n"/>
      <c r="R81" s="94" t="n"/>
      <c r="S81" s="94" t="n"/>
      <c r="T81" s="94" t="n"/>
      <c r="U81" s="94" t="n"/>
      <c r="V81" s="94" t="n"/>
      <c r="W81" s="94" t="n"/>
      <c r="X81" s="94" t="n"/>
      <c r="Y81" s="94" t="n"/>
      <c r="Z81" s="94" t="n"/>
    </row>
    <row r="82" ht="15.75" customHeight="1" s="90">
      <c r="A82" s="125" t="inlineStr">
        <is>
          <t>Maryland</t>
        </is>
      </c>
      <c r="B82" s="126" t="n">
        <v>0.06</v>
      </c>
      <c r="C82" s="126" t="n">
        <v>0.09</v>
      </c>
      <c r="D82" s="126" t="n">
        <v>0.06</v>
      </c>
      <c r="E82" s="94" t="n"/>
      <c r="F82" s="94" t="n"/>
      <c r="G82" s="94" t="n"/>
      <c r="H82" s="94" t="n"/>
      <c r="I82" s="94" t="n"/>
      <c r="J82" s="94" t="n"/>
      <c r="K82" s="94" t="n"/>
      <c r="L82" s="94" t="n"/>
      <c r="M82" s="94" t="n"/>
      <c r="N82" s="94" t="n"/>
      <c r="O82" s="94" t="n"/>
      <c r="P82" s="94" t="n"/>
      <c r="Q82" s="94" t="n"/>
      <c r="R82" s="94" t="n"/>
      <c r="S82" s="94" t="n"/>
      <c r="T82" s="94" t="n"/>
      <c r="U82" s="94" t="n"/>
      <c r="V82" s="94" t="n"/>
      <c r="W82" s="94" t="n"/>
      <c r="X82" s="94" t="n"/>
      <c r="Y82" s="94" t="n"/>
      <c r="Z82" s="94" t="n"/>
    </row>
    <row r="83" ht="15.75" customHeight="1" s="90">
      <c r="A83" s="125" t="inlineStr">
        <is>
          <t>Richmond VA</t>
        </is>
      </c>
      <c r="B83" s="126" t="n">
        <v>0.075</v>
      </c>
      <c r="C83" s="126" t="n">
        <v>0.075</v>
      </c>
      <c r="D83" s="126" t="n">
        <v>0.06</v>
      </c>
      <c r="E83" s="94" t="n"/>
      <c r="F83" s="94" t="n"/>
      <c r="G83" s="94" t="n"/>
      <c r="H83" s="94" t="n"/>
      <c r="I83" s="94" t="n"/>
      <c r="J83" s="94" t="n"/>
      <c r="K83" s="94" t="n"/>
      <c r="L83" s="94" t="n"/>
      <c r="M83" s="94" t="n"/>
      <c r="N83" s="94" t="n"/>
      <c r="O83" s="94" t="n"/>
      <c r="P83" s="94" t="n"/>
      <c r="Q83" s="94" t="n"/>
      <c r="R83" s="94" t="n"/>
      <c r="S83" s="94" t="n"/>
      <c r="T83" s="94" t="n"/>
      <c r="U83" s="94" t="n"/>
      <c r="V83" s="94" t="n"/>
      <c r="W83" s="94" t="n"/>
      <c r="X83" s="94" t="n"/>
      <c r="Y83" s="94" t="n"/>
      <c r="Z83" s="94" t="n"/>
    </row>
    <row r="84" ht="15.75" customHeight="1" s="90">
      <c r="A84" s="125" t="inlineStr">
        <is>
          <t>Leesburg VA</t>
        </is>
      </c>
      <c r="B84" s="126" t="n">
        <v>0.06</v>
      </c>
      <c r="C84" s="126" t="n">
        <v>0.06</v>
      </c>
      <c r="D84" s="126" t="n">
        <v>0.06</v>
      </c>
      <c r="E84" s="94" t="n"/>
      <c r="F84" s="94" t="n"/>
      <c r="G84" s="94" t="n"/>
      <c r="H84" s="94" t="n"/>
      <c r="I84" s="94" t="n"/>
      <c r="J84" s="94" t="n"/>
      <c r="K84" s="94" t="n"/>
      <c r="L84" s="94" t="n"/>
      <c r="M84" s="94" t="n"/>
      <c r="N84" s="94" t="n"/>
      <c r="O84" s="94" t="n"/>
      <c r="P84" s="94" t="n"/>
      <c r="Q84" s="94" t="n"/>
      <c r="R84" s="94" t="n"/>
      <c r="S84" s="94" t="n"/>
      <c r="T84" s="94" t="n"/>
      <c r="U84" s="94" t="n"/>
      <c r="V84" s="94" t="n"/>
      <c r="W84" s="94" t="n"/>
      <c r="X84" s="94" t="n"/>
      <c r="Y84" s="94" t="n"/>
      <c r="Z84" s="94" t="n"/>
    </row>
    <row r="85" ht="15.75" customHeight="1" s="90">
      <c r="A85" s="125" t="inlineStr">
        <is>
          <t>Atlanta GA</t>
        </is>
      </c>
      <c r="B85" s="126" t="n">
        <v>0.089</v>
      </c>
      <c r="C85" s="126" t="n">
        <v>0.089</v>
      </c>
      <c r="D85" s="126" t="n">
        <v>0.089</v>
      </c>
      <c r="E85" s="94" t="n"/>
      <c r="F85" s="94" t="n"/>
      <c r="G85" s="94" t="n"/>
      <c r="H85" s="94" t="n"/>
      <c r="I85" s="94" t="n"/>
      <c r="J85" s="94" t="n"/>
      <c r="K85" s="94" t="n"/>
      <c r="L85" s="94" t="n"/>
      <c r="M85" s="94" t="n"/>
      <c r="N85" s="94" t="n"/>
      <c r="O85" s="94" t="n"/>
      <c r="P85" s="94" t="n"/>
      <c r="Q85" s="94" t="n"/>
      <c r="R85" s="94" t="n"/>
      <c r="S85" s="94" t="n"/>
      <c r="T85" s="94" t="n"/>
      <c r="U85" s="94" t="n"/>
      <c r="V85" s="94" t="n"/>
      <c r="W85" s="94" t="n"/>
      <c r="X85" s="94" t="n"/>
      <c r="Y85" s="94" t="n"/>
      <c r="Z85" s="94" t="n"/>
    </row>
    <row r="86" ht="15.75" customHeight="1" s="90">
      <c r="A86" s="125" t="inlineStr">
        <is>
          <t>Cobb County GA</t>
        </is>
      </c>
      <c r="B86" s="126" t="n">
        <v>0.06</v>
      </c>
      <c r="C86" s="126" t="n">
        <v>0.06</v>
      </c>
      <c r="D86" s="126" t="n">
        <v>0.06</v>
      </c>
      <c r="E86" s="94" t="n"/>
      <c r="F86" s="94" t="n"/>
      <c r="G86" s="94" t="n"/>
      <c r="H86" s="94" t="n"/>
      <c r="I86" s="94" t="n"/>
      <c r="J86" s="94" t="n"/>
      <c r="K86" s="94" t="n"/>
      <c r="L86" s="94" t="n"/>
      <c r="M86" s="94" t="n"/>
      <c r="N86" s="94" t="n"/>
      <c r="O86" s="94" t="n"/>
      <c r="P86" s="94" t="n"/>
      <c r="Q86" s="94" t="n"/>
      <c r="R86" s="94" t="n"/>
      <c r="S86" s="94" t="n"/>
      <c r="T86" s="94" t="n"/>
      <c r="U86" s="94" t="n"/>
      <c r="V86" s="94" t="n"/>
      <c r="W86" s="94" t="n"/>
      <c r="X86" s="94" t="n"/>
      <c r="Y86" s="94" t="n"/>
      <c r="Z86" s="94" t="n"/>
    </row>
    <row r="87" ht="15.75" customHeight="1" s="90">
      <c r="A87" s="125" t="inlineStr">
        <is>
          <t>DeKalb County GA</t>
        </is>
      </c>
      <c r="B87" s="126" t="n">
        <v>0.08</v>
      </c>
      <c r="C87" s="126" t="n">
        <v>0.08</v>
      </c>
      <c r="D87" s="126" t="n">
        <v>0.08</v>
      </c>
      <c r="E87" s="94" t="n"/>
      <c r="F87" s="94" t="n"/>
      <c r="G87" s="94" t="n"/>
      <c r="H87" s="94" t="n"/>
      <c r="I87" s="94" t="n"/>
      <c r="J87" s="94" t="n"/>
      <c r="K87" s="94" t="n"/>
      <c r="L87" s="94" t="n"/>
      <c r="M87" s="94" t="n"/>
      <c r="N87" s="94" t="n"/>
      <c r="O87" s="94" t="n"/>
      <c r="P87" s="94" t="n"/>
      <c r="Q87" s="94" t="n"/>
      <c r="R87" s="94" t="n"/>
      <c r="S87" s="94" t="n"/>
      <c r="T87" s="94" t="n"/>
      <c r="U87" s="94" t="n"/>
      <c r="V87" s="94" t="n"/>
      <c r="W87" s="94" t="n"/>
      <c r="X87" s="94" t="n"/>
      <c r="Y87" s="94" t="n"/>
      <c r="Z87" s="94" t="n"/>
    </row>
    <row r="88" ht="15.75" customHeight="1" s="90">
      <c r="A88" s="125" t="inlineStr">
        <is>
          <t>Chatham County GA (Savannah)</t>
        </is>
      </c>
      <c r="B88" s="126" t="n">
        <v>0.07000000000000001</v>
      </c>
      <c r="C88" s="126" t="n">
        <v>0.07000000000000001</v>
      </c>
      <c r="D88" s="126" t="n">
        <v>0.07000000000000001</v>
      </c>
      <c r="E88" s="94" t="n"/>
      <c r="F88" s="94" t="n"/>
      <c r="G88" s="94" t="n"/>
      <c r="H88" s="94" t="n"/>
      <c r="I88" s="94" t="n"/>
      <c r="J88" s="94" t="n"/>
      <c r="K88" s="94" t="n"/>
      <c r="L88" s="94" t="n"/>
      <c r="M88" s="94" t="n"/>
      <c r="N88" s="94" t="n"/>
      <c r="O88" s="94" t="n"/>
      <c r="P88" s="94" t="n"/>
      <c r="Q88" s="94" t="n"/>
      <c r="R88" s="94" t="n"/>
      <c r="S88" s="94" t="n"/>
      <c r="T88" s="94" t="n"/>
      <c r="U88" s="94" t="n"/>
      <c r="V88" s="94" t="n"/>
      <c r="W88" s="94" t="n"/>
      <c r="X88" s="94" t="n"/>
      <c r="Y88" s="94" t="n"/>
      <c r="Z88" s="94" t="n"/>
    </row>
    <row r="89" ht="15.75" customHeight="1" s="90">
      <c r="A89" s="125" t="inlineStr">
        <is>
          <t>Greene County GA (Greensboro)</t>
        </is>
      </c>
      <c r="B89" s="126" t="n">
        <v>0.08</v>
      </c>
      <c r="C89" s="126" t="n">
        <v>0.08</v>
      </c>
      <c r="D89" s="126" t="n">
        <v>0.08</v>
      </c>
      <c r="E89" s="94" t="n"/>
      <c r="F89" s="94" t="n"/>
      <c r="G89" s="94" t="n"/>
      <c r="H89" s="94" t="n"/>
      <c r="I89" s="94" t="n"/>
      <c r="J89" s="94" t="n"/>
      <c r="K89" s="94" t="n"/>
      <c r="L89" s="94" t="n"/>
      <c r="M89" s="94" t="n"/>
      <c r="N89" s="94" t="n"/>
      <c r="O89" s="94" t="n"/>
      <c r="P89" s="94" t="n"/>
      <c r="Q89" s="94" t="n"/>
      <c r="R89" s="94" t="n"/>
      <c r="S89" s="94" t="n"/>
      <c r="T89" s="94" t="n"/>
      <c r="U89" s="94" t="n"/>
      <c r="V89" s="94" t="n"/>
      <c r="W89" s="94" t="n"/>
      <c r="X89" s="94" t="n"/>
      <c r="Y89" s="94" t="n"/>
      <c r="Z89" s="94" t="n"/>
    </row>
    <row r="90" ht="15.75" customHeight="1" s="90">
      <c r="A90" s="125" t="inlineStr">
        <is>
          <t>Philadelphia PA</t>
        </is>
      </c>
      <c r="B90" s="126" t="n">
        <v>0.08</v>
      </c>
      <c r="C90" s="126" t="n">
        <v>0.08</v>
      </c>
      <c r="D90" s="126" t="n">
        <v>0.08</v>
      </c>
      <c r="E90" s="94" t="n"/>
      <c r="F90" s="94" t="n"/>
      <c r="G90" s="94" t="n"/>
      <c r="H90" s="94" t="n"/>
      <c r="I90" s="94" t="n"/>
      <c r="J90" s="94" t="n"/>
      <c r="K90" s="94" t="n"/>
      <c r="L90" s="94" t="n"/>
      <c r="M90" s="94" t="n"/>
      <c r="N90" s="94" t="n"/>
      <c r="O90" s="94" t="n"/>
      <c r="P90" s="94" t="n"/>
      <c r="Q90" s="94" t="n"/>
      <c r="R90" s="94" t="n"/>
      <c r="S90" s="94" t="n"/>
      <c r="T90" s="94" t="n"/>
      <c r="U90" s="94" t="n"/>
      <c r="V90" s="94" t="n"/>
      <c r="W90" s="94" t="n"/>
      <c r="X90" s="94" t="n"/>
      <c r="Y90" s="94" t="n"/>
      <c r="Z90" s="94" t="n"/>
    </row>
    <row r="91" ht="15.75" customHeight="1" s="90">
      <c r="A91" s="125" t="inlineStr">
        <is>
          <t>NYC</t>
        </is>
      </c>
      <c r="B91" s="126" t="n">
        <v>0.08875</v>
      </c>
      <c r="C91" s="126" t="n">
        <v>0.08875</v>
      </c>
      <c r="D91" s="126" t="n">
        <v>0.08875</v>
      </c>
      <c r="E91" s="94" t="n"/>
      <c r="F91" s="94" t="n"/>
      <c r="G91" s="94" t="n"/>
      <c r="H91" s="94" t="n"/>
      <c r="I91" s="94" t="n"/>
      <c r="J91" s="94" t="n"/>
      <c r="K91" s="94" t="n"/>
      <c r="L91" s="94" t="n"/>
      <c r="M91" s="94" t="n"/>
      <c r="N91" s="94" t="n"/>
      <c r="O91" s="94" t="n"/>
      <c r="P91" s="94" t="n"/>
      <c r="Q91" s="94" t="n"/>
      <c r="R91" s="94" t="n"/>
      <c r="S91" s="94" t="n"/>
      <c r="T91" s="94" t="n"/>
      <c r="U91" s="94" t="n"/>
      <c r="V91" s="94" t="n"/>
      <c r="W91" s="94" t="n"/>
      <c r="X91" s="94" t="n"/>
      <c r="Y91" s="94" t="n"/>
      <c r="Z91" s="94" t="n"/>
    </row>
    <row r="92" ht="15.75" customHeight="1" s="90">
      <c r="A92" s="125" t="inlineStr">
        <is>
          <t>Charleston SC</t>
        </is>
      </c>
      <c r="B92" s="126" t="n">
        <v>0.08</v>
      </c>
      <c r="C92" s="126" t="n">
        <v>0.08</v>
      </c>
      <c r="D92" s="126" t="n">
        <v>0.08</v>
      </c>
      <c r="E92" s="94" t="n"/>
      <c r="F92" s="94" t="n"/>
      <c r="G92" s="94" t="n"/>
      <c r="H92" s="94" t="n"/>
      <c r="I92" s="94" t="n"/>
      <c r="J92" s="94" t="n"/>
      <c r="K92" s="94" t="n"/>
      <c r="L92" s="94" t="n"/>
      <c r="M92" s="94" t="n"/>
      <c r="N92" s="94" t="n"/>
      <c r="O92" s="94" t="n"/>
      <c r="P92" s="94" t="n"/>
      <c r="Q92" s="94" t="n"/>
      <c r="R92" s="94" t="n"/>
      <c r="S92" s="94" t="n"/>
      <c r="T92" s="94" t="n"/>
      <c r="U92" s="94" t="n"/>
      <c r="V92" s="94" t="n"/>
      <c r="W92" s="94" t="n"/>
      <c r="X92" s="94" t="n"/>
      <c r="Y92" s="94" t="n"/>
      <c r="Z92" s="94" t="n"/>
    </row>
    <row r="93" ht="15.75" customHeight="1" s="90">
      <c r="A93" s="125" t="inlineStr">
        <is>
          <t>Union SC</t>
        </is>
      </c>
      <c r="B93" s="126" t="n">
        <v>0.07000000000000001</v>
      </c>
      <c r="C93" s="126" t="n">
        <v>0.07000000000000001</v>
      </c>
      <c r="D93" s="126" t="n">
        <v>0.07000000000000001</v>
      </c>
      <c r="E93" s="94" t="n"/>
      <c r="F93" s="94" t="n"/>
      <c r="G93" s="94" t="n"/>
      <c r="H93" s="94" t="n"/>
      <c r="I93" s="94" t="n"/>
      <c r="J93" s="94" t="n"/>
      <c r="K93" s="94" t="n"/>
      <c r="L93" s="94" t="n"/>
      <c r="M93" s="94" t="n"/>
      <c r="N93" s="94" t="n"/>
      <c r="O93" s="94" t="n"/>
      <c r="P93" s="94" t="n"/>
      <c r="Q93" s="94" t="n"/>
      <c r="R93" s="94" t="n"/>
      <c r="S93" s="94" t="n"/>
      <c r="T93" s="94" t="n"/>
      <c r="U93" s="94" t="n"/>
      <c r="V93" s="94" t="n"/>
      <c r="W93" s="94" t="n"/>
      <c r="X93" s="94" t="n"/>
      <c r="Y93" s="94" t="n"/>
      <c r="Z93" s="94" t="n"/>
    </row>
    <row r="94" ht="15.75" customHeight="1" s="90">
      <c r="A94" s="125" t="inlineStr">
        <is>
          <t>York SC</t>
        </is>
      </c>
      <c r="B94" s="126" t="n">
        <v>0.07000000000000001</v>
      </c>
      <c r="C94" s="126" t="n">
        <v>0.07000000000000001</v>
      </c>
      <c r="D94" s="126" t="n">
        <v>0.07000000000000001</v>
      </c>
      <c r="E94" s="94" t="n"/>
      <c r="F94" s="94" t="n"/>
      <c r="G94" s="94" t="n"/>
      <c r="H94" s="94" t="n"/>
      <c r="I94" s="94" t="n"/>
      <c r="J94" s="94" t="n"/>
      <c r="K94" s="94" t="n"/>
      <c r="L94" s="94" t="n"/>
      <c r="M94" s="94" t="n"/>
      <c r="N94" s="94" t="n"/>
      <c r="O94" s="94" t="n"/>
      <c r="P94" s="94" t="n"/>
      <c r="Q94" s="94" t="n"/>
      <c r="R94" s="94" t="n"/>
      <c r="S94" s="94" t="n"/>
      <c r="T94" s="94" t="n"/>
      <c r="U94" s="94" t="n"/>
      <c r="V94" s="94" t="n"/>
      <c r="W94" s="94" t="n"/>
      <c r="X94" s="94" t="n"/>
      <c r="Y94" s="94" t="n"/>
      <c r="Z94" s="94" t="n"/>
    </row>
    <row r="95" ht="15.75" customHeight="1" s="90">
      <c r="A95" s="125" t="inlineStr">
        <is>
          <t>Greenville SC</t>
        </is>
      </c>
      <c r="B95" s="126" t="n">
        <v>0.06</v>
      </c>
      <c r="C95" s="126" t="n">
        <v>0.06</v>
      </c>
      <c r="D95" s="126" t="n">
        <v>0.06</v>
      </c>
      <c r="E95" s="94" t="n"/>
      <c r="F95" s="94" t="n"/>
      <c r="G95" s="94" t="n"/>
      <c r="H95" s="94" t="n"/>
      <c r="I95" s="94" t="n"/>
      <c r="J95" s="94" t="n"/>
      <c r="K95" s="94" t="n"/>
      <c r="L95" s="94" t="n"/>
      <c r="M95" s="94" t="n"/>
      <c r="N95" s="94" t="n"/>
      <c r="O95" s="94" t="n"/>
      <c r="P95" s="94" t="n"/>
      <c r="Q95" s="94" t="n"/>
      <c r="R95" s="94" t="n"/>
      <c r="S95" s="94" t="n"/>
      <c r="T95" s="94" t="n"/>
      <c r="U95" s="94" t="n"/>
      <c r="V95" s="94" t="n"/>
      <c r="W95" s="94" t="n"/>
      <c r="X95" s="94" t="n"/>
      <c r="Y95" s="94" t="n"/>
      <c r="Z95" s="94" t="n"/>
    </row>
    <row r="96" ht="15.75" customHeight="1" s="90">
      <c r="A96" s="125" t="inlineStr">
        <is>
          <t>New Jersey</t>
        </is>
      </c>
      <c r="B96" s="126" t="n">
        <v>0.06625</v>
      </c>
      <c r="C96" s="126" t="n">
        <v>0.06625</v>
      </c>
      <c r="D96" s="126" t="n">
        <v>0.06625</v>
      </c>
      <c r="E96" s="94" t="n"/>
      <c r="F96" s="94" t="n"/>
      <c r="G96" s="94" t="n"/>
      <c r="H96" s="94" t="n"/>
      <c r="I96" s="94" t="n"/>
      <c r="J96" s="94" t="n"/>
      <c r="K96" s="94" t="n"/>
      <c r="L96" s="94" t="n"/>
      <c r="M96" s="94" t="n"/>
      <c r="N96" s="94" t="n"/>
      <c r="O96" s="94" t="n"/>
      <c r="P96" s="94" t="n"/>
      <c r="Q96" s="94" t="n"/>
      <c r="R96" s="94" t="n"/>
      <c r="S96" s="94" t="n"/>
      <c r="T96" s="94" t="n"/>
      <c r="U96" s="94" t="n"/>
      <c r="V96" s="94" t="n"/>
      <c r="W96" s="94" t="n"/>
      <c r="X96" s="94" t="n"/>
      <c r="Y96" s="94" t="n"/>
      <c r="Z96" s="94" t="n"/>
    </row>
    <row r="97" ht="15.75" customHeight="1" s="90">
      <c r="A97" s="94" t="n"/>
      <c r="B97" s="94" t="n"/>
      <c r="C97" s="94" t="n"/>
      <c r="D97" s="94" t="n"/>
      <c r="E97" s="94" t="n"/>
      <c r="F97" s="94" t="n"/>
      <c r="G97" s="94" t="n"/>
      <c r="H97" s="94" t="n"/>
      <c r="I97" s="94" t="n"/>
      <c r="J97" s="94" t="n"/>
      <c r="K97" s="94" t="n"/>
      <c r="L97" s="94" t="n"/>
      <c r="M97" s="94" t="n"/>
      <c r="N97" s="94" t="n"/>
      <c r="O97" s="94" t="n"/>
      <c r="P97" s="94" t="n"/>
      <c r="Q97" s="94" t="n"/>
      <c r="R97" s="94" t="n"/>
      <c r="S97" s="94" t="n"/>
      <c r="T97" s="94" t="n"/>
      <c r="U97" s="94" t="n"/>
      <c r="V97" s="94" t="n"/>
      <c r="W97" s="94" t="n"/>
      <c r="X97" s="94" t="n"/>
      <c r="Y97" s="94" t="n"/>
      <c r="Z97" s="94" t="n"/>
    </row>
    <row r="98" ht="15.75" customHeight="1" s="90">
      <c r="A98" s="94" t="n"/>
      <c r="B98" s="94" t="n"/>
      <c r="C98" s="94" t="n"/>
      <c r="D98" s="94" t="n"/>
      <c r="E98" s="94" t="n"/>
      <c r="F98" s="94" t="n"/>
      <c r="G98" s="94" t="n"/>
      <c r="H98" s="94" t="n"/>
      <c r="I98" s="94" t="n"/>
      <c r="J98" s="94" t="n"/>
      <c r="K98" s="94" t="n"/>
      <c r="L98" s="94" t="n"/>
      <c r="M98" s="94" t="n"/>
      <c r="N98" s="94" t="n"/>
      <c r="O98" s="94" t="n"/>
      <c r="P98" s="94" t="n"/>
      <c r="Q98" s="94" t="n"/>
      <c r="R98" s="94" t="n"/>
      <c r="S98" s="94" t="n"/>
      <c r="T98" s="94" t="n"/>
      <c r="U98" s="94" t="n"/>
      <c r="V98" s="94" t="n"/>
      <c r="W98" s="94" t="n"/>
      <c r="X98" s="94" t="n"/>
      <c r="Y98" s="94" t="n"/>
      <c r="Z98" s="94" t="n"/>
    </row>
    <row r="99" ht="15.75" customHeight="1" s="90">
      <c r="A99" s="94" t="n"/>
      <c r="B99" s="94" t="n"/>
      <c r="C99" s="94" t="n"/>
      <c r="D99" s="94" t="n"/>
      <c r="E99" s="94" t="n"/>
      <c r="F99" s="94" t="n"/>
      <c r="G99" s="94" t="n"/>
      <c r="H99" s="94" t="n"/>
      <c r="I99" s="94" t="n"/>
      <c r="J99" s="94" t="n"/>
      <c r="K99" s="94" t="n"/>
      <c r="L99" s="94" t="n"/>
      <c r="M99" s="94" t="n"/>
      <c r="N99" s="94" t="n"/>
      <c r="O99" s="94" t="n"/>
      <c r="P99" s="94" t="n"/>
      <c r="Q99" s="94" t="n"/>
      <c r="R99" s="94" t="n"/>
      <c r="S99" s="94" t="n"/>
      <c r="T99" s="94" t="n"/>
      <c r="U99" s="94" t="n"/>
      <c r="V99" s="94" t="n"/>
      <c r="W99" s="94" t="n"/>
      <c r="X99" s="94" t="n"/>
      <c r="Y99" s="94" t="n"/>
      <c r="Z99" s="94" t="n"/>
    </row>
    <row r="100" ht="15.75" customHeight="1" s="90">
      <c r="A100" s="94" t="n"/>
      <c r="B100" s="94" t="n"/>
      <c r="C100" s="94" t="n"/>
      <c r="D100" s="94" t="n"/>
      <c r="E100" s="94" t="n"/>
      <c r="F100" s="94" t="n"/>
      <c r="G100" s="94" t="n"/>
      <c r="H100" s="94" t="n"/>
      <c r="I100" s="94" t="n"/>
      <c r="J100" s="94" t="n"/>
      <c r="K100" s="94" t="n"/>
      <c r="L100" s="94" t="n"/>
      <c r="M100" s="94" t="n"/>
      <c r="N100" s="94" t="n"/>
      <c r="O100" s="94" t="n"/>
      <c r="P100" s="94" t="n"/>
      <c r="Q100" s="94" t="n"/>
      <c r="R100" s="94" t="n"/>
      <c r="S100" s="94" t="n"/>
      <c r="T100" s="94" t="n"/>
      <c r="U100" s="94" t="n"/>
      <c r="V100" s="94" t="n"/>
      <c r="W100" s="94" t="n"/>
      <c r="X100" s="94" t="n"/>
      <c r="Y100" s="94" t="n"/>
      <c r="Z100" s="94" t="n"/>
    </row>
    <row r="101" ht="15.75" customHeight="1" s="90">
      <c r="A101" s="94" t="n"/>
      <c r="B101" s="94" t="n"/>
      <c r="C101" s="94" t="n"/>
      <c r="D101" s="94" t="n"/>
      <c r="E101" s="94" t="n"/>
      <c r="F101" s="94" t="n"/>
      <c r="G101" s="94" t="n"/>
      <c r="H101" s="94" t="n"/>
      <c r="I101" s="94" t="n"/>
      <c r="J101" s="94" t="n"/>
      <c r="K101" s="94" t="n"/>
      <c r="L101" s="94" t="n"/>
      <c r="M101" s="94" t="n"/>
      <c r="N101" s="94" t="n"/>
      <c r="O101" s="94" t="n"/>
      <c r="P101" s="94" t="n"/>
      <c r="Q101" s="94" t="n"/>
      <c r="R101" s="94" t="n"/>
      <c r="S101" s="94" t="n"/>
      <c r="T101" s="94" t="n"/>
      <c r="U101" s="94" t="n"/>
      <c r="V101" s="94" t="n"/>
      <c r="W101" s="94" t="n"/>
      <c r="X101" s="94" t="n"/>
      <c r="Y101" s="94" t="n"/>
      <c r="Z101" s="94" t="n"/>
    </row>
    <row r="102" ht="15.75" customHeight="1" s="90">
      <c r="A102" s="94" t="n"/>
      <c r="B102" s="94" t="n"/>
      <c r="C102" s="94" t="n"/>
      <c r="D102" s="94" t="n"/>
      <c r="E102" s="94" t="n"/>
      <c r="F102" s="94" t="n"/>
      <c r="G102" s="94" t="n"/>
      <c r="H102" s="94" t="n"/>
      <c r="I102" s="94" t="n"/>
      <c r="J102" s="94" t="n"/>
      <c r="K102" s="94" t="n"/>
      <c r="L102" s="94" t="n"/>
      <c r="M102" s="94" t="n"/>
      <c r="N102" s="94" t="n"/>
      <c r="O102" s="94" t="n"/>
      <c r="P102" s="94" t="n"/>
      <c r="Q102" s="94" t="n"/>
      <c r="R102" s="94" t="n"/>
      <c r="S102" s="94" t="n"/>
      <c r="T102" s="94" t="n"/>
      <c r="U102" s="94" t="n"/>
      <c r="V102" s="94" t="n"/>
      <c r="W102" s="94" t="n"/>
      <c r="X102" s="94" t="n"/>
      <c r="Y102" s="94" t="n"/>
      <c r="Z102" s="94" t="n"/>
    </row>
    <row r="103" ht="15.75" customHeight="1" s="90">
      <c r="A103" s="94" t="n"/>
      <c r="B103" s="94" t="n"/>
      <c r="C103" s="94" t="n"/>
      <c r="D103" s="94" t="n"/>
      <c r="E103" s="94" t="n"/>
      <c r="F103" s="94" t="n"/>
      <c r="G103" s="94" t="n"/>
      <c r="H103" s="94" t="n"/>
      <c r="I103" s="94" t="n"/>
      <c r="J103" s="94" t="n"/>
      <c r="K103" s="94" t="n"/>
      <c r="L103" s="94" t="n"/>
      <c r="M103" s="94" t="n"/>
      <c r="N103" s="94" t="n"/>
      <c r="O103" s="94" t="n"/>
      <c r="P103" s="94" t="n"/>
      <c r="Q103" s="94" t="n"/>
      <c r="R103" s="94" t="n"/>
      <c r="S103" s="94" t="n"/>
      <c r="T103" s="94" t="n"/>
      <c r="U103" s="94" t="n"/>
      <c r="V103" s="94" t="n"/>
      <c r="W103" s="94" t="n"/>
      <c r="X103" s="94" t="n"/>
      <c r="Y103" s="94" t="n"/>
      <c r="Z103" s="94" t="n"/>
    </row>
    <row r="104" ht="15.75" customHeight="1" s="90">
      <c r="A104" s="94" t="n"/>
      <c r="B104" s="94" t="n"/>
      <c r="C104" s="94" t="n"/>
      <c r="D104" s="94" t="n"/>
      <c r="E104" s="94" t="n"/>
      <c r="F104" s="94" t="n"/>
      <c r="G104" s="94" t="n"/>
      <c r="H104" s="94" t="n"/>
      <c r="I104" s="94" t="n"/>
      <c r="J104" s="94" t="n"/>
      <c r="K104" s="94" t="n"/>
      <c r="L104" s="94" t="n"/>
      <c r="M104" s="94" t="n"/>
      <c r="N104" s="94" t="n"/>
      <c r="O104" s="94" t="n"/>
      <c r="P104" s="94" t="n"/>
      <c r="Q104" s="94" t="n"/>
      <c r="R104" s="94" t="n"/>
      <c r="S104" s="94" t="n"/>
      <c r="T104" s="94" t="n"/>
      <c r="U104" s="94" t="n"/>
      <c r="V104" s="94" t="n"/>
      <c r="W104" s="94" t="n"/>
      <c r="X104" s="94" t="n"/>
      <c r="Y104" s="94" t="n"/>
      <c r="Z104" s="94" t="n"/>
    </row>
    <row r="105" ht="15.75" customHeight="1" s="90">
      <c r="A105" s="94" t="n"/>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c r="U105" s="94" t="n"/>
      <c r="V105" s="94" t="n"/>
      <c r="W105" s="94" t="n"/>
      <c r="X105" s="94" t="n"/>
      <c r="Y105" s="94" t="n"/>
      <c r="Z105" s="94" t="n"/>
    </row>
    <row r="106" ht="15.75" customHeight="1" s="90">
      <c r="A106" s="94" t="n"/>
      <c r="B106" s="94" t="n"/>
      <c r="C106" s="94" t="n"/>
      <c r="D106" s="94" t="n"/>
      <c r="E106" s="94" t="n"/>
      <c r="F106" s="94" t="n"/>
      <c r="G106" s="94" t="n"/>
      <c r="H106" s="94" t="n"/>
      <c r="I106" s="94" t="n"/>
      <c r="J106" s="94" t="n"/>
      <c r="K106" s="94" t="n"/>
      <c r="L106" s="94" t="n"/>
      <c r="M106" s="94" t="n"/>
      <c r="N106" s="94" t="n"/>
      <c r="O106" s="94" t="n"/>
      <c r="P106" s="94" t="n"/>
      <c r="Q106" s="94" t="n"/>
      <c r="R106" s="94" t="n"/>
      <c r="S106" s="94" t="n"/>
      <c r="T106" s="94" t="n"/>
      <c r="U106" s="94" t="n"/>
      <c r="V106" s="94" t="n"/>
      <c r="W106" s="94" t="n"/>
      <c r="X106" s="94" t="n"/>
      <c r="Y106" s="94" t="n"/>
      <c r="Z106" s="94" t="n"/>
    </row>
    <row r="107" ht="15.75" customHeight="1" s="90">
      <c r="A107" s="94" t="n"/>
      <c r="B107" s="94" t="n"/>
      <c r="C107" s="94" t="n"/>
      <c r="D107" s="94" t="n"/>
      <c r="E107" s="94" t="n"/>
      <c r="F107" s="94" t="n"/>
      <c r="G107" s="94" t="n"/>
      <c r="H107" s="94" t="n"/>
      <c r="I107" s="94" t="n"/>
      <c r="J107" s="94" t="n"/>
      <c r="K107" s="94" t="n"/>
      <c r="L107" s="94" t="n"/>
      <c r="M107" s="94" t="n"/>
      <c r="N107" s="94" t="n"/>
      <c r="O107" s="94" t="n"/>
      <c r="P107" s="94" t="n"/>
      <c r="Q107" s="94" t="n"/>
      <c r="R107" s="94" t="n"/>
      <c r="S107" s="94" t="n"/>
      <c r="T107" s="94" t="n"/>
      <c r="U107" s="94" t="n"/>
      <c r="V107" s="94" t="n"/>
      <c r="W107" s="94" t="n"/>
      <c r="X107" s="94" t="n"/>
      <c r="Y107" s="94" t="n"/>
      <c r="Z107" s="94" t="n"/>
    </row>
    <row r="108" ht="15.75" customHeight="1" s="90">
      <c r="A108" s="94" t="n"/>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c r="U108" s="94" t="n"/>
      <c r="V108" s="94" t="n"/>
      <c r="W108" s="94" t="n"/>
      <c r="X108" s="94" t="n"/>
      <c r="Y108" s="94" t="n"/>
      <c r="Z108" s="94" t="n"/>
    </row>
    <row r="109" ht="15.75" customHeight="1" s="90">
      <c r="A109" s="94" t="n"/>
      <c r="B109" s="94" t="n"/>
      <c r="C109" s="94" t="n"/>
      <c r="D109" s="94" t="n"/>
      <c r="E109" s="94" t="n"/>
      <c r="F109" s="94" t="n"/>
      <c r="G109" s="94" t="n"/>
      <c r="H109" s="94" t="n"/>
      <c r="I109" s="94" t="n"/>
      <c r="J109" s="94" t="n"/>
      <c r="K109" s="94" t="n"/>
      <c r="L109" s="94" t="n"/>
      <c r="M109" s="94" t="n"/>
      <c r="N109" s="94" t="n"/>
      <c r="O109" s="94" t="n"/>
      <c r="P109" s="94" t="n"/>
      <c r="Q109" s="94" t="n"/>
      <c r="R109" s="94" t="n"/>
      <c r="S109" s="94" t="n"/>
      <c r="T109" s="94" t="n"/>
      <c r="U109" s="94" t="n"/>
      <c r="V109" s="94" t="n"/>
      <c r="W109" s="94" t="n"/>
      <c r="X109" s="94" t="n"/>
      <c r="Y109" s="94" t="n"/>
      <c r="Z109" s="94" t="n"/>
    </row>
    <row r="110" ht="15.75" customHeight="1" s="90">
      <c r="A110" s="94" t="n"/>
      <c r="B110" s="94" t="n"/>
      <c r="C110" s="94" t="n"/>
      <c r="D110" s="94" t="n"/>
      <c r="E110" s="94" t="n"/>
      <c r="F110" s="94" t="n"/>
      <c r="G110" s="94" t="n"/>
      <c r="H110" s="94" t="n"/>
      <c r="I110" s="94" t="n"/>
      <c r="J110" s="94" t="n"/>
      <c r="K110" s="94" t="n"/>
      <c r="L110" s="94" t="n"/>
      <c r="M110" s="94" t="n"/>
      <c r="N110" s="94" t="n"/>
      <c r="O110" s="94" t="n"/>
      <c r="P110" s="94" t="n"/>
      <c r="Q110" s="94" t="n"/>
      <c r="R110" s="94" t="n"/>
      <c r="S110" s="94" t="n"/>
      <c r="T110" s="94" t="n"/>
      <c r="U110" s="94" t="n"/>
      <c r="V110" s="94" t="n"/>
      <c r="W110" s="94" t="n"/>
      <c r="X110" s="94" t="n"/>
      <c r="Y110" s="94" t="n"/>
      <c r="Z110" s="94" t="n"/>
    </row>
    <row r="111" ht="15.75" customHeight="1" s="90">
      <c r="A111" s="94" t="n"/>
      <c r="B111" s="94" t="n"/>
      <c r="C111" s="94" t="n"/>
      <c r="D111" s="94" t="n"/>
      <c r="E111" s="94" t="n"/>
      <c r="F111" s="94" t="n"/>
      <c r="G111" s="94" t="n"/>
      <c r="H111" s="94" t="n"/>
      <c r="I111" s="94" t="n"/>
      <c r="J111" s="94" t="n"/>
      <c r="K111" s="94" t="n"/>
      <c r="L111" s="94" t="n"/>
      <c r="M111" s="94" t="n"/>
      <c r="N111" s="94" t="n"/>
      <c r="O111" s="94" t="n"/>
      <c r="P111" s="94" t="n"/>
      <c r="Q111" s="94" t="n"/>
      <c r="R111" s="94" t="n"/>
      <c r="S111" s="94" t="n"/>
      <c r="T111" s="94" t="n"/>
      <c r="U111" s="94" t="n"/>
      <c r="V111" s="94" t="n"/>
      <c r="W111" s="94" t="n"/>
      <c r="X111" s="94" t="n"/>
      <c r="Y111" s="94" t="n"/>
      <c r="Z111" s="94" t="n"/>
    </row>
    <row r="112" ht="15.75" customHeight="1" s="90">
      <c r="A112" s="94" t="n"/>
      <c r="B112" s="94" t="n"/>
      <c r="C112" s="94" t="n"/>
      <c r="D112" s="94" t="n"/>
      <c r="E112" s="94" t="n"/>
      <c r="F112" s="94" t="n"/>
      <c r="G112" s="94" t="n"/>
      <c r="H112" s="94" t="n"/>
      <c r="I112" s="94" t="n"/>
      <c r="J112" s="94" t="n"/>
      <c r="K112" s="94" t="n"/>
      <c r="L112" s="94" t="n"/>
      <c r="M112" s="94" t="n"/>
      <c r="N112" s="94" t="n"/>
      <c r="O112" s="94" t="n"/>
      <c r="P112" s="94" t="n"/>
      <c r="Q112" s="94" t="n"/>
      <c r="R112" s="94" t="n"/>
      <c r="S112" s="94" t="n"/>
      <c r="T112" s="94" t="n"/>
      <c r="U112" s="94" t="n"/>
      <c r="V112" s="94" t="n"/>
      <c r="W112" s="94" t="n"/>
      <c r="X112" s="94" t="n"/>
      <c r="Y112" s="94" t="n"/>
      <c r="Z112" s="94" t="n"/>
    </row>
    <row r="113" ht="15.75" customHeight="1" s="90">
      <c r="A113" s="94" t="n"/>
      <c r="B113" s="94" t="n"/>
      <c r="C113" s="94" t="n"/>
      <c r="D113" s="94" t="n"/>
      <c r="E113" s="94" t="n"/>
      <c r="F113" s="94" t="n"/>
      <c r="G113" s="94" t="n"/>
      <c r="H113" s="94" t="n"/>
      <c r="I113" s="94" t="n"/>
      <c r="J113" s="94" t="n"/>
      <c r="K113" s="94" t="n"/>
      <c r="L113" s="94" t="n"/>
      <c r="M113" s="94" t="n"/>
      <c r="N113" s="94" t="n"/>
      <c r="O113" s="94" t="n"/>
      <c r="P113" s="94" t="n"/>
      <c r="Q113" s="94" t="n"/>
      <c r="R113" s="94" t="n"/>
      <c r="S113" s="94" t="n"/>
      <c r="T113" s="94" t="n"/>
      <c r="U113" s="94" t="n"/>
      <c r="V113" s="94" t="n"/>
      <c r="W113" s="94" t="n"/>
      <c r="X113" s="94" t="n"/>
      <c r="Y113" s="94" t="n"/>
      <c r="Z113" s="94" t="n"/>
    </row>
    <row r="114" ht="15.75" customHeight="1" s="90">
      <c r="A114" s="94" t="n"/>
      <c r="B114" s="94" t="n"/>
      <c r="C114" s="94" t="n"/>
      <c r="D114" s="94" t="n"/>
      <c r="E114" s="94" t="n"/>
      <c r="F114" s="94" t="n"/>
      <c r="G114" s="94" t="n"/>
      <c r="H114" s="94" t="n"/>
      <c r="I114" s="94" t="n"/>
      <c r="J114" s="94" t="n"/>
      <c r="K114" s="94" t="n"/>
      <c r="L114" s="94" t="n"/>
      <c r="M114" s="94" t="n"/>
      <c r="N114" s="94" t="n"/>
      <c r="O114" s="94" t="n"/>
      <c r="P114" s="94" t="n"/>
      <c r="Q114" s="94" t="n"/>
      <c r="R114" s="94" t="n"/>
      <c r="S114" s="94" t="n"/>
      <c r="T114" s="94" t="n"/>
      <c r="U114" s="94" t="n"/>
      <c r="V114" s="94" t="n"/>
      <c r="W114" s="94" t="n"/>
      <c r="X114" s="94" t="n"/>
      <c r="Y114" s="94" t="n"/>
      <c r="Z114" s="94" t="n"/>
    </row>
    <row r="115" ht="15.75" customHeight="1" s="90">
      <c r="A115" s="94" t="n"/>
      <c r="B115" s="94" t="n"/>
      <c r="C115" s="94" t="n"/>
      <c r="D115" s="94" t="n"/>
      <c r="E115" s="94" t="n"/>
      <c r="F115" s="94" t="n"/>
      <c r="G115" s="94" t="n"/>
      <c r="H115" s="94" t="n"/>
      <c r="I115" s="94" t="n"/>
      <c r="J115" s="94" t="n"/>
      <c r="K115" s="94" t="n"/>
      <c r="L115" s="94" t="n"/>
      <c r="M115" s="94" t="n"/>
      <c r="N115" s="94" t="n"/>
      <c r="O115" s="94" t="n"/>
      <c r="P115" s="94" t="n"/>
      <c r="Q115" s="94" t="n"/>
      <c r="R115" s="94" t="n"/>
      <c r="S115" s="94" t="n"/>
      <c r="T115" s="94" t="n"/>
      <c r="U115" s="94" t="n"/>
      <c r="V115" s="94" t="n"/>
      <c r="W115" s="94" t="n"/>
      <c r="X115" s="94" t="n"/>
      <c r="Y115" s="94" t="n"/>
      <c r="Z115" s="94" t="n"/>
    </row>
    <row r="116" ht="15.75" customHeight="1" s="90">
      <c r="A116" s="94" t="n"/>
      <c r="B116" s="94" t="n"/>
      <c r="C116" s="94" t="n"/>
      <c r="D116" s="94" t="n"/>
      <c r="E116" s="94" t="n"/>
      <c r="F116" s="94" t="n"/>
      <c r="G116" s="94" t="n"/>
      <c r="H116" s="94" t="n"/>
      <c r="I116" s="94" t="n"/>
      <c r="J116" s="94" t="n"/>
      <c r="K116" s="94" t="n"/>
      <c r="L116" s="94" t="n"/>
      <c r="M116" s="94" t="n"/>
      <c r="N116" s="94" t="n"/>
      <c r="O116" s="94" t="n"/>
      <c r="P116" s="94" t="n"/>
      <c r="Q116" s="94" t="n"/>
      <c r="R116" s="94" t="n"/>
      <c r="S116" s="94" t="n"/>
      <c r="T116" s="94" t="n"/>
      <c r="U116" s="94" t="n"/>
      <c r="V116" s="94" t="n"/>
      <c r="W116" s="94" t="n"/>
      <c r="X116" s="94" t="n"/>
      <c r="Y116" s="94" t="n"/>
      <c r="Z116" s="94" t="n"/>
    </row>
    <row r="117" ht="15.75" customHeight="1" s="90">
      <c r="A117" s="94" t="n"/>
      <c r="B117" s="94" t="n"/>
      <c r="C117" s="94" t="n"/>
      <c r="D117" s="94" t="n"/>
      <c r="E117" s="94" t="n"/>
      <c r="F117" s="94" t="n"/>
      <c r="G117" s="94" t="n"/>
      <c r="H117" s="94" t="n"/>
      <c r="I117" s="94" t="n"/>
      <c r="J117" s="94" t="n"/>
      <c r="K117" s="94" t="n"/>
      <c r="L117" s="94" t="n"/>
      <c r="M117" s="94" t="n"/>
      <c r="N117" s="94" t="n"/>
      <c r="O117" s="94" t="n"/>
      <c r="P117" s="94" t="n"/>
      <c r="Q117" s="94" t="n"/>
      <c r="R117" s="94" t="n"/>
      <c r="S117" s="94" t="n"/>
      <c r="T117" s="94" t="n"/>
      <c r="U117" s="94" t="n"/>
      <c r="V117" s="94" t="n"/>
      <c r="W117" s="94" t="n"/>
      <c r="X117" s="94" t="n"/>
      <c r="Y117" s="94" t="n"/>
      <c r="Z117" s="94" t="n"/>
    </row>
    <row r="118" ht="15.75" customHeight="1" s="90">
      <c r="A118" s="94" t="n"/>
      <c r="B118" s="94" t="n"/>
      <c r="C118" s="94" t="n"/>
      <c r="D118" s="94" t="n"/>
      <c r="E118" s="94" t="n"/>
      <c r="F118" s="94" t="n"/>
      <c r="G118" s="94" t="n"/>
      <c r="H118" s="94" t="n"/>
      <c r="I118" s="94" t="n"/>
      <c r="J118" s="94" t="n"/>
      <c r="K118" s="94" t="n"/>
      <c r="L118" s="94" t="n"/>
      <c r="M118" s="94" t="n"/>
      <c r="N118" s="94" t="n"/>
      <c r="O118" s="94" t="n"/>
      <c r="P118" s="94" t="n"/>
      <c r="Q118" s="94" t="n"/>
      <c r="R118" s="94" t="n"/>
      <c r="S118" s="94" t="n"/>
      <c r="T118" s="94" t="n"/>
      <c r="U118" s="94" t="n"/>
      <c r="V118" s="94" t="n"/>
      <c r="W118" s="94" t="n"/>
      <c r="X118" s="94" t="n"/>
      <c r="Y118" s="94" t="n"/>
      <c r="Z118" s="94" t="n"/>
    </row>
    <row r="119" ht="15.75" customHeight="1" s="90">
      <c r="A119" s="94" t="n"/>
      <c r="B119" s="94" t="n"/>
      <c r="C119" s="94" t="n"/>
      <c r="D119" s="94" t="n"/>
      <c r="E119" s="94" t="n"/>
      <c r="F119" s="94" t="n"/>
      <c r="G119" s="94" t="n"/>
      <c r="H119" s="94" t="n"/>
      <c r="I119" s="94" t="n"/>
      <c r="J119" s="94" t="n"/>
      <c r="K119" s="94" t="n"/>
      <c r="L119" s="94" t="n"/>
      <c r="M119" s="94" t="n"/>
      <c r="N119" s="94" t="n"/>
      <c r="O119" s="94" t="n"/>
      <c r="P119" s="94" t="n"/>
      <c r="Q119" s="94" t="n"/>
      <c r="R119" s="94" t="n"/>
      <c r="S119" s="94" t="n"/>
      <c r="T119" s="94" t="n"/>
      <c r="U119" s="94" t="n"/>
      <c r="V119" s="94" t="n"/>
      <c r="W119" s="94" t="n"/>
      <c r="X119" s="94" t="n"/>
      <c r="Y119" s="94" t="n"/>
      <c r="Z119" s="94" t="n"/>
    </row>
    <row r="120" ht="15.75" customHeight="1" s="90">
      <c r="A120" s="94" t="n"/>
      <c r="B120" s="94" t="n"/>
      <c r="C120" s="94" t="n"/>
      <c r="D120" s="94" t="n"/>
      <c r="E120" s="94" t="n"/>
      <c r="F120" s="94" t="n"/>
      <c r="G120" s="94" t="n"/>
      <c r="H120" s="94" t="n"/>
      <c r="I120" s="94" t="n"/>
      <c r="J120" s="94" t="n"/>
      <c r="K120" s="94" t="n"/>
      <c r="L120" s="94" t="n"/>
      <c r="M120" s="94" t="n"/>
      <c r="N120" s="94" t="n"/>
      <c r="O120" s="94" t="n"/>
      <c r="P120" s="94" t="n"/>
      <c r="Q120" s="94" t="n"/>
      <c r="R120" s="94" t="n"/>
      <c r="S120" s="94" t="n"/>
      <c r="T120" s="94" t="n"/>
      <c r="U120" s="94" t="n"/>
      <c r="V120" s="94" t="n"/>
      <c r="W120" s="94" t="n"/>
      <c r="X120" s="94" t="n"/>
      <c r="Y120" s="94" t="n"/>
      <c r="Z120" s="94" t="n"/>
    </row>
    <row r="121" ht="15.75" customHeight="1" s="90">
      <c r="A121" s="94" t="n"/>
      <c r="B121" s="94" t="n"/>
      <c r="C121" s="94" t="n"/>
      <c r="D121" s="94" t="n"/>
      <c r="E121" s="94" t="n"/>
      <c r="F121" s="94" t="n"/>
      <c r="G121" s="94" t="n"/>
      <c r="H121" s="94" t="n"/>
      <c r="I121" s="94" t="n"/>
      <c r="J121" s="94" t="n"/>
      <c r="K121" s="94" t="n"/>
      <c r="L121" s="94" t="n"/>
      <c r="M121" s="94" t="n"/>
      <c r="N121" s="94" t="n"/>
      <c r="O121" s="94" t="n"/>
      <c r="P121" s="94" t="n"/>
      <c r="Q121" s="94" t="n"/>
      <c r="R121" s="94" t="n"/>
      <c r="S121" s="94" t="n"/>
      <c r="T121" s="94" t="n"/>
      <c r="U121" s="94" t="n"/>
      <c r="V121" s="94" t="n"/>
      <c r="W121" s="94" t="n"/>
      <c r="X121" s="94" t="n"/>
      <c r="Y121" s="94" t="n"/>
      <c r="Z121" s="94" t="n"/>
    </row>
    <row r="122" ht="15.75" customHeight="1" s="90">
      <c r="A122" s="94" t="n"/>
      <c r="B122" s="94" t="n"/>
      <c r="C122" s="94" t="n"/>
      <c r="D122" s="94" t="n"/>
      <c r="E122" s="94" t="n"/>
      <c r="F122" s="94" t="n"/>
      <c r="G122" s="94" t="n"/>
      <c r="H122" s="94" t="n"/>
      <c r="I122" s="94" t="n"/>
      <c r="J122" s="94" t="n"/>
      <c r="K122" s="94" t="n"/>
      <c r="L122" s="94" t="n"/>
      <c r="M122" s="94" t="n"/>
      <c r="N122" s="94" t="n"/>
      <c r="O122" s="94" t="n"/>
      <c r="P122" s="94" t="n"/>
      <c r="Q122" s="94" t="n"/>
      <c r="R122" s="94" t="n"/>
      <c r="S122" s="94" t="n"/>
      <c r="T122" s="94" t="n"/>
      <c r="U122" s="94" t="n"/>
      <c r="V122" s="94" t="n"/>
      <c r="W122" s="94" t="n"/>
      <c r="X122" s="94" t="n"/>
      <c r="Y122" s="94" t="n"/>
      <c r="Z122" s="94" t="n"/>
    </row>
    <row r="123" ht="15.75" customHeight="1" s="90">
      <c r="A123" s="94" t="n"/>
      <c r="B123" s="94" t="n"/>
      <c r="C123" s="94" t="n"/>
      <c r="D123" s="94" t="n"/>
      <c r="E123" s="94" t="n"/>
      <c r="F123" s="94" t="n"/>
      <c r="G123" s="94" t="n"/>
      <c r="H123" s="94" t="n"/>
      <c r="I123" s="94" t="n"/>
      <c r="J123" s="94" t="n"/>
      <c r="K123" s="94" t="n"/>
      <c r="L123" s="94" t="n"/>
      <c r="M123" s="94" t="n"/>
      <c r="N123" s="94" t="n"/>
      <c r="O123" s="94" t="n"/>
      <c r="P123" s="94" t="n"/>
      <c r="Q123" s="94" t="n"/>
      <c r="R123" s="94" t="n"/>
      <c r="S123" s="94" t="n"/>
      <c r="T123" s="94" t="n"/>
      <c r="U123" s="94" t="n"/>
      <c r="V123" s="94" t="n"/>
      <c r="W123" s="94" t="n"/>
      <c r="X123" s="94" t="n"/>
      <c r="Y123" s="94" t="n"/>
      <c r="Z123" s="94" t="n"/>
    </row>
    <row r="124" ht="15.75" customHeight="1" s="90">
      <c r="A124" s="94" t="n"/>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94" t="n"/>
      <c r="U124" s="94" t="n"/>
      <c r="V124" s="94" t="n"/>
      <c r="W124" s="94" t="n"/>
      <c r="X124" s="94" t="n"/>
      <c r="Y124" s="94" t="n"/>
      <c r="Z124" s="94" t="n"/>
    </row>
    <row r="125" ht="15.75" customHeight="1" s="90">
      <c r="A125" s="94" t="n"/>
      <c r="B125" s="94" t="n"/>
      <c r="C125" s="94" t="n"/>
      <c r="D125" s="94" t="n"/>
      <c r="E125" s="94" t="n"/>
      <c r="F125" s="94" t="n"/>
      <c r="G125" s="94" t="n"/>
      <c r="H125" s="94" t="n"/>
      <c r="I125" s="94" t="n"/>
      <c r="J125" s="94" t="n"/>
      <c r="K125" s="94" t="n"/>
      <c r="L125" s="94" t="n"/>
      <c r="M125" s="94" t="n"/>
      <c r="N125" s="94" t="n"/>
      <c r="O125" s="94" t="n"/>
      <c r="P125" s="94" t="n"/>
      <c r="Q125" s="94" t="n"/>
      <c r="R125" s="94" t="n"/>
      <c r="S125" s="94" t="n"/>
      <c r="T125" s="94" t="n"/>
      <c r="U125" s="94" t="n"/>
      <c r="V125" s="94" t="n"/>
      <c r="W125" s="94" t="n"/>
      <c r="X125" s="94" t="n"/>
      <c r="Y125" s="94" t="n"/>
      <c r="Z125" s="94" t="n"/>
    </row>
    <row r="126" ht="15.75" customHeight="1" s="90">
      <c r="A126" s="94" t="n"/>
      <c r="B126" s="94" t="n"/>
      <c r="C126" s="94" t="n"/>
      <c r="D126" s="94" t="n"/>
      <c r="E126" s="94" t="n"/>
      <c r="F126" s="94" t="n"/>
      <c r="G126" s="94" t="n"/>
      <c r="H126" s="94" t="n"/>
      <c r="I126" s="94" t="n"/>
      <c r="J126" s="94" t="n"/>
      <c r="K126" s="94" t="n"/>
      <c r="L126" s="94" t="n"/>
      <c r="M126" s="94" t="n"/>
      <c r="N126" s="94" t="n"/>
      <c r="O126" s="94" t="n"/>
      <c r="P126" s="94" t="n"/>
      <c r="Q126" s="94" t="n"/>
      <c r="R126" s="94" t="n"/>
      <c r="S126" s="94" t="n"/>
      <c r="T126" s="94" t="n"/>
      <c r="U126" s="94" t="n"/>
      <c r="V126" s="94" t="n"/>
      <c r="W126" s="94" t="n"/>
      <c r="X126" s="94" t="n"/>
      <c r="Y126" s="94" t="n"/>
      <c r="Z126" s="94" t="n"/>
    </row>
    <row r="127" ht="15.75" customHeight="1" s="90">
      <c r="A127" s="94" t="n"/>
      <c r="B127" s="94" t="n"/>
      <c r="C127" s="94" t="n"/>
      <c r="D127" s="94" t="n"/>
      <c r="E127" s="94" t="n"/>
      <c r="F127" s="94" t="n"/>
      <c r="G127" s="94" t="n"/>
      <c r="H127" s="94" t="n"/>
      <c r="I127" s="94" t="n"/>
      <c r="J127" s="94" t="n"/>
      <c r="K127" s="94" t="n"/>
      <c r="L127" s="94" t="n"/>
      <c r="M127" s="94" t="n"/>
      <c r="N127" s="94" t="n"/>
      <c r="O127" s="94" t="n"/>
      <c r="P127" s="94" t="n"/>
      <c r="Q127" s="94" t="n"/>
      <c r="R127" s="94" t="n"/>
      <c r="S127" s="94" t="n"/>
      <c r="T127" s="94" t="n"/>
      <c r="U127" s="94" t="n"/>
      <c r="V127" s="94" t="n"/>
      <c r="W127" s="94" t="n"/>
      <c r="X127" s="94" t="n"/>
      <c r="Y127" s="94" t="n"/>
      <c r="Z127" s="94" t="n"/>
    </row>
    <row r="128" ht="15.75" customHeight="1" s="90">
      <c r="A128" s="94" t="n"/>
      <c r="B128" s="94" t="n"/>
      <c r="C128" s="94" t="n"/>
      <c r="D128" s="94" t="n"/>
      <c r="E128" s="94" t="n"/>
      <c r="F128" s="94" t="n"/>
      <c r="G128" s="94" t="n"/>
      <c r="H128" s="94" t="n"/>
      <c r="I128" s="94" t="n"/>
      <c r="J128" s="94" t="n"/>
      <c r="K128" s="94" t="n"/>
      <c r="L128" s="94" t="n"/>
      <c r="M128" s="94" t="n"/>
      <c r="N128" s="94" t="n"/>
      <c r="O128" s="94" t="n"/>
      <c r="P128" s="94" t="n"/>
      <c r="Q128" s="94" t="n"/>
      <c r="R128" s="94" t="n"/>
      <c r="S128" s="94" t="n"/>
      <c r="T128" s="94" t="n"/>
      <c r="U128" s="94" t="n"/>
      <c r="V128" s="94" t="n"/>
      <c r="W128" s="94" t="n"/>
      <c r="X128" s="94" t="n"/>
      <c r="Y128" s="94" t="n"/>
      <c r="Z128" s="94" t="n"/>
    </row>
    <row r="129" ht="15.75" customHeight="1" s="90">
      <c r="A129" s="94" t="n"/>
      <c r="B129" s="94" t="n"/>
      <c r="C129" s="94" t="n"/>
      <c r="D129" s="94" t="n"/>
      <c r="E129" s="94" t="n"/>
      <c r="F129" s="94" t="n"/>
      <c r="G129" s="94" t="n"/>
      <c r="H129" s="94" t="n"/>
      <c r="I129" s="94" t="n"/>
      <c r="J129" s="94" t="n"/>
      <c r="K129" s="94" t="n"/>
      <c r="L129" s="94" t="n"/>
      <c r="M129" s="94" t="n"/>
      <c r="N129" s="94" t="n"/>
      <c r="O129" s="94" t="n"/>
      <c r="P129" s="94" t="n"/>
      <c r="Q129" s="94" t="n"/>
      <c r="R129" s="94" t="n"/>
      <c r="S129" s="94" t="n"/>
      <c r="T129" s="94" t="n"/>
      <c r="U129" s="94" t="n"/>
      <c r="V129" s="94" t="n"/>
      <c r="W129" s="94" t="n"/>
      <c r="X129" s="94" t="n"/>
      <c r="Y129" s="94" t="n"/>
      <c r="Z129" s="94" t="n"/>
    </row>
    <row r="130" ht="15.75" customHeight="1" s="90">
      <c r="A130" s="94" t="n"/>
      <c r="B130" s="94" t="n"/>
      <c r="C130" s="94" t="n"/>
      <c r="D130" s="94" t="n"/>
      <c r="E130" s="94" t="n"/>
      <c r="F130" s="94" t="n"/>
      <c r="G130" s="94" t="n"/>
      <c r="H130" s="94" t="n"/>
      <c r="I130" s="94" t="n"/>
      <c r="J130" s="94" t="n"/>
      <c r="K130" s="94" t="n"/>
      <c r="L130" s="94" t="n"/>
      <c r="M130" s="94" t="n"/>
      <c r="N130" s="94" t="n"/>
      <c r="O130" s="94" t="n"/>
      <c r="P130" s="94" t="n"/>
      <c r="Q130" s="94" t="n"/>
      <c r="R130" s="94" t="n"/>
      <c r="S130" s="94" t="n"/>
      <c r="T130" s="94" t="n"/>
      <c r="U130" s="94" t="n"/>
      <c r="V130" s="94" t="n"/>
      <c r="W130" s="94" t="n"/>
      <c r="X130" s="94" t="n"/>
      <c r="Y130" s="94" t="n"/>
      <c r="Z130" s="94" t="n"/>
    </row>
    <row r="131" ht="15.75" customHeight="1" s="90">
      <c r="A131" s="94" t="n"/>
      <c r="B131" s="94" t="n"/>
      <c r="C131" s="94" t="n"/>
      <c r="D131" s="94" t="n"/>
      <c r="E131" s="94" t="n"/>
      <c r="F131" s="94" t="n"/>
      <c r="G131" s="94" t="n"/>
      <c r="H131" s="94" t="n"/>
      <c r="I131" s="94" t="n"/>
      <c r="J131" s="94" t="n"/>
      <c r="K131" s="94" t="n"/>
      <c r="L131" s="94" t="n"/>
      <c r="M131" s="94" t="n"/>
      <c r="N131" s="94" t="n"/>
      <c r="O131" s="94" t="n"/>
      <c r="P131" s="94" t="n"/>
      <c r="Q131" s="94" t="n"/>
      <c r="R131" s="94" t="n"/>
      <c r="S131" s="94" t="n"/>
      <c r="T131" s="94" t="n"/>
      <c r="U131" s="94" t="n"/>
      <c r="V131" s="94" t="n"/>
      <c r="W131" s="94" t="n"/>
      <c r="X131" s="94" t="n"/>
      <c r="Y131" s="94" t="n"/>
      <c r="Z131" s="94" t="n"/>
    </row>
    <row r="132" ht="15.75" customHeight="1" s="90">
      <c r="A132" s="94" t="n"/>
      <c r="B132" s="94" t="n"/>
      <c r="C132" s="94" t="n"/>
      <c r="D132" s="94" t="n"/>
      <c r="E132" s="94" t="n"/>
      <c r="F132" s="94" t="n"/>
      <c r="G132" s="94" t="n"/>
      <c r="H132" s="94" t="n"/>
      <c r="I132" s="94" t="n"/>
      <c r="J132" s="94" t="n"/>
      <c r="K132" s="94" t="n"/>
      <c r="L132" s="94" t="n"/>
      <c r="M132" s="94" t="n"/>
      <c r="N132" s="94" t="n"/>
      <c r="O132" s="94" t="n"/>
      <c r="P132" s="94" t="n"/>
      <c r="Q132" s="94" t="n"/>
      <c r="R132" s="94" t="n"/>
      <c r="S132" s="94" t="n"/>
      <c r="T132" s="94" t="n"/>
      <c r="U132" s="94" t="n"/>
      <c r="V132" s="94" t="n"/>
      <c r="W132" s="94" t="n"/>
      <c r="X132" s="94" t="n"/>
      <c r="Y132" s="94" t="n"/>
      <c r="Z132" s="94" t="n"/>
    </row>
    <row r="133" ht="15.75" customHeight="1" s="90">
      <c r="A133" s="94" t="n"/>
      <c r="B133" s="94" t="n"/>
      <c r="C133" s="94" t="n"/>
      <c r="D133" s="94" t="n"/>
      <c r="E133" s="94" t="n"/>
      <c r="F133" s="94" t="n"/>
      <c r="G133" s="94" t="n"/>
      <c r="H133" s="94" t="n"/>
      <c r="I133" s="94" t="n"/>
      <c r="J133" s="94" t="n"/>
      <c r="K133" s="94" t="n"/>
      <c r="L133" s="94" t="n"/>
      <c r="M133" s="94" t="n"/>
      <c r="N133" s="94" t="n"/>
      <c r="O133" s="94" t="n"/>
      <c r="P133" s="94" t="n"/>
      <c r="Q133" s="94" t="n"/>
      <c r="R133" s="94" t="n"/>
      <c r="S133" s="94" t="n"/>
      <c r="T133" s="94" t="n"/>
      <c r="U133" s="94" t="n"/>
      <c r="V133" s="94" t="n"/>
      <c r="W133" s="94" t="n"/>
      <c r="X133" s="94" t="n"/>
      <c r="Y133" s="94" t="n"/>
      <c r="Z133" s="94" t="n"/>
    </row>
    <row r="134" ht="15.75" customHeight="1" s="90">
      <c r="A134" s="94" t="n"/>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c r="U134" s="94" t="n"/>
      <c r="V134" s="94" t="n"/>
      <c r="W134" s="94" t="n"/>
      <c r="X134" s="94" t="n"/>
      <c r="Y134" s="94" t="n"/>
      <c r="Z134" s="94" t="n"/>
    </row>
    <row r="135" ht="15.75" customHeight="1" s="90">
      <c r="A135" s="94" t="n"/>
      <c r="B135" s="94" t="n"/>
      <c r="C135" s="94" t="n"/>
      <c r="D135" s="94" t="n"/>
      <c r="E135" s="94" t="n"/>
      <c r="F135" s="94" t="n"/>
      <c r="G135" s="94" t="n"/>
      <c r="H135" s="94" t="n"/>
      <c r="I135" s="94" t="n"/>
      <c r="J135" s="94" t="n"/>
      <c r="K135" s="94" t="n"/>
      <c r="L135" s="94" t="n"/>
      <c r="M135" s="94" t="n"/>
      <c r="N135" s="94" t="n"/>
      <c r="O135" s="94" t="n"/>
      <c r="P135" s="94" t="n"/>
      <c r="Q135" s="94" t="n"/>
      <c r="R135" s="94" t="n"/>
      <c r="S135" s="94" t="n"/>
      <c r="T135" s="94" t="n"/>
      <c r="U135" s="94" t="n"/>
      <c r="V135" s="94" t="n"/>
      <c r="W135" s="94" t="n"/>
      <c r="X135" s="94" t="n"/>
      <c r="Y135" s="94" t="n"/>
      <c r="Z135" s="94" t="n"/>
    </row>
    <row r="136" ht="15.75" customHeight="1" s="90">
      <c r="A136" s="94" t="n"/>
      <c r="B136" s="94" t="n"/>
      <c r="C136" s="94" t="n"/>
      <c r="D136" s="94" t="n"/>
      <c r="E136" s="94" t="n"/>
      <c r="F136" s="94" t="n"/>
      <c r="G136" s="94" t="n"/>
      <c r="H136" s="94" t="n"/>
      <c r="I136" s="94" t="n"/>
      <c r="J136" s="94" t="n"/>
      <c r="K136" s="94" t="n"/>
      <c r="L136" s="94" t="n"/>
      <c r="M136" s="94" t="n"/>
      <c r="N136" s="94" t="n"/>
      <c r="O136" s="94" t="n"/>
      <c r="P136" s="94" t="n"/>
      <c r="Q136" s="94" t="n"/>
      <c r="R136" s="94" t="n"/>
      <c r="S136" s="94" t="n"/>
      <c r="T136" s="94" t="n"/>
      <c r="U136" s="94" t="n"/>
      <c r="V136" s="94" t="n"/>
      <c r="W136" s="94" t="n"/>
      <c r="X136" s="94" t="n"/>
      <c r="Y136" s="94" t="n"/>
      <c r="Z136" s="94" t="n"/>
    </row>
    <row r="137" ht="15.75" customHeight="1" s="90">
      <c r="A137" s="94" t="n"/>
      <c r="B137" s="94" t="n"/>
      <c r="C137" s="94" t="n"/>
      <c r="D137" s="94" t="n"/>
      <c r="E137" s="94" t="n"/>
      <c r="F137" s="94" t="n"/>
      <c r="G137" s="94" t="n"/>
      <c r="H137" s="94" t="n"/>
      <c r="I137" s="94" t="n"/>
      <c r="J137" s="94" t="n"/>
      <c r="K137" s="94" t="n"/>
      <c r="L137" s="94" t="n"/>
      <c r="M137" s="94" t="n"/>
      <c r="N137" s="94" t="n"/>
      <c r="O137" s="94" t="n"/>
      <c r="P137" s="94" t="n"/>
      <c r="Q137" s="94" t="n"/>
      <c r="R137" s="94" t="n"/>
      <c r="S137" s="94" t="n"/>
      <c r="T137" s="94" t="n"/>
      <c r="U137" s="94" t="n"/>
      <c r="V137" s="94" t="n"/>
      <c r="W137" s="94" t="n"/>
      <c r="X137" s="94" t="n"/>
      <c r="Y137" s="94" t="n"/>
      <c r="Z137" s="94" t="n"/>
    </row>
    <row r="138" ht="15.75" customHeight="1" s="90">
      <c r="A138" s="94" t="n"/>
      <c r="B138" s="94" t="n"/>
      <c r="C138" s="94" t="n"/>
      <c r="D138" s="94" t="n"/>
      <c r="E138" s="94" t="n"/>
      <c r="F138" s="94" t="n"/>
      <c r="G138" s="94" t="n"/>
      <c r="H138" s="94" t="n"/>
      <c r="I138" s="94" t="n"/>
      <c r="J138" s="94" t="n"/>
      <c r="K138" s="94" t="n"/>
      <c r="L138" s="94" t="n"/>
      <c r="M138" s="94" t="n"/>
      <c r="N138" s="94" t="n"/>
      <c r="O138" s="94" t="n"/>
      <c r="P138" s="94" t="n"/>
      <c r="Q138" s="94" t="n"/>
      <c r="R138" s="94" t="n"/>
      <c r="S138" s="94" t="n"/>
      <c r="T138" s="94" t="n"/>
      <c r="U138" s="94" t="n"/>
      <c r="V138" s="94" t="n"/>
      <c r="W138" s="94" t="n"/>
      <c r="X138" s="94" t="n"/>
      <c r="Y138" s="94" t="n"/>
      <c r="Z138" s="94" t="n"/>
    </row>
    <row r="139" ht="15.75" customHeight="1" s="90">
      <c r="A139" s="94" t="n"/>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c r="U139" s="94" t="n"/>
      <c r="V139" s="94" t="n"/>
      <c r="W139" s="94" t="n"/>
      <c r="X139" s="94" t="n"/>
      <c r="Y139" s="94" t="n"/>
      <c r="Z139" s="94" t="n"/>
    </row>
    <row r="140" ht="15.75" customHeight="1" s="90">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94" t="n"/>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94" t="n"/>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94" t="n"/>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94" t="n"/>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94" t="n"/>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94" t="n"/>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94" t="n"/>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94" t="n"/>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94" t="n"/>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94" t="n"/>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94" t="n"/>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94" t="n"/>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94" t="n"/>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94" t="n"/>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94" t="n"/>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94" t="n"/>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94" t="n"/>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94" t="n"/>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94" t="n"/>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94" t="n"/>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94" t="n"/>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94" t="n"/>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94" t="n"/>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94" t="n"/>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94" t="n"/>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94" t="n"/>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94" t="n"/>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94" t="n"/>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94" t="n"/>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94" t="n"/>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94" t="n"/>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94" t="n"/>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94" t="n"/>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94" t="n"/>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94" t="n"/>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94" t="n"/>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94" t="n"/>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94" t="n"/>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94" t="n"/>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94" t="n"/>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94" t="n"/>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94" t="n"/>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94" t="n"/>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94" t="n"/>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94" t="n"/>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94" t="n"/>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94" t="n"/>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94" t="n"/>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94" t="n"/>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94" t="n"/>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94" t="n"/>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94" t="n"/>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94" t="n"/>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94" t="n"/>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94" t="n"/>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94" t="n"/>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94" t="n"/>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94" t="n"/>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94" t="n"/>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94" t="n"/>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94" t="n"/>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94" t="n"/>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94" t="n"/>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94" t="n"/>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94" t="n"/>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94" t="n"/>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94" t="n"/>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94" t="n"/>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94" t="n"/>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94" t="n"/>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94" t="n"/>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94" t="n"/>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94" t="n"/>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94" t="n"/>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94" t="n"/>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94" t="n"/>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94" t="n"/>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94" t="n"/>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94" t="n"/>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94" t="n"/>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94" t="n"/>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94" t="n"/>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94" t="n"/>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94" t="n"/>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94" t="n"/>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94" t="n"/>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94" t="n"/>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94" t="n"/>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94" t="n"/>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94" t="n"/>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94" t="n"/>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94" t="n"/>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94" t="n"/>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94" t="n"/>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94" t="n"/>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94" t="n"/>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94" t="n"/>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94" t="n"/>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94" t="n"/>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94" t="n"/>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94" t="n"/>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94" t="n"/>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94" t="n"/>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94" t="n"/>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94" t="n"/>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94" t="n"/>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94" t="n"/>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94" t="n"/>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94" t="n"/>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94" t="n"/>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94" t="n"/>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94" t="n"/>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94" t="n"/>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94" t="n"/>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94" t="n"/>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94" t="n"/>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94" t="n"/>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94" t="n"/>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94" t="n"/>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94" t="n"/>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94" t="n"/>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94" t="n"/>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94" t="n"/>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94" t="n"/>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94" t="n"/>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94" t="n"/>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94" t="n"/>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94" t="n"/>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94" t="n"/>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94" t="n"/>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94" t="n"/>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94" t="n"/>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94" t="n"/>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94" t="n"/>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94" t="n"/>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94" t="n"/>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94" t="n"/>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94" t="n"/>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94" t="n"/>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94" t="n"/>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94" t="n"/>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94" t="n"/>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94" t="n"/>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94" t="n"/>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94" t="n"/>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94" t="n"/>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94" t="n"/>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94" t="n"/>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94" t="n"/>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94" t="n"/>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94" t="n"/>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94" t="n"/>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94" t="n"/>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94" t="n"/>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94" t="n"/>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94" t="n"/>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94" t="n"/>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94" t="n"/>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94" t="n"/>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94" t="n"/>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94" t="n"/>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94" t="n"/>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94" t="n"/>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94" t="n"/>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94" t="n"/>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94" t="n"/>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94" t="n"/>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94" t="n"/>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94" t="n"/>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94" t="n"/>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94" t="n"/>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94" t="n"/>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94" t="n"/>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94" t="n"/>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94" t="n"/>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94" t="n"/>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94" t="n"/>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94" t="n"/>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94" t="n"/>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94" t="n"/>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94" t="n"/>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94" t="n"/>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94" t="n"/>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94" t="n"/>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94" t="n"/>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94" t="n"/>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94" t="n"/>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94" t="n"/>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94" t="n"/>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94" t="n"/>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94" t="n"/>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94" t="n"/>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94" t="n"/>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94" t="n"/>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94" t="n"/>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94" t="n"/>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94" t="n"/>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94" t="n"/>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94" t="n"/>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94" t="n"/>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94" t="n"/>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94" t="n"/>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94" t="n"/>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94" t="n"/>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94" t="n"/>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94" t="n"/>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94" t="n"/>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94" t="n"/>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94" t="n"/>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94" t="n"/>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94" t="n"/>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94" t="n"/>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94" t="n"/>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94" t="n"/>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94" t="n"/>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94" t="n"/>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94" t="n"/>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94" t="n"/>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94" t="n"/>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94" t="n"/>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94" t="n"/>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94" t="n"/>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94" t="n"/>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94" t="n"/>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94" t="n"/>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94" t="n"/>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94" t="n"/>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94" t="n"/>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94" t="n"/>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94" t="n"/>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94" t="n"/>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94" t="n"/>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94" t="n"/>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94" t="n"/>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94" t="n"/>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94" t="n"/>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94" t="n"/>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94" t="n"/>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94" t="n"/>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94" t="n"/>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94" t="n"/>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94" t="n"/>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94" t="n"/>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94" t="n"/>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94" t="n"/>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94" t="n"/>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94" t="n"/>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94" t="n"/>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94" t="n"/>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94" t="n"/>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94" t="n"/>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94" t="n"/>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94" t="n"/>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94" t="n"/>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94" t="n"/>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94" t="n"/>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94" t="n"/>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94" t="n"/>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94" t="n"/>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94" t="n"/>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94" t="n"/>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94" t="n"/>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94" t="n"/>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94" t="n"/>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94" t="n"/>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94" t="n"/>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94" t="n"/>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94" t="n"/>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94" t="n"/>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94" t="n"/>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94" t="n"/>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94" t="n"/>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94" t="n"/>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94" t="n"/>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94" t="n"/>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94" t="n"/>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94" t="n"/>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94" t="n"/>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94" t="n"/>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94" t="n"/>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94" t="n"/>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94" t="n"/>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94" t="n"/>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94" t="n"/>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94" t="n"/>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94" t="n"/>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94" t="n"/>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94" t="n"/>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94" t="n"/>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94" t="n"/>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94" t="n"/>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94" t="n"/>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94" t="n"/>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94" t="n"/>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94" t="n"/>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94" t="n"/>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94" t="n"/>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94" t="n"/>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94" t="n"/>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94" t="n"/>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94" t="n"/>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94" t="n"/>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94" t="n"/>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94" t="n"/>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94" t="n"/>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94" t="n"/>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94" t="n"/>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94" t="n"/>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94" t="n"/>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94" t="n"/>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94" t="n"/>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94" t="n"/>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94" t="n"/>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94" t="n"/>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94" t="n"/>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94" t="n"/>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94" t="n"/>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94" t="n"/>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94" t="n"/>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94" t="n"/>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94" t="n"/>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94" t="n"/>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94" t="n"/>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94" t="n"/>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94" t="n"/>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94" t="n"/>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94" t="n"/>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94" t="n"/>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94" t="n"/>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94" t="n"/>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94" t="n"/>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94" t="n"/>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94" t="n"/>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94" t="n"/>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94" t="n"/>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94" t="n"/>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94" t="n"/>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94" t="n"/>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94" t="n"/>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94" t="n"/>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94" t="n"/>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94" t="n"/>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94" t="n"/>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94" t="n"/>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94" t="n"/>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94" t="n"/>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94" t="n"/>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94" t="n"/>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94" t="n"/>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94" t="n"/>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94" t="n"/>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94" t="n"/>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94" t="n"/>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94" t="n"/>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94" t="n"/>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94" t="n"/>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94" t="n"/>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94" t="n"/>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94" t="n"/>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94" t="n"/>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94" t="n"/>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94" t="n"/>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94" t="n"/>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94" t="n"/>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94" t="n"/>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94" t="n"/>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94" t="n"/>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94" t="n"/>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94" t="n"/>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94" t="n"/>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94" t="n"/>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94" t="n"/>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94" t="n"/>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94" t="n"/>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94" t="n"/>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94" t="n"/>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94" t="n"/>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94" t="n"/>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94" t="n"/>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94" t="n"/>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94" t="n"/>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94" t="n"/>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94" t="n"/>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94" t="n"/>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94" t="n"/>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94" t="n"/>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94" t="n"/>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94" t="n"/>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94" t="n"/>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94" t="n"/>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94" t="n"/>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94" t="n"/>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94" t="n"/>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94" t="n"/>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94" t="n"/>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94" t="n"/>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94" t="n"/>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94" t="n"/>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94" t="n"/>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94" t="n"/>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94" t="n"/>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94" t="n"/>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94" t="n"/>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94" t="n"/>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94" t="n"/>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94" t="n"/>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94" t="n"/>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94" t="n"/>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94" t="n"/>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94" t="n"/>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94" t="n"/>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94" t="n"/>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94" t="n"/>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94" t="n"/>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94" t="n"/>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94" t="n"/>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94" t="n"/>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94" t="n"/>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94" t="n"/>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94" t="n"/>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94" t="n"/>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94" t="n"/>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94" t="n"/>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94" t="n"/>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94" t="n"/>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94" t="n"/>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94" t="n"/>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94" t="n"/>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94" t="n"/>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94" t="n"/>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94" t="n"/>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94" t="n"/>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94" t="n"/>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94" t="n"/>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94" t="n"/>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94" t="n"/>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94" t="n"/>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94" t="n"/>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94" t="n"/>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94" t="n"/>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94" t="n"/>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94" t="n"/>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94" t="n"/>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94" t="n"/>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94" t="n"/>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94" t="n"/>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94" t="n"/>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94" t="n"/>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94" t="n"/>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94" t="n"/>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94" t="n"/>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94" t="n"/>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94" t="n"/>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94" t="n"/>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94" t="n"/>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94" t="n"/>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94" t="n"/>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94" t="n"/>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94" t="n"/>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94" t="n"/>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94" t="n"/>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94" t="n"/>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94" t="n"/>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94" t="n"/>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94" t="n"/>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94" t="n"/>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94" t="n"/>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94" t="n"/>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94" t="n"/>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94" t="n"/>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94" t="n"/>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94" t="n"/>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94" t="n"/>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94" t="n"/>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94" t="n"/>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94" t="n"/>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94" t="n"/>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94" t="n"/>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94" t="n"/>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94" t="n"/>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94" t="n"/>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94" t="n"/>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94" t="n"/>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94" t="n"/>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94" t="n"/>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94" t="n"/>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94" t="n"/>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94" t="n"/>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94" t="n"/>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94" t="n"/>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94" t="n"/>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94" t="n"/>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94" t="n"/>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94" t="n"/>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94" t="n"/>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94" t="n"/>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94" t="n"/>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94" t="n"/>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94" t="n"/>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94" t="n"/>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94" t="n"/>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94" t="n"/>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94" t="n"/>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94" t="n"/>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94" t="n"/>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94" t="n"/>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94" t="n"/>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94" t="n"/>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94" t="n"/>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94" t="n"/>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94" t="n"/>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94" t="n"/>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94" t="n"/>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94" t="n"/>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94" t="n"/>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94" t="n"/>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94" t="n"/>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94" t="n"/>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94" t="n"/>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94" t="n"/>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94" t="n"/>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94" t="n"/>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94" t="n"/>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94" t="n"/>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94" t="n"/>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94" t="n"/>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94" t="n"/>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94" t="n"/>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94" t="n"/>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94" t="n"/>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94" t="n"/>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94" t="n"/>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94" t="n"/>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94" t="n"/>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94" t="n"/>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94" t="n"/>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94" t="n"/>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94" t="n"/>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94" t="n"/>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94" t="n"/>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94" t="n"/>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94" t="n"/>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94" t="n"/>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94" t="n"/>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94" t="n"/>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94" t="n"/>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94" t="n"/>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94" t="n"/>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94" t="n"/>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94" t="n"/>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94" t="n"/>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94" t="n"/>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94" t="n"/>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94" t="n"/>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94" t="n"/>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94" t="n"/>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94" t="n"/>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94" t="n"/>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94" t="n"/>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94" t="n"/>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94" t="n"/>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94" t="n"/>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94" t="n"/>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94" t="n"/>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94" t="n"/>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94" t="n"/>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94" t="n"/>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94" t="n"/>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94" t="n"/>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94" t="n"/>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94" t="n"/>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94" t="n"/>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94" t="n"/>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94" t="n"/>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94" t="n"/>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94" t="n"/>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94" t="n"/>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94" t="n"/>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94" t="n"/>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94" t="n"/>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94" t="n"/>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94" t="n"/>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94" t="n"/>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94" t="n"/>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94" t="n"/>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94" t="n"/>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94" t="n"/>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94" t="n"/>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94" t="n"/>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94" t="n"/>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94" t="n"/>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94" t="n"/>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94" t="n"/>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94" t="n"/>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94" t="n"/>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94" t="n"/>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94" t="n"/>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94" t="n"/>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94" t="n"/>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94" t="n"/>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94" t="n"/>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94" t="n"/>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94" t="n"/>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94" t="n"/>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94" t="n"/>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94" t="n"/>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94" t="n"/>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94" t="n"/>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94" t="n"/>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94" t="n"/>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94" t="n"/>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94" t="n"/>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94" t="n"/>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94" t="n"/>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94" t="n"/>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94" t="n"/>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94" t="n"/>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94" t="n"/>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94" t="n"/>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94" t="n"/>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94" t="n"/>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94" t="n"/>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94" t="n"/>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94" t="n"/>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94" t="n"/>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94" t="n"/>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94" t="n"/>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94" t="n"/>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94" t="n"/>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94" t="n"/>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94" t="n"/>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94" t="n"/>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94" t="n"/>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94" t="n"/>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94" t="n"/>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94" t="n"/>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94" t="n"/>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94" t="n"/>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94" t="n"/>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94" t="n"/>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94" t="n"/>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94" t="n"/>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94" t="n"/>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94" t="n"/>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94" t="n"/>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94" t="n"/>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94" t="n"/>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94" t="n"/>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94" t="n"/>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94" t="n"/>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94" t="n"/>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94" t="n"/>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94" t="n"/>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94" t="n"/>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94" t="n"/>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94" t="n"/>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94" t="n"/>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94" t="n"/>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94" t="n"/>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94" t="n"/>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94" t="n"/>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94" t="n"/>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94" t="n"/>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94" t="n"/>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94" t="n"/>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94" t="n"/>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94" t="n"/>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94" t="n"/>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94" t="n"/>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94" t="n"/>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94" t="n"/>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94" t="n"/>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94" t="n"/>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94" t="n"/>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94" t="n"/>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94" t="n"/>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94" t="n"/>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94" t="n"/>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94" t="n"/>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94" t="n"/>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94" t="n"/>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94" t="n"/>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94" t="n"/>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94" t="n"/>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94" t="n"/>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94" t="n"/>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94" t="n"/>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94" t="n"/>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94" t="n"/>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94" t="n"/>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94" t="n"/>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94" t="n"/>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94" t="n"/>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94" t="n"/>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94" t="n"/>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94" t="n"/>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94" t="n"/>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94" t="n"/>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94" t="n"/>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94" t="n"/>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94" t="n"/>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94" t="n"/>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94" t="n"/>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94" t="n"/>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94" t="n"/>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94" t="n"/>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94" t="n"/>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94" t="n"/>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94" t="n"/>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94" t="n"/>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94" t="n"/>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94" t="n"/>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94" t="n"/>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94" t="n"/>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94" t="n"/>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94" t="n"/>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94" t="n"/>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94" t="n"/>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94" t="n"/>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94" t="n"/>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94" t="n"/>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94" t="n"/>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94" t="n"/>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94" t="n"/>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94" t="n"/>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94" t="n"/>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94" t="n"/>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94" t="n"/>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94" t="n"/>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94" t="n"/>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94" t="n"/>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94" t="n"/>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94" t="n"/>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94" t="n"/>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94" t="n"/>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94" t="n"/>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94" t="n"/>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94" t="n"/>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94" t="n"/>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94" t="n"/>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94" t="n"/>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94" t="n"/>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94" t="n"/>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94" t="n"/>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94" t="n"/>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94" t="n"/>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94" t="n"/>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94" t="n"/>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94" t="n"/>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94" t="n"/>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94" t="n"/>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94" t="n"/>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94" t="n"/>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94" t="n"/>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94" t="n"/>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94" t="n"/>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94" t="n"/>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94" t="n"/>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94" t="n"/>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94" t="n"/>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94" t="n"/>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94" t="n"/>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94" t="n"/>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94" t="n"/>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94" t="n"/>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94" t="n"/>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94" t="n"/>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94" t="n"/>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94" t="n"/>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94" t="n"/>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94" t="n"/>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94" t="n"/>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94" t="n"/>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94" t="n"/>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94" t="n"/>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94" t="n"/>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94" t="n"/>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94" t="n"/>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94" t="n"/>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94" t="n"/>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94" t="n"/>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94" t="n"/>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94" t="n"/>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94" t="n"/>
      <c r="B975" s="94" t="n"/>
      <c r="C975" s="94" t="n"/>
      <c r="D975" s="94" t="n"/>
      <c r="E975" s="94" t="n"/>
      <c r="F975" s="94" t="n"/>
      <c r="G975" s="94" t="n"/>
      <c r="H975" s="94"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94" t="n"/>
      <c r="B976" s="94" t="n"/>
      <c r="C976" s="94" t="n"/>
      <c r="D976" s="94" t="n"/>
      <c r="E976" s="94" t="n"/>
      <c r="F976" s="94" t="n"/>
      <c r="G976" s="94" t="n"/>
      <c r="H976" s="94"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94" t="n"/>
      <c r="B977" s="94" t="n"/>
      <c r="C977" s="94" t="n"/>
      <c r="D977" s="94" t="n"/>
      <c r="E977" s="94" t="n"/>
      <c r="F977" s="94" t="n"/>
      <c r="G977" s="94" t="n"/>
      <c r="H977" s="94"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94" t="n"/>
      <c r="B978" s="94" t="n"/>
      <c r="C978" s="94" t="n"/>
      <c r="D978" s="94" t="n"/>
      <c r="E978" s="94" t="n"/>
      <c r="F978" s="94" t="n"/>
      <c r="G978" s="94" t="n"/>
      <c r="H978" s="94"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94" t="n"/>
      <c r="B979" s="94" t="n"/>
      <c r="C979" s="94" t="n"/>
      <c r="D979" s="94" t="n"/>
      <c r="E979" s="94" t="n"/>
      <c r="F979" s="94" t="n"/>
      <c r="G979" s="94" t="n"/>
      <c r="H979" s="94"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94" t="n"/>
      <c r="B980" s="94" t="n"/>
      <c r="C980" s="94" t="n"/>
      <c r="D980" s="94" t="n"/>
      <c r="E980" s="94" t="n"/>
      <c r="F980" s="94" t="n"/>
      <c r="G980" s="94" t="n"/>
      <c r="H980" s="94"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94" t="n"/>
      <c r="B981" s="94" t="n"/>
      <c r="C981" s="94" t="n"/>
      <c r="D981" s="94" t="n"/>
      <c r="E981" s="94" t="n"/>
      <c r="F981" s="94" t="n"/>
      <c r="G981" s="94" t="n"/>
      <c r="H981" s="94"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94" t="n"/>
      <c r="B982" s="94" t="n"/>
      <c r="C982" s="94" t="n"/>
      <c r="D982" s="94" t="n"/>
      <c r="E982" s="94" t="n"/>
      <c r="F982" s="94" t="n"/>
      <c r="G982" s="94" t="n"/>
      <c r="H982" s="94"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94" t="n"/>
      <c r="B983" s="94" t="n"/>
      <c r="C983" s="94" t="n"/>
      <c r="D983" s="94" t="n"/>
      <c r="E983" s="94" t="n"/>
      <c r="F983" s="94" t="n"/>
      <c r="G983" s="94" t="n"/>
      <c r="H983" s="94"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94" t="n"/>
      <c r="B984" s="94" t="n"/>
      <c r="C984" s="94" t="n"/>
      <c r="D984" s="94" t="n"/>
      <c r="E984" s="94" t="n"/>
      <c r="F984" s="94" t="n"/>
      <c r="G984" s="94" t="n"/>
      <c r="H984" s="94"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94" t="n"/>
      <c r="B985" s="94" t="n"/>
      <c r="C985" s="94" t="n"/>
      <c r="D985" s="94" t="n"/>
      <c r="E985" s="94" t="n"/>
      <c r="F985" s="94" t="n"/>
      <c r="G985" s="94" t="n"/>
      <c r="H985" s="94"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94" t="n"/>
      <c r="B986" s="94" t="n"/>
      <c r="C986" s="94" t="n"/>
      <c r="D986" s="94" t="n"/>
      <c r="E986" s="94" t="n"/>
      <c r="F986" s="94" t="n"/>
      <c r="G986" s="94" t="n"/>
      <c r="H986" s="94"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94" t="n"/>
      <c r="B987" s="94" t="n"/>
      <c r="C987" s="94" t="n"/>
      <c r="D987" s="94" t="n"/>
      <c r="E987" s="94" t="n"/>
      <c r="F987" s="94" t="n"/>
      <c r="G987" s="94" t="n"/>
      <c r="H987" s="94"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94" t="n"/>
      <c r="B988" s="94" t="n"/>
      <c r="C988" s="94" t="n"/>
      <c r="D988" s="94" t="n"/>
      <c r="E988" s="94" t="n"/>
      <c r="F988" s="94" t="n"/>
      <c r="G988" s="94" t="n"/>
      <c r="H988" s="94"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94" t="n"/>
      <c r="B989" s="94" t="n"/>
      <c r="C989" s="94" t="n"/>
      <c r="D989" s="94" t="n"/>
      <c r="E989" s="94" t="n"/>
      <c r="F989" s="94" t="n"/>
      <c r="G989" s="94" t="n"/>
      <c r="H989" s="94"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94" t="n"/>
      <c r="B990" s="94" t="n"/>
      <c r="C990" s="94" t="n"/>
      <c r="D990" s="94" t="n"/>
      <c r="E990" s="94" t="n"/>
      <c r="F990" s="94" t="n"/>
      <c r="G990" s="94" t="n"/>
      <c r="H990" s="94"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94" t="n"/>
      <c r="B991" s="94" t="n"/>
      <c r="C991" s="94" t="n"/>
      <c r="D991" s="94" t="n"/>
      <c r="E991" s="94" t="n"/>
      <c r="F991" s="94" t="n"/>
      <c r="G991" s="94" t="n"/>
      <c r="H991" s="94"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94" t="n"/>
      <c r="B992" s="94" t="n"/>
      <c r="C992" s="94" t="n"/>
      <c r="D992" s="94" t="n"/>
      <c r="E992" s="94" t="n"/>
      <c r="F992" s="94" t="n"/>
      <c r="G992" s="94" t="n"/>
      <c r="H992" s="94"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94" t="n"/>
      <c r="B993" s="94" t="n"/>
      <c r="C993" s="94" t="n"/>
      <c r="D993" s="94" t="n"/>
      <c r="E993" s="94" t="n"/>
      <c r="F993" s="94" t="n"/>
      <c r="G993" s="94" t="n"/>
      <c r="H993" s="94"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94" t="n"/>
      <c r="B994" s="94" t="n"/>
      <c r="C994" s="94" t="n"/>
      <c r="D994" s="94" t="n"/>
      <c r="E994" s="94" t="n"/>
      <c r="F994" s="94" t="n"/>
      <c r="G994" s="94" t="n"/>
      <c r="H994" s="94"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94" t="n"/>
      <c r="B995" s="94" t="n"/>
      <c r="C995" s="94" t="n"/>
      <c r="D995" s="94" t="n"/>
      <c r="E995" s="94" t="n"/>
      <c r="F995" s="94" t="n"/>
      <c r="G995" s="94" t="n"/>
      <c r="H995" s="94"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94" t="n"/>
      <c r="B996" s="94" t="n"/>
      <c r="C996" s="94" t="n"/>
      <c r="D996" s="94" t="n"/>
      <c r="E996" s="94" t="n"/>
      <c r="F996" s="94" t="n"/>
      <c r="G996" s="94" t="n"/>
      <c r="H996" s="94"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94" t="n"/>
      <c r="B997" s="94" t="n"/>
      <c r="C997" s="94" t="n"/>
      <c r="D997" s="94" t="n"/>
      <c r="E997" s="94" t="n"/>
      <c r="F997" s="94" t="n"/>
      <c r="G997" s="94" t="n"/>
      <c r="H997" s="94"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94" t="n"/>
      <c r="B998" s="94" t="n"/>
      <c r="C998" s="94" t="n"/>
      <c r="D998" s="94" t="n"/>
      <c r="E998" s="94" t="n"/>
      <c r="F998" s="94" t="n"/>
      <c r="G998" s="94" t="n"/>
      <c r="H998" s="94"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94" t="n"/>
      <c r="B999" s="94" t="n"/>
      <c r="C999" s="94" t="n"/>
      <c r="D999" s="94" t="n"/>
      <c r="E999" s="94" t="n"/>
      <c r="F999" s="94" t="n"/>
      <c r="G999" s="94" t="n"/>
      <c r="H999" s="94"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94" t="n"/>
      <c r="B1000" s="94" t="n"/>
      <c r="C1000" s="94" t="n"/>
      <c r="D1000" s="94" t="n"/>
      <c r="E1000" s="94" t="n"/>
      <c r="F1000" s="94" t="n"/>
      <c r="G1000" s="94" t="n"/>
      <c r="H1000" s="94"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94" t="n"/>
      <c r="B1001" s="94" t="n"/>
      <c r="C1001" s="94" t="n"/>
      <c r="D1001" s="94" t="n"/>
      <c r="E1001" s="94" t="n"/>
      <c r="F1001" s="94" t="n"/>
      <c r="G1001" s="94" t="n"/>
      <c r="H1001" s="94"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94" t="n"/>
      <c r="B1002" s="94" t="n"/>
      <c r="C1002" s="94" t="n"/>
      <c r="D1002" s="94" t="n"/>
      <c r="E1002" s="94" t="n"/>
      <c r="F1002" s="94" t="n"/>
      <c r="G1002" s="94" t="n"/>
      <c r="H1002" s="94"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94" t="n"/>
      <c r="B1003" s="94" t="n"/>
      <c r="C1003" s="94" t="n"/>
      <c r="D1003" s="94" t="n"/>
      <c r="E1003" s="94" t="n"/>
      <c r="F1003" s="94" t="n"/>
      <c r="G1003" s="94" t="n"/>
      <c r="H1003" s="94"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94" t="n"/>
      <c r="B1004" s="94" t="n"/>
      <c r="C1004" s="94" t="n"/>
      <c r="D1004" s="94" t="n"/>
      <c r="E1004" s="94" t="n"/>
      <c r="F1004" s="94" t="n"/>
      <c r="G1004" s="94" t="n"/>
      <c r="H1004" s="94"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94" t="n"/>
      <c r="B1005" s="94" t="n"/>
      <c r="C1005" s="94" t="n"/>
      <c r="D1005" s="94" t="n"/>
      <c r="E1005" s="94" t="n"/>
      <c r="F1005" s="94" t="n"/>
      <c r="G1005" s="94" t="n"/>
      <c r="H1005" s="94"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94" t="n"/>
      <c r="B1006" s="94" t="n"/>
      <c r="C1006" s="94" t="n"/>
      <c r="D1006" s="94" t="n"/>
      <c r="E1006" s="94" t="n"/>
      <c r="F1006" s="94" t="n"/>
      <c r="G1006" s="94" t="n"/>
      <c r="H1006" s="94"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94" t="n"/>
      <c r="B1007" s="94" t="n"/>
      <c r="C1007" s="94" t="n"/>
      <c r="D1007" s="94" t="n"/>
      <c r="E1007" s="94" t="n"/>
      <c r="F1007" s="94" t="n"/>
      <c r="G1007" s="94" t="n"/>
      <c r="H1007" s="94"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94" t="n"/>
      <c r="B1008" s="94" t="n"/>
      <c r="C1008" s="94" t="n"/>
      <c r="D1008" s="94" t="n"/>
      <c r="E1008" s="94" t="n"/>
      <c r="F1008" s="94" t="n"/>
      <c r="G1008" s="94" t="n"/>
      <c r="H1008" s="94"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94" t="n"/>
      <c r="B1009" s="94" t="n"/>
      <c r="C1009" s="94" t="n"/>
      <c r="D1009" s="94" t="n"/>
      <c r="E1009" s="94" t="n"/>
      <c r="F1009" s="94" t="n"/>
      <c r="G1009" s="94" t="n"/>
      <c r="H1009" s="94"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94" t="n"/>
      <c r="B1010" s="94" t="n"/>
      <c r="C1010" s="94" t="n"/>
      <c r="D1010" s="94" t="n"/>
      <c r="E1010" s="94" t="n"/>
      <c r="F1010" s="94" t="n"/>
      <c r="G1010" s="94" t="n"/>
      <c r="H1010" s="94"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94" t="n"/>
      <c r="B1011" s="94" t="n"/>
      <c r="C1011" s="94" t="n"/>
      <c r="D1011" s="94" t="n"/>
      <c r="E1011" s="94" t="n"/>
      <c r="F1011" s="94" t="n"/>
      <c r="G1011" s="94" t="n"/>
      <c r="H1011" s="94"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94" t="n"/>
      <c r="B1012" s="94" t="n"/>
      <c r="C1012" s="94" t="n"/>
      <c r="D1012" s="94" t="n"/>
      <c r="E1012" s="94" t="n"/>
      <c r="F1012" s="94" t="n"/>
      <c r="G1012" s="94" t="n"/>
      <c r="H1012" s="94"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94" t="n"/>
      <c r="B1013" s="94" t="n"/>
      <c r="C1013" s="94" t="n"/>
      <c r="D1013" s="94" t="n"/>
      <c r="E1013" s="94" t="n"/>
      <c r="F1013" s="94" t="n"/>
      <c r="G1013" s="94" t="n"/>
      <c r="H1013" s="94"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94" t="n"/>
      <c r="B1014" s="94" t="n"/>
      <c r="C1014" s="94" t="n"/>
      <c r="D1014" s="94" t="n"/>
      <c r="E1014" s="94" t="n"/>
      <c r="F1014" s="94" t="n"/>
      <c r="G1014" s="94" t="n"/>
      <c r="H1014" s="94"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94" t="n"/>
      <c r="B1015" s="94" t="n"/>
      <c r="C1015" s="94" t="n"/>
      <c r="D1015" s="94" t="n"/>
      <c r="E1015" s="94" t="n"/>
      <c r="F1015" s="94" t="n"/>
      <c r="G1015" s="94" t="n"/>
      <c r="H1015" s="94"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sheetData>
  <mergeCells count="26">
    <mergeCell ref="B7:C7"/>
    <mergeCell ref="A4:G4"/>
    <mergeCell ref="D42:G42"/>
    <mergeCell ref="B12:C12"/>
    <mergeCell ref="A44:G44"/>
    <mergeCell ref="B11:C11"/>
    <mergeCell ref="D35:G35"/>
    <mergeCell ref="A39:G39"/>
    <mergeCell ref="A48:G48"/>
    <mergeCell ref="B8:C8"/>
    <mergeCell ref="A49:G49"/>
    <mergeCell ref="A45:G45"/>
    <mergeCell ref="B13:C13"/>
    <mergeCell ref="D40:G40"/>
    <mergeCell ref="A1:G1"/>
    <mergeCell ref="D36:G36"/>
    <mergeCell ref="B10:C10"/>
    <mergeCell ref="B9:C9"/>
    <mergeCell ref="A46:G46"/>
    <mergeCell ref="B6:C6"/>
    <mergeCell ref="D41:G41"/>
    <mergeCell ref="B5:C5"/>
    <mergeCell ref="A50:G50"/>
    <mergeCell ref="A2:G2"/>
    <mergeCell ref="D37:G37"/>
    <mergeCell ref="A47:G47"/>
  </mergeCells>
  <dataValidations count="25">
    <dataValidation sqref="C26" showDropDown="0" showInputMessage="0" showErrorMessage="0" allowBlank="1" type="list" errorStyle="stop" operator="between">
      <formula1>"20%,None"</formula1>
      <formula2>0</formula2>
    </dataValidation>
    <dataValidation sqref="C27" showDropDown="0" showInputMessage="0" showErrorMessage="0" allowBlank="1" type="list" errorStyle="stop" operator="between">
      <formula1>"5%,None"</formula1>
      <formula2>0</formula2>
    </dataValidation>
    <dataValidation sqref="C21" showDropDown="0" showInputMessage="0" showErrorMessage="0" allowBlank="1" type="list" errorStyle="stop" operator="between">
      <formula1>"0.00,0.05,0.07,0.08,0.10,0.12,0.15"</formula1>
      <formula2>0</formula2>
    </dataValidation>
    <dataValidation sqref="C25" showDropDown="0" showInputMessage="0" showErrorMessage="0" allowBlank="1" type="list" errorStyle="stop" operator="between">
      <formula1>"20%,21.5%,None"</formula1>
      <formula2>0</formula2>
    </dataValidation>
    <dataValidation sqref="B8" showDropDown="0" showInputMessage="0" showErrorMessage="0" allowBlank="1" type="list" errorStyle="stop" operator="between">
      <formula1>"Plated,Buffet,Family Style,Stations,Passed,Reception"</formula1>
      <formula2>0</formula2>
    </dataValidation>
    <dataValidation sqref="B9" showDropDown="0" showInputMessage="0" showErrorMessage="0" allowBlank="1" type="list" errorStyle="stop" operator="between">
      <formula1>"Beer and Wine,2 Glasses of Wine PP,Full Bar,On Consumption"</formula1>
      <formula2>0</formula2>
    </dataValidation>
    <dataValidation sqref="C22" showDropDown="0" showInputMessage="0" showErrorMessage="0" allowBlank="1" type="list" errorStyle="stop" operator="between">
      <formula1>"Yes,No"</formula1>
      <formula2>0</formula2>
    </dataValidation>
    <dataValidation sqref="B23" showDropDown="0" showInputMessage="0" showErrorMessage="0" allowBlank="0" prompt="Select markup percentage" type="list">
      <formula1>"0.50,0.55,0.60,0.65,0.70,0.75,0.80,0.85,0.90,0.95,1.00,1.25,1.50,1.75,2.00"</formula1>
    </dataValidation>
    <dataValidation sqref="B24" showDropDown="0" showInputMessage="0" showErrorMessage="0" allowBlank="0" prompt="Select markup percentage" type="list">
      <formula1>"0.50,0.55,0.60,0.65,0.70,0.75,0.80,0.85,0.90,0.95,1.00,1.25,1.50,1.75,2.00"</formula1>
    </dataValidation>
    <dataValidation sqref="B25" showDropDown="0" showInputMessage="0" showErrorMessage="0" allowBlank="0" prompt="Select markup percentage" type="list">
      <formula1>"0.50,0.55,0.60,0.65,0.70,0.75,0.80,0.85,0.90,0.95,1.00,1.25,1.50,1.75,2.00"</formula1>
    </dataValidation>
    <dataValidation sqref="B26" showDropDown="0" showInputMessage="0" showErrorMessage="0" allowBlank="0" prompt="Select markup percentage" type="list">
      <formula1>"0.50,0.55,0.60,0.65,0.70,0.75,0.80,0.85,0.90,0.95,1.00,1.25,1.50,1.75,2.00"</formula1>
    </dataValidation>
    <dataValidation sqref="B27" showDropDown="0" showInputMessage="0" showErrorMessage="0" allowBlank="0" prompt="Select markup percentage" type="list">
      <formula1>"0.50,0.55,0.60,0.65,0.70,0.75,0.80,0.85,0.90,0.95,1.00,1.25,1.50,1.75,2.00"</formula1>
    </dataValidation>
    <dataValidation sqref="B28" showDropDown="0" showInputMessage="0" showErrorMessage="0" allowBlank="0" prompt="Select markup percentage" type="list">
      <formula1>"0.50,0.55,0.60,0.65,0.70,0.75,0.80,0.85,0.90,0.95,1.00,1.25,1.50,1.75,2.00"</formula1>
    </dataValidation>
    <dataValidation sqref="B29" showDropDown="0" showInputMessage="0" showErrorMessage="0" allowBlank="0" prompt="Select markup percentage" type="list">
      <formula1>"0.50,0.55,0.60,0.65,0.70,0.75,0.80,0.85,0.90,0.95,1.00,1.25,1.50,1.75,2.00"</formula1>
    </dataValidation>
    <dataValidation sqref="B30" showDropDown="0" showInputMessage="0" showErrorMessage="0" allowBlank="0" prompt="Select markup percentage" type="list">
      <formula1>"0.50,0.55,0.60,0.65,0.70,0.75,0.80,0.85,0.90,0.95,1.00,1.25,1.50,1.75,2.00"</formula1>
    </dataValidation>
    <dataValidation sqref="B31" showDropDown="0" showInputMessage="0" showErrorMessage="0" allowBlank="0" prompt="Select markup percentage" type="list">
      <formula1>"0.50,0.55,0.60,0.65,0.70,0.75,0.80,0.85,0.90,0.95,1.00,1.25,1.50,1.75,2.00"</formula1>
    </dataValidation>
    <dataValidation sqref="B32" showDropDown="0" showInputMessage="0" showErrorMessage="0" allowBlank="0" prompt="Select markup percentage" type="list">
      <formula1>"0.50,0.55,0.60,0.65,0.70,0.75,0.80,0.85,0.90,0.95,1.00,1.25,1.50,1.75,2.00"</formula1>
    </dataValidation>
    <dataValidation sqref="B33" showDropDown="0" showInputMessage="0" showErrorMessage="0" allowBlank="0" prompt="Select markup percentage" type="list">
      <formula1>"0.50,0.55,0.60,0.65,0.70,0.75,0.80,0.85,0.90,0.95,1.00,1.25,1.50,1.75,2.00"</formula1>
    </dataValidation>
    <dataValidation sqref="C40" showDropDown="0" showInputMessage="0" showErrorMessage="0" allowBlank="0" type="list">
      <formula1>"20%,21.5%,None"</formula1>
    </dataValidation>
    <dataValidation sqref="C41" showDropDown="0" showInputMessage="0" showErrorMessage="0" allowBlank="0" type="list">
      <formula1>"20%,None"</formula1>
    </dataValidation>
    <dataValidation sqref="C42" showDropDown="0" showInputMessage="0" showErrorMessage="0" allowBlank="0" type="list">
      <formula1>"5%,None"</formula1>
    </dataValidation>
    <dataValidation sqref="C37" showDropDown="0" showInputMessage="0" showErrorMessage="0" allowBlank="0" type="list">
      <formula1>"Yes,No"</formula1>
    </dataValidation>
    <dataValidation sqref="C36" showDropDown="0" showInputMessage="0" showErrorMessage="0" allowBlank="0" type="list">
      <formula1>"0.00,0.05,0.07,0.08,0.10,0.12,0.15"</formula1>
    </dataValidation>
    <dataValidation sqref="B16" showDropDown="0" showInputMessage="0" showErrorMessage="0" allowBlank="1" type="list">
      <formula1>LocationList</formula1>
    </dataValidation>
    <dataValidation sqref="C35" showDropDown="0" showInputMessage="0" showErrorMessage="0" allowBlank="0" type="list">
      <formula1>"0,0.035,0.04,0.045,0.05"</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Z10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6" customWidth="1" style="89" min="1" max="1"/>
    <col width="14" customWidth="1" style="89" min="2" max="3"/>
    <col width="16" customWidth="1" style="89" min="4" max="5"/>
    <col width="12" customWidth="1" style="89" min="6" max="6"/>
    <col width="42" customWidth="1" style="89" min="7" max="7"/>
    <col width="3" customWidth="1" style="89" min="8" max="8"/>
    <col width="30" customWidth="1" style="89" min="9" max="9"/>
    <col width="18" customWidth="1" style="89" min="10" max="10"/>
    <col width="14" customWidth="1" style="89" min="11" max="11"/>
    <col width="8.710000000000001" customWidth="1" style="89" min="12" max="26"/>
  </cols>
  <sheetData>
    <row r="1" ht="62.25" customHeight="1" s="90">
      <c r="A1" s="91" t="n"/>
      <c r="B1" s="92" t="n"/>
      <c r="C1" s="92" t="n"/>
      <c r="D1" s="92" t="n"/>
      <c r="E1" s="92" t="n"/>
      <c r="F1" s="92" t="n"/>
      <c r="G1" s="93" t="n"/>
      <c r="H1" s="94" t="n"/>
      <c r="I1" s="94" t="n"/>
      <c r="J1" s="94" t="n"/>
      <c r="K1" s="94" t="n"/>
      <c r="L1" s="94" t="n"/>
      <c r="M1" s="94" t="n"/>
      <c r="N1" s="94" t="n"/>
      <c r="O1" s="94" t="n"/>
      <c r="P1" s="94" t="n"/>
      <c r="Q1" s="94" t="n"/>
      <c r="R1" s="94" t="n"/>
      <c r="S1" s="94" t="n"/>
      <c r="T1" s="94" t="n"/>
      <c r="U1" s="94" t="n"/>
      <c r="V1" s="94" t="n"/>
      <c r="W1" s="94" t="n"/>
      <c r="X1" s="94" t="n"/>
      <c r="Y1" s="94" t="n"/>
      <c r="Z1" s="94" t="n"/>
    </row>
    <row r="2" ht="21.75" customHeight="1" s="90">
      <c r="A2" s="95" t="inlineStr">
        <is>
          <t>Restaurant / Venue Estimate</t>
        </is>
      </c>
      <c r="B2" s="92" t="n"/>
      <c r="C2" s="92" t="n"/>
      <c r="D2" s="92" t="n"/>
      <c r="E2" s="92" t="n"/>
      <c r="F2" s="92" t="n"/>
      <c r="G2" s="93" t="n"/>
      <c r="H2" s="94" t="n"/>
      <c r="I2" s="94" t="n"/>
      <c r="J2" s="94" t="n"/>
      <c r="K2" s="94" t="n"/>
      <c r="L2" s="94" t="n"/>
      <c r="M2" s="94" t="n"/>
      <c r="N2" s="94" t="n"/>
      <c r="O2" s="94" t="n"/>
      <c r="P2" s="94" t="n"/>
      <c r="Q2" s="94" t="n"/>
      <c r="R2" s="94" t="n"/>
      <c r="S2" s="94" t="n"/>
      <c r="T2" s="94" t="n"/>
      <c r="U2" s="94" t="n"/>
      <c r="V2" s="94" t="n"/>
      <c r="W2" s="94" t="n"/>
      <c r="X2" s="94" t="n"/>
      <c r="Y2" s="94" t="n"/>
      <c r="Z2" s="94" t="n"/>
    </row>
    <row r="3" ht="6" customHeight="1" s="90">
      <c r="A3" s="94" t="n"/>
      <c r="B3" s="94" t="n"/>
      <c r="C3" s="94" t="n"/>
      <c r="D3" s="94" t="n"/>
      <c r="E3" s="94" t="n"/>
      <c r="F3" s="94" t="n"/>
      <c r="G3" s="94" t="n"/>
      <c r="H3" s="94" t="n"/>
      <c r="I3" s="94" t="n"/>
      <c r="J3" s="94" t="n"/>
      <c r="K3" s="94" t="n"/>
      <c r="L3" s="94" t="n"/>
      <c r="M3" s="94" t="n"/>
      <c r="N3" s="94" t="n"/>
      <c r="O3" s="94" t="n"/>
      <c r="P3" s="94" t="n"/>
      <c r="Q3" s="94" t="n"/>
      <c r="R3" s="94" t="n"/>
      <c r="S3" s="94" t="n"/>
      <c r="T3" s="94" t="n"/>
      <c r="U3" s="94" t="n"/>
      <c r="V3" s="94" t="n"/>
      <c r="W3" s="94" t="n"/>
      <c r="X3" s="94" t="n"/>
      <c r="Y3" s="94" t="n"/>
      <c r="Z3" s="94" t="n"/>
    </row>
    <row r="4" ht="27.75" customHeight="1" s="90">
      <c r="A4" s="96" t="inlineStr">
        <is>
          <t>VENUE DETAILS</t>
        </is>
      </c>
      <c r="B4" s="92" t="n"/>
      <c r="C4" s="92" t="n"/>
      <c r="D4" s="92" t="n"/>
      <c r="E4" s="92" t="n"/>
      <c r="F4" s="92" t="n"/>
      <c r="G4" s="93" t="n"/>
      <c r="H4" s="94" t="n"/>
      <c r="I4" s="96" t="inlineStr">
        <is>
          <t>CLIENT-READY TABLE</t>
        </is>
      </c>
      <c r="J4" s="92" t="n"/>
      <c r="K4" s="93" t="n"/>
      <c r="L4" s="94" t="n"/>
      <c r="M4" s="94" t="n"/>
      <c r="N4" s="94" t="n"/>
      <c r="O4" s="94" t="n"/>
      <c r="P4" s="94" t="n"/>
      <c r="Q4" s="94" t="n"/>
      <c r="R4" s="94" t="n"/>
      <c r="S4" s="94" t="n"/>
      <c r="T4" s="94" t="n"/>
      <c r="U4" s="94" t="n"/>
      <c r="V4" s="94" t="n"/>
      <c r="W4" s="94" t="n"/>
      <c r="X4" s="94" t="n"/>
      <c r="Y4" s="94" t="n"/>
      <c r="Z4" s="94" t="n"/>
    </row>
    <row r="5" ht="27.75" customHeight="1" s="90">
      <c r="A5" s="97" t="inlineStr">
        <is>
          <t>Venue / Restaurant Name:</t>
        </is>
      </c>
      <c r="B5" s="98" t="n"/>
      <c r="C5" s="93" t="n"/>
      <c r="D5" s="99" t="n"/>
      <c r="E5" s="99" t="n"/>
      <c r="F5" s="99" t="n"/>
      <c r="G5" s="99" t="n"/>
      <c r="H5" s="94" t="n"/>
      <c r="I5" s="127" t="inlineStr">
        <is>
          <t>Copy &amp; paste into Canva</t>
        </is>
      </c>
      <c r="J5" s="92" t="n"/>
      <c r="K5" s="93" t="n"/>
      <c r="L5" s="94" t="n"/>
      <c r="M5" s="94" t="n"/>
      <c r="N5" s="94" t="n"/>
      <c r="O5" s="94" t="n"/>
      <c r="P5" s="94" t="n"/>
      <c r="Q5" s="94" t="n"/>
      <c r="R5" s="94" t="n"/>
      <c r="S5" s="94" t="n"/>
      <c r="T5" s="94" t="n"/>
      <c r="U5" s="94" t="n"/>
      <c r="V5" s="94" t="n"/>
      <c r="W5" s="94" t="n"/>
      <c r="X5" s="94" t="n"/>
      <c r="Y5" s="94" t="n"/>
      <c r="Z5" s="94" t="n"/>
    </row>
    <row r="6" ht="15" customHeight="1" s="90">
      <c r="A6" s="97" t="inlineStr">
        <is>
          <t>Room / Space:</t>
        </is>
      </c>
      <c r="B6" s="98" t="n"/>
      <c r="C6" s="93" t="n"/>
      <c r="D6" s="99" t="n"/>
      <c r="E6" s="99" t="n"/>
      <c r="F6" s="99" t="n"/>
      <c r="G6" s="99" t="n"/>
      <c r="H6" s="94" t="n"/>
      <c r="I6" s="128" t="n"/>
      <c r="J6" s="128" t="n"/>
      <c r="K6" s="128" t="n"/>
      <c r="L6" s="94" t="n"/>
      <c r="M6" s="94" t="n"/>
      <c r="N6" s="94" t="n"/>
      <c r="O6" s="94" t="n"/>
      <c r="P6" s="94" t="n"/>
      <c r="Q6" s="94" t="n"/>
      <c r="R6" s="94" t="n"/>
      <c r="S6" s="94" t="n"/>
      <c r="T6" s="94" t="n"/>
      <c r="U6" s="94" t="n"/>
      <c r="V6" s="94" t="n"/>
      <c r="W6" s="94" t="n"/>
      <c r="X6" s="94" t="n"/>
      <c r="Y6" s="94" t="n"/>
      <c r="Z6" s="94" t="n"/>
    </row>
    <row r="7" ht="27.75" customHeight="1" s="90">
      <c r="A7" s="97" t="inlineStr">
        <is>
          <t>F&amp;B Minimum:</t>
        </is>
      </c>
      <c r="B7" s="129" t="n"/>
      <c r="C7" s="93" t="n"/>
      <c r="D7" s="99" t="n"/>
      <c r="E7" s="99" t="n"/>
      <c r="F7" s="99" t="n"/>
      <c r="G7" s="99" t="n"/>
      <c r="H7" s="94" t="n"/>
      <c r="I7" s="130" t="inlineStr">
        <is>
          <t>PRIVATE DINING ESTIMATE</t>
        </is>
      </c>
      <c r="J7" s="92" t="n"/>
      <c r="K7" s="93" t="n"/>
      <c r="L7" s="94" t="n"/>
      <c r="M7" s="94" t="n"/>
      <c r="N7" s="94" t="n"/>
      <c r="O7" s="94" t="n"/>
      <c r="P7" s="94" t="n"/>
      <c r="Q7" s="94" t="n"/>
      <c r="R7" s="94" t="n"/>
      <c r="S7" s="94" t="n"/>
      <c r="T7" s="94" t="n"/>
      <c r="U7" s="94" t="n"/>
      <c r="V7" s="94" t="n"/>
      <c r="W7" s="94" t="n"/>
      <c r="X7" s="94" t="n"/>
      <c r="Y7" s="94" t="n"/>
      <c r="Z7" s="94" t="n"/>
    </row>
    <row r="8" ht="27.75" customHeight="1" s="90">
      <c r="A8" s="97" t="inlineStr">
        <is>
          <t>Is Venue Rental Taxable?</t>
        </is>
      </c>
      <c r="B8" s="98" t="inlineStr">
        <is>
          <t>Yes</t>
        </is>
      </c>
      <c r="C8" s="93" t="n"/>
      <c r="D8" s="99" t="n"/>
      <c r="E8" s="99" t="n"/>
      <c r="F8" s="99" t="n"/>
      <c r="G8" s="99" t="n"/>
      <c r="H8" s="94" t="n"/>
      <c r="I8" s="131">
        <f>'Client Setup'!B5</f>
        <v/>
      </c>
      <c r="J8" s="93" t="n"/>
      <c r="K8" s="132">
        <f>B5</f>
        <v/>
      </c>
      <c r="L8" s="94" t="n"/>
      <c r="M8" s="94" t="n"/>
      <c r="N8" s="94" t="n"/>
      <c r="O8" s="94" t="n"/>
      <c r="P8" s="94" t="n"/>
      <c r="Q8" s="94" t="n"/>
      <c r="R8" s="94" t="n"/>
      <c r="S8" s="94" t="n"/>
      <c r="T8" s="94" t="n"/>
      <c r="U8" s="94" t="n"/>
      <c r="V8" s="94" t="n"/>
      <c r="W8" s="94" t="n"/>
      <c r="X8" s="94" t="n"/>
      <c r="Y8" s="94" t="n"/>
      <c r="Z8" s="94" t="n"/>
    </row>
    <row r="9" ht="21.75" customHeight="1" s="90">
      <c r="A9" s="127" t="inlineStr">
        <is>
          <t>Client:</t>
        </is>
      </c>
      <c r="B9" s="133">
        <f>'Client Setup'!B5</f>
        <v/>
      </c>
      <c r="C9" s="93" t="n"/>
      <c r="D9" s="99" t="n"/>
      <c r="E9" s="99" t="n"/>
      <c r="F9" s="99" t="n"/>
      <c r="G9" s="99" t="n"/>
      <c r="H9" s="94" t="n"/>
      <c r="I9" s="134">
        <f>TEXT('Client Setup'!B6,"MMMM D, YYYY")</f>
        <v/>
      </c>
      <c r="J9" s="93" t="n"/>
      <c r="K9" s="132">
        <f>'Client Setup'!B7&amp;" Guests"</f>
        <v/>
      </c>
      <c r="L9" s="94" t="n"/>
      <c r="M9" s="94" t="n"/>
      <c r="N9" s="94" t="n"/>
      <c r="O9" s="94" t="n"/>
      <c r="P9" s="94" t="n"/>
      <c r="Q9" s="94" t="n"/>
      <c r="R9" s="94" t="n"/>
      <c r="S9" s="94" t="n"/>
      <c r="T9" s="94" t="n"/>
      <c r="U9" s="94" t="n"/>
      <c r="V9" s="94" t="n"/>
      <c r="W9" s="94" t="n"/>
      <c r="X9" s="94" t="n"/>
      <c r="Y9" s="94" t="n"/>
      <c r="Z9" s="94" t="n"/>
    </row>
    <row r="10" ht="6" customHeight="1" s="90">
      <c r="A10" s="127" t="inlineStr">
        <is>
          <t>Guest Count:</t>
        </is>
      </c>
      <c r="B10" s="135">
        <f>'Client Setup'!B7</f>
        <v/>
      </c>
      <c r="C10" s="93" t="n"/>
      <c r="D10" s="99" t="n"/>
      <c r="E10" s="99" t="n"/>
      <c r="F10" s="99" t="n"/>
      <c r="G10" s="99" t="n"/>
      <c r="H10" s="94" t="n"/>
      <c r="I10" s="128" t="n"/>
      <c r="J10" s="128" t="n"/>
      <c r="K10" s="128" t="n"/>
      <c r="L10" s="94" t="n"/>
      <c r="M10" s="94" t="n"/>
      <c r="N10" s="94" t="n"/>
      <c r="O10" s="94" t="n"/>
      <c r="P10" s="94" t="n"/>
      <c r="Q10" s="94" t="n"/>
      <c r="R10" s="94" t="n"/>
      <c r="S10" s="94" t="n"/>
      <c r="T10" s="94" t="n"/>
      <c r="U10" s="94" t="n"/>
      <c r="V10" s="94" t="n"/>
      <c r="W10" s="94" t="n"/>
      <c r="X10" s="94" t="n"/>
      <c r="Y10" s="94" t="n"/>
      <c r="Z10" s="94" t="n"/>
    </row>
    <row r="11" ht="21.75" customHeight="1" s="90">
      <c r="A11" s="127" t="inlineStr">
        <is>
          <t>Location:</t>
        </is>
      </c>
      <c r="B11" s="133">
        <f>'Client Setup'!B16</f>
        <v/>
      </c>
      <c r="C11" s="93" t="n"/>
      <c r="D11" s="99" t="n"/>
      <c r="E11" s="99" t="n"/>
      <c r="F11" s="99" t="n"/>
      <c r="G11" s="99" t="n"/>
      <c r="H11" s="94" t="n"/>
      <c r="I11" s="136" t="inlineStr">
        <is>
          <t>Item</t>
        </is>
      </c>
      <c r="J11" s="137" t="inlineStr">
        <is>
          <t>Amount</t>
        </is>
      </c>
      <c r="K11" s="137" t="inlineStr">
        <is>
          <t>PP Price</t>
        </is>
      </c>
      <c r="L11" s="94" t="n"/>
      <c r="M11" s="94" t="n"/>
      <c r="N11" s="94" t="n"/>
      <c r="O11" s="94" t="n"/>
      <c r="P11" s="94" t="n"/>
      <c r="Q11" s="94" t="n"/>
      <c r="R11" s="94" t="n"/>
      <c r="S11" s="94" t="n"/>
      <c r="T11" s="94" t="n"/>
      <c r="U11" s="94" t="n"/>
      <c r="V11" s="94" t="n"/>
      <c r="W11" s="94" t="n"/>
      <c r="X11" s="94" t="n"/>
      <c r="Y11" s="94" t="n"/>
      <c r="Z11" s="94" t="n"/>
    </row>
    <row r="12" ht="25.5" customHeight="1" s="90">
      <c r="A12" s="114" t="inlineStr">
        <is>
          <t>Company:</t>
        </is>
      </c>
      <c r="B12" s="138">
        <f>'Client Setup'!B11</f>
        <v/>
      </c>
      <c r="C12" s="105" t="n"/>
      <c r="D12" s="105" t="n"/>
      <c r="E12" s="105" t="n"/>
      <c r="F12" s="105" t="n"/>
      <c r="G12" s="105" t="n"/>
    </row>
    <row r="13" ht="25.5" customHeight="1" s="90">
      <c r="A13" s="114" t="inlineStr">
        <is>
          <t>Program:</t>
        </is>
      </c>
      <c r="B13" s="138">
        <f>'Client Setup'!B12</f>
        <v/>
      </c>
      <c r="C13" s="105" t="n"/>
      <c r="D13" s="105" t="n"/>
      <c r="E13" s="105" t="n"/>
      <c r="F13" s="105" t="n"/>
      <c r="G13" s="105" t="n"/>
    </row>
    <row r="14" ht="25.5" customHeight="1" s="90">
      <c r="A14" s="114" t="inlineStr">
        <is>
          <t>Client Hotel:</t>
        </is>
      </c>
      <c r="B14" s="138">
        <f>'Client Setup'!B13</f>
        <v/>
      </c>
      <c r="C14" s="105" t="n"/>
      <c r="D14" s="105" t="n"/>
      <c r="E14" s="105" t="n"/>
      <c r="F14" s="105" t="n"/>
      <c r="G14" s="105" t="n"/>
    </row>
    <row r="15" ht="25.5" customHeight="1" s="90">
      <c r="A15" s="114" t="inlineStr">
        <is>
          <t>Event Time:</t>
        </is>
      </c>
      <c r="B15" s="199">
        <f>'Client Setup'!B10</f>
        <v/>
      </c>
      <c r="C15" s="200" t="n"/>
      <c r="D15" s="200" t="n"/>
      <c r="E15" s="200" t="n"/>
      <c r="F15" s="200" t="n"/>
      <c r="G15" s="200" t="n"/>
      <c r="H15" s="94" t="n"/>
      <c r="I15" s="134" t="inlineStr">
        <is>
          <t>Menu</t>
        </is>
      </c>
      <c r="J15" s="139">
        <f>ROUNDUP((E24+E26)/50,0)*50</f>
        <v/>
      </c>
      <c r="K15" s="140">
        <f>IF('Client Setup'!B7&gt;0,CEILING(J12/'Client Setup'!B7,1),0)</f>
        <v/>
      </c>
      <c r="L15" s="94" t="n"/>
      <c r="M15" s="94" t="n"/>
      <c r="N15" s="94" t="n"/>
      <c r="O15" s="94" t="n"/>
      <c r="P15" s="94" t="n"/>
      <c r="Q15" s="94" t="n"/>
      <c r="R15" s="94" t="n"/>
      <c r="S15" s="94" t="n"/>
      <c r="T15" s="94" t="n"/>
      <c r="U15" s="94" t="n"/>
      <c r="V15" s="94" t="n"/>
      <c r="W15" s="94" t="n"/>
      <c r="X15" s="94" t="n"/>
      <c r="Y15" s="94" t="n"/>
      <c r="Z15" s="94" t="n"/>
    </row>
    <row r="16" ht="25.5" customHeight="1" s="90">
      <c r="A16" s="96" t="inlineStr">
        <is>
          <t>VENUE FEE OVERRIDES (defaults from Client Setup — change yellow fields to override)</t>
        </is>
      </c>
      <c r="H16" s="94" t="n"/>
      <c r="I16" s="134" t="inlineStr">
        <is>
          <t>Bar Package</t>
        </is>
      </c>
      <c r="J16" s="139">
        <f>ROUNDUP(E25/50,0)*50</f>
        <v/>
      </c>
      <c r="K16" s="140">
        <f>IF('Client Setup'!B7&gt;0,CEILING(J13/'Client Setup'!B7,1),0)</f>
        <v/>
      </c>
      <c r="L16" s="94" t="n"/>
      <c r="M16" s="94" t="n"/>
      <c r="N16" s="94" t="n"/>
      <c r="O16" s="94" t="n"/>
      <c r="P16" s="94" t="n"/>
      <c r="Q16" s="94" t="n"/>
      <c r="R16" s="94" t="n"/>
      <c r="S16" s="94" t="n"/>
      <c r="T16" s="94" t="n"/>
      <c r="U16" s="94" t="n"/>
      <c r="V16" s="94" t="n"/>
      <c r="W16" s="94" t="n"/>
      <c r="X16" s="94" t="n"/>
      <c r="Y16" s="94" t="n"/>
      <c r="Z16" s="94" t="n"/>
    </row>
    <row r="17" ht="25.5" customHeight="1" s="90">
      <c r="A17" s="107" t="inlineStr">
        <is>
          <t>Service Charge:</t>
        </is>
      </c>
      <c r="B17" s="99" t="n"/>
      <c r="C17" s="141">
        <f>'Client Setup'!C40</f>
        <v/>
      </c>
      <c r="D17" s="106" t="inlineStr">
        <is>
          <t>20%, 21.5%, or None</t>
        </is>
      </c>
      <c r="H17" s="94" t="n"/>
      <c r="I17" s="134" t="inlineStr">
        <is>
          <t>Staffing</t>
        </is>
      </c>
      <c r="J17" s="139">
        <f>ROUNDUP((E28+SUM(E38:E40))/50,0)*50</f>
        <v/>
      </c>
      <c r="K17" s="140">
        <f>IF('Client Setup'!B7&gt;0,CEILING(J14/'Client Setup'!B7,1),0)</f>
        <v/>
      </c>
      <c r="L17" s="94" t="n"/>
      <c r="M17" s="94" t="n"/>
      <c r="N17" s="94" t="n"/>
      <c r="O17" s="94" t="n"/>
      <c r="P17" s="94" t="n"/>
      <c r="Q17" s="94" t="n"/>
      <c r="R17" s="94" t="n"/>
      <c r="S17" s="94" t="n"/>
      <c r="T17" s="94" t="n"/>
      <c r="U17" s="94" t="n"/>
      <c r="V17" s="94" t="n"/>
      <c r="W17" s="94" t="n"/>
      <c r="X17" s="94" t="n"/>
      <c r="Y17" s="94" t="n"/>
      <c r="Z17" s="94" t="n"/>
    </row>
    <row r="18" ht="25.5" customHeight="1" s="90">
      <c r="A18" s="107" t="inlineStr">
        <is>
          <t>Gratuity:</t>
        </is>
      </c>
      <c r="B18" s="99" t="n"/>
      <c r="C18" s="141">
        <f>'Client Setup'!C41</f>
        <v/>
      </c>
      <c r="D18" s="106" t="inlineStr">
        <is>
          <t>20% or None</t>
        </is>
      </c>
      <c r="H18" s="94" t="n"/>
      <c r="I18" s="134" t="inlineStr">
        <is>
          <t>Equipment</t>
        </is>
      </c>
      <c r="J18" s="139">
        <f>ROUNDUP((E29+E30+E31)/50,0)*50</f>
        <v/>
      </c>
      <c r="K18" s="140">
        <f>IF('Client Setup'!B7&gt;0,CEILING(J15/'Client Setup'!B7,1),0)</f>
        <v/>
      </c>
      <c r="L18" s="94" t="n"/>
      <c r="M18" s="94" t="n"/>
      <c r="N18" s="94" t="n"/>
      <c r="O18" s="94" t="n"/>
      <c r="P18" s="94" t="n"/>
      <c r="Q18" s="94" t="n"/>
      <c r="R18" s="94" t="n"/>
      <c r="S18" s="94" t="n"/>
      <c r="T18" s="94" t="n"/>
      <c r="U18" s="94" t="n"/>
      <c r="V18" s="94" t="n"/>
      <c r="W18" s="94" t="n"/>
      <c r="X18" s="94" t="n"/>
      <c r="Y18" s="94" t="n"/>
      <c r="Z18" s="94" t="n"/>
    </row>
    <row r="19" ht="25.5" customHeight="1" s="90">
      <c r="A19" s="107" t="inlineStr">
        <is>
          <t>Admin Fee:</t>
        </is>
      </c>
      <c r="B19" s="99" t="n"/>
      <c r="C19" s="141">
        <f>'Client Setup'!C42</f>
        <v/>
      </c>
      <c r="D19" s="106" t="inlineStr">
        <is>
          <t>5% or None</t>
        </is>
      </c>
      <c r="H19" s="94" t="n"/>
      <c r="I19" s="134" t="inlineStr">
        <is>
          <t>Venue Rental</t>
        </is>
      </c>
      <c r="J19" s="139">
        <f>ROUNDUP((E33+E34+E35)/50,0)*50</f>
        <v/>
      </c>
      <c r="K19" s="140">
        <f>IF('Client Setup'!B7&gt;0,CEILING(J16/'Client Setup'!B7,1),0)</f>
        <v/>
      </c>
      <c r="L19" s="94" t="n"/>
      <c r="M19" s="94" t="n"/>
      <c r="N19" s="94" t="n"/>
      <c r="O19" s="94" t="n"/>
      <c r="P19" s="94" t="n"/>
      <c r="Q19" s="94" t="n"/>
      <c r="R19" s="94" t="n"/>
      <c r="S19" s="94" t="n"/>
      <c r="T19" s="94" t="n"/>
      <c r="U19" s="94" t="n"/>
      <c r="V19" s="94" t="n"/>
      <c r="W19" s="94" t="n"/>
      <c r="X19" s="94" t="n"/>
      <c r="Y19" s="94" t="n"/>
      <c r="Z19" s="94" t="n"/>
    </row>
    <row r="20" ht="30" customHeight="1" s="90">
      <c r="A20" s="94" t="n"/>
      <c r="B20" s="94" t="n"/>
      <c r="C20" s="94" t="n"/>
      <c r="D20" s="94" t="n"/>
      <c r="E20" s="94" t="n"/>
      <c r="F20" s="94" t="n"/>
      <c r="G20" s="94" t="n"/>
      <c r="H20" s="94" t="n"/>
      <c r="I20" s="134" t="inlineStr">
        <is>
          <t>Production Fee</t>
        </is>
      </c>
      <c r="J20" s="139">
        <f>ROUNDUP((E51+E52+E53+E55+E56)/100,0)*100</f>
        <v/>
      </c>
      <c r="K20" s="140">
        <f>IF('Client Setup'!B7&gt;0,CEILING(J17/'Client Setup'!B7,1),0)</f>
        <v/>
      </c>
      <c r="L20" s="94" t="n"/>
      <c r="M20" s="94" t="n"/>
      <c r="N20" s="94" t="n"/>
      <c r="O20" s="94" t="n"/>
      <c r="P20" s="94" t="n"/>
      <c r="Q20" s="94" t="n"/>
      <c r="R20" s="94" t="n"/>
      <c r="S20" s="94" t="n"/>
      <c r="T20" s="94" t="n"/>
      <c r="U20" s="94" t="n"/>
      <c r="V20" s="94" t="n"/>
      <c r="W20" s="94" t="n"/>
      <c r="X20" s="94" t="n"/>
      <c r="Y20" s="94" t="n"/>
      <c r="Z20" s="94" t="n"/>
    </row>
    <row r="21" ht="25.5" customHeight="1" s="90">
      <c r="A21" s="96" t="inlineStr">
        <is>
          <t>COST BUILD</t>
        </is>
      </c>
      <c r="H21" s="94" t="n"/>
      <c r="I21" s="134" t="inlineStr">
        <is>
          <t>Tax</t>
        </is>
      </c>
      <c r="J21" s="139">
        <f>ROUNDUP((E44+E45+E47+E50)/50,0)*50</f>
        <v/>
      </c>
      <c r="K21" s="140">
        <f>IF('Client Setup'!B7&gt;0,CEILING(J18/'Client Setup'!B7,1),0)</f>
        <v/>
      </c>
      <c r="L21" s="94" t="n"/>
      <c r="M21" s="94" t="n"/>
      <c r="N21" s="94" t="n"/>
      <c r="O21" s="94" t="n"/>
      <c r="P21" s="94" t="n"/>
      <c r="Q21" s="94" t="n"/>
      <c r="R21" s="94" t="n"/>
      <c r="S21" s="94" t="n"/>
      <c r="T21" s="94" t="n"/>
      <c r="U21" s="94" t="n"/>
      <c r="V21" s="94" t="n"/>
      <c r="W21" s="94" t="n"/>
      <c r="X21" s="94" t="n"/>
      <c r="Y21" s="94" t="n"/>
      <c r="Z21" s="94" t="n"/>
    </row>
    <row r="22" ht="25.5" customHeight="1" s="90">
      <c r="A22" s="137" t="inlineStr">
        <is>
          <t>Line Item</t>
        </is>
      </c>
      <c r="B22" s="137" t="inlineStr">
        <is>
          <t>Qty</t>
        </is>
      </c>
      <c r="C22" s="137" t="inlineStr">
        <is>
          <t>Unit Price</t>
        </is>
      </c>
      <c r="D22" s="137" t="inlineStr">
        <is>
          <t>Our Cost</t>
        </is>
      </c>
      <c r="E22" s="137" t="inlineStr">
        <is>
          <t>Client Cost</t>
        </is>
      </c>
      <c r="F22" s="137" t="inlineStr">
        <is>
          <t>Tax Rate</t>
        </is>
      </c>
      <c r="G22" s="109" t="inlineStr">
        <is>
          <t>Category</t>
        </is>
      </c>
      <c r="H22" s="94" t="n"/>
      <c r="I22" s="142" t="n"/>
      <c r="J22" s="142" t="n"/>
      <c r="K22" s="142" t="n"/>
      <c r="L22" s="94" t="n"/>
      <c r="M22" s="94" t="n"/>
      <c r="N22" s="94" t="n"/>
      <c r="O22" s="94" t="n"/>
      <c r="P22" s="94" t="n"/>
      <c r="Q22" s="94" t="n"/>
      <c r="R22" s="94" t="n"/>
      <c r="S22" s="94" t="n"/>
      <c r="T22" s="94" t="n"/>
      <c r="U22" s="94" t="n"/>
      <c r="V22" s="94" t="n"/>
      <c r="W22" s="94" t="n"/>
      <c r="X22" s="94" t="n"/>
      <c r="Y22" s="94" t="n"/>
      <c r="Z22" s="94" t="n"/>
    </row>
    <row r="23" ht="25.5" customHeight="1" s="90">
      <c r="A23" s="143" t="inlineStr">
        <is>
          <t>FOOD &amp; BEVERAGE  (F&amp;B Tax Applied)</t>
        </is>
      </c>
      <c r="I23" s="131" t="inlineStr">
        <is>
          <t>TOTAL ESTIMATE</t>
        </is>
      </c>
      <c r="J23" s="144">
        <f>SUM(J12:J18)</f>
        <v/>
      </c>
      <c r="K23" s="144">
        <f>IF('Client Setup'!B7&gt;0,CEILING(J20/'Client Setup'!B7,1),0)</f>
        <v/>
      </c>
      <c r="L23" s="94" t="n"/>
      <c r="M23" s="94" t="n"/>
      <c r="N23" s="94" t="n"/>
      <c r="O23" s="94" t="n"/>
      <c r="P23" s="94" t="n"/>
      <c r="Q23" s="94" t="n"/>
      <c r="R23" s="94" t="n"/>
      <c r="S23" s="94" t="n"/>
      <c r="T23" s="94" t="n"/>
      <c r="U23" s="94" t="n"/>
      <c r="V23" s="94" t="n"/>
      <c r="W23" s="94" t="n"/>
      <c r="X23" s="94" t="n"/>
      <c r="Y23" s="94" t="n"/>
      <c r="Z23" s="94" t="n"/>
    </row>
    <row r="24" ht="27.75" customHeight="1" s="90">
      <c r="A24" s="145" t="inlineStr">
        <is>
          <t>Per Person Food</t>
        </is>
      </c>
      <c r="B24" s="146">
        <f>'Client Setup'!B7</f>
        <v/>
      </c>
      <c r="C24" s="129" t="n"/>
      <c r="D24" s="147">
        <f>B24*C24</f>
        <v/>
      </c>
      <c r="E24" s="147">
        <f>IFERROR(D24*(1+VLOOKUP(G24,CategoryTable,2,FALSE)),0)</f>
        <v/>
      </c>
      <c r="F24" s="148">
        <f>'Client Setup'!B17</f>
        <v/>
      </c>
      <c r="G24" s="149" t="inlineStr">
        <is>
          <t>Catering &amp; F&amp;B</t>
        </is>
      </c>
      <c r="H24" s="94" t="n"/>
      <c r="I24" s="127" t="inlineStr">
        <is>
          <t>Guest Count</t>
        </is>
      </c>
      <c r="J24" s="150">
        <f>'Client Setup'!B7</f>
        <v/>
      </c>
      <c r="K24" s="151" t="n"/>
      <c r="L24" s="94" t="n"/>
      <c r="M24" s="94" t="n"/>
      <c r="N24" s="94" t="n"/>
      <c r="O24" s="94" t="n"/>
      <c r="P24" s="94" t="n"/>
      <c r="Q24" s="94" t="n"/>
      <c r="R24" s="94" t="n"/>
      <c r="S24" s="94" t="n"/>
      <c r="T24" s="94" t="n"/>
      <c r="U24" s="94" t="n"/>
      <c r="V24" s="94" t="n"/>
      <c r="W24" s="94" t="n"/>
      <c r="X24" s="94" t="n"/>
      <c r="Y24" s="94" t="n"/>
      <c r="Z24" s="94" t="n"/>
    </row>
    <row r="25" ht="25.5" customHeight="1" s="90">
      <c r="A25" s="145" t="inlineStr">
        <is>
          <t>Bar Package</t>
        </is>
      </c>
      <c r="B25" s="146">
        <f>'Client Setup'!B7</f>
        <v/>
      </c>
      <c r="C25" s="129" t="n"/>
      <c r="D25" s="147">
        <f>B25*C25</f>
        <v/>
      </c>
      <c r="E25" s="147">
        <f>IFERROR(D25*(1+VLOOKUP(G25,CategoryTable,2,FALSE)),0)</f>
        <v/>
      </c>
      <c r="F25" s="148">
        <f>'Client Setup'!B18</f>
        <v/>
      </c>
      <c r="G25" s="149" t="inlineStr">
        <is>
          <t>Catering &amp; F&amp;B</t>
        </is>
      </c>
      <c r="H25" s="94" t="n"/>
      <c r="I25" s="152" t="n"/>
      <c r="J25" s="152" t="n"/>
      <c r="K25" s="152" t="n"/>
      <c r="L25" s="94" t="n"/>
      <c r="M25" s="94" t="n"/>
      <c r="N25" s="94" t="n"/>
      <c r="O25" s="94" t="n"/>
      <c r="P25" s="94" t="n"/>
      <c r="Q25" s="94" t="n"/>
      <c r="R25" s="94" t="n"/>
      <c r="S25" s="94" t="n"/>
      <c r="T25" s="94" t="n"/>
      <c r="U25" s="94" t="n"/>
      <c r="V25" s="94" t="n"/>
      <c r="W25" s="94" t="n"/>
      <c r="X25" s="94" t="n"/>
      <c r="Y25" s="94" t="n"/>
      <c r="Z25" s="94" t="n"/>
    </row>
    <row r="26" ht="25.5" customHeight="1" s="90">
      <c r="A26" s="145" t="inlineStr">
        <is>
          <t>NA Beverages</t>
        </is>
      </c>
      <c r="B26" s="101">
        <f>'Client Setup'!B7</f>
        <v/>
      </c>
      <c r="C26" s="129" t="n"/>
      <c r="D26" s="147">
        <f>B26*C26</f>
        <v/>
      </c>
      <c r="E26" s="147">
        <f>IFERROR(D26*(1+VLOOKUP(G26,CategoryTable,2,FALSE)),0)</f>
        <v/>
      </c>
      <c r="F26" s="148">
        <f>'Client Setup'!B17</f>
        <v/>
      </c>
      <c r="G26" s="149" t="inlineStr">
        <is>
          <t>Catering &amp; F&amp;B</t>
        </is>
      </c>
      <c r="H26" s="94" t="n"/>
      <c r="I26" s="128" t="n"/>
      <c r="J26" s="128" t="n"/>
      <c r="K26" s="128" t="n"/>
      <c r="L26" s="94" t="n"/>
      <c r="M26" s="94" t="n"/>
      <c r="N26" s="94" t="n"/>
      <c r="O26" s="94" t="n"/>
      <c r="P26" s="94" t="n"/>
      <c r="Q26" s="94" t="n"/>
      <c r="R26" s="94" t="n"/>
      <c r="S26" s="94" t="n"/>
      <c r="T26" s="94" t="n"/>
      <c r="U26" s="94" t="n"/>
      <c r="V26" s="94" t="n"/>
      <c r="W26" s="94" t="n"/>
      <c r="X26" s="94" t="n"/>
      <c r="Y26" s="94" t="n"/>
      <c r="Z26" s="94" t="n"/>
    </row>
    <row r="27" ht="25.5" customHeight="1" s="90">
      <c r="A27" s="143" t="inlineStr">
        <is>
          <t>TAXABLE EQUIPMENT, RENTALS &amp; STAFFING  (General Sales Tax)</t>
        </is>
      </c>
      <c r="I27" s="96" t="inlineStr">
        <is>
          <t>TEAM NOTES</t>
        </is>
      </c>
      <c r="L27" s="94" t="n"/>
      <c r="M27" s="94" t="n"/>
      <c r="N27" s="94" t="n"/>
      <c r="O27" s="94" t="n"/>
      <c r="P27" s="94" t="n"/>
      <c r="Q27" s="94" t="n"/>
      <c r="R27" s="94" t="n"/>
      <c r="S27" s="94" t="n"/>
      <c r="T27" s="94" t="n"/>
      <c r="U27" s="94" t="n"/>
      <c r="V27" s="94" t="n"/>
      <c r="W27" s="94" t="n"/>
      <c r="X27" s="94" t="n"/>
      <c r="Y27" s="94" t="n"/>
      <c r="Z27" s="94" t="n"/>
    </row>
    <row r="28" ht="25.5" customHeight="1" s="90">
      <c r="A28" s="145" t="inlineStr">
        <is>
          <t>Staffing</t>
        </is>
      </c>
      <c r="B28" s="101" t="n">
        <v>1</v>
      </c>
      <c r="C28" s="129" t="n"/>
      <c r="D28" s="147">
        <f>B28*C28</f>
        <v/>
      </c>
      <c r="E28" s="147">
        <f>IFERROR(D28*(1+VLOOKUP(G28,CategoryTable,2,FALSE)),0)</f>
        <v/>
      </c>
      <c r="F28" s="148">
        <f>'Client Setup'!B19</f>
        <v/>
      </c>
      <c r="G28" s="149" t="inlineStr">
        <is>
          <t>Staffing &amp; Labor</t>
        </is>
      </c>
      <c r="H28" s="94" t="n"/>
      <c r="I28" s="153" t="inlineStr">
        <is>
          <t>Venue Contact:</t>
        </is>
      </c>
      <c r="L28" s="94" t="n"/>
      <c r="M28" s="94" t="n"/>
      <c r="N28" s="94" t="n"/>
      <c r="O28" s="94" t="n"/>
      <c r="P28" s="94" t="n"/>
      <c r="Q28" s="94" t="n"/>
      <c r="R28" s="94" t="n"/>
      <c r="S28" s="94" t="n"/>
      <c r="T28" s="94" t="n"/>
      <c r="U28" s="94" t="n"/>
      <c r="V28" s="94" t="n"/>
      <c r="W28" s="94" t="n"/>
      <c r="X28" s="94" t="n"/>
      <c r="Y28" s="94" t="n"/>
      <c r="Z28" s="94" t="n"/>
    </row>
    <row r="29" ht="24" customHeight="1" s="90">
      <c r="A29" s="145" t="inlineStr">
        <is>
          <t>Catering Equipment</t>
        </is>
      </c>
      <c r="B29" s="101" t="n">
        <v>1</v>
      </c>
      <c r="C29" s="129" t="n"/>
      <c r="D29" s="147">
        <f>B29*C29</f>
        <v/>
      </c>
      <c r="E29" s="147">
        <f>IFERROR(D29*(1+VLOOKUP(G29,CategoryTable,2,FALSE)),0)</f>
        <v/>
      </c>
      <c r="F29" s="148">
        <f>'Client Setup'!B19</f>
        <v/>
      </c>
      <c r="G29" s="149" t="inlineStr">
        <is>
          <t>AV &amp; Production</t>
        </is>
      </c>
      <c r="H29" s="94" t="n"/>
      <c r="I29" s="154" t="n"/>
      <c r="L29" s="94" t="n"/>
      <c r="M29" s="94" t="n"/>
      <c r="N29" s="94" t="n"/>
      <c r="O29" s="94" t="n"/>
      <c r="P29" s="94" t="n"/>
      <c r="Q29" s="94" t="n"/>
      <c r="R29" s="94" t="n"/>
      <c r="S29" s="94" t="n"/>
      <c r="T29" s="94" t="n"/>
      <c r="U29" s="94" t="n"/>
      <c r="V29" s="94" t="n"/>
      <c r="W29" s="94" t="n"/>
      <c r="X29" s="94" t="n"/>
      <c r="Y29" s="94" t="n"/>
      <c r="Z29" s="94" t="n"/>
    </row>
    <row r="30" ht="25.5" customHeight="1" s="90">
      <c r="A30" s="145" t="inlineStr">
        <is>
          <t>Rental Equipment</t>
        </is>
      </c>
      <c r="B30" s="101" t="n">
        <v>1</v>
      </c>
      <c r="C30" s="129" t="n"/>
      <c r="D30" s="147">
        <f>B30*C30</f>
        <v/>
      </c>
      <c r="E30" s="147">
        <f>IFERROR(D30*(1+VLOOKUP(G30,CategoryTable,2,FALSE)),0)</f>
        <v/>
      </c>
      <c r="F30" s="148">
        <f>'Client Setup'!B19</f>
        <v/>
      </c>
      <c r="G30" s="149" t="inlineStr">
        <is>
          <t>Décor &amp; Design</t>
        </is>
      </c>
      <c r="H30" s="94" t="n"/>
      <c r="I30" s="153" t="inlineStr">
        <is>
          <t>Menu Notes:</t>
        </is>
      </c>
      <c r="L30" s="94" t="n"/>
      <c r="M30" s="94" t="n"/>
      <c r="N30" s="94" t="n"/>
      <c r="O30" s="94" t="n"/>
      <c r="P30" s="94" t="n"/>
      <c r="Q30" s="94" t="n"/>
      <c r="R30" s="94" t="n"/>
      <c r="S30" s="94" t="n"/>
      <c r="T30" s="94" t="n"/>
      <c r="U30" s="94" t="n"/>
      <c r="V30" s="94" t="n"/>
      <c r="W30" s="94" t="n"/>
      <c r="X30" s="94" t="n"/>
      <c r="Y30" s="94" t="n"/>
      <c r="Z30" s="94" t="n"/>
    </row>
    <row r="31" ht="25.5" customHeight="1" s="90">
      <c r="A31" s="145" t="inlineStr">
        <is>
          <t>Additional Equipment</t>
        </is>
      </c>
      <c r="B31" s="101" t="n">
        <v>1</v>
      </c>
      <c r="C31" s="129" t="n"/>
      <c r="D31" s="147">
        <f>B31*C31</f>
        <v/>
      </c>
      <c r="E31" s="147">
        <f>IFERROR(D31*(1+VLOOKUP(G31,CategoryTable,2,FALSE)),0)</f>
        <v/>
      </c>
      <c r="F31" s="148">
        <f>'Client Setup'!B19</f>
        <v/>
      </c>
      <c r="G31" s="149" t="inlineStr">
        <is>
          <t>AV &amp; Production</t>
        </is>
      </c>
      <c r="H31" s="94" t="n"/>
      <c r="I31" s="154" t="n"/>
      <c r="L31" s="94" t="n"/>
      <c r="M31" s="94" t="n"/>
      <c r="N31" s="94" t="n"/>
      <c r="O31" s="94" t="n"/>
      <c r="P31" s="94" t="n"/>
      <c r="Q31" s="94" t="n"/>
      <c r="R31" s="94" t="n"/>
      <c r="S31" s="94" t="n"/>
      <c r="T31" s="94" t="n"/>
      <c r="U31" s="94" t="n"/>
      <c r="V31" s="94" t="n"/>
      <c r="W31" s="94" t="n"/>
      <c r="X31" s="94" t="n"/>
      <c r="Y31" s="94" t="n"/>
      <c r="Z31" s="94" t="n"/>
    </row>
    <row r="32" ht="25.5" customHeight="1" s="90">
      <c r="A32" s="143" t="inlineStr">
        <is>
          <t>VENUE FEES  (Taxable if toggled above)</t>
        </is>
      </c>
      <c r="I32" s="154" t="n"/>
      <c r="L32" s="94" t="n"/>
      <c r="M32" s="94" t="n"/>
      <c r="N32" s="94" t="n"/>
      <c r="O32" s="94" t="n"/>
      <c r="P32" s="94" t="n"/>
      <c r="Q32" s="94" t="n"/>
      <c r="R32" s="94" t="n"/>
      <c r="S32" s="94" t="n"/>
      <c r="T32" s="94" t="n"/>
      <c r="U32" s="94" t="n"/>
      <c r="V32" s="94" t="n"/>
      <c r="W32" s="94" t="n"/>
      <c r="X32" s="94" t="n"/>
      <c r="Y32" s="94" t="n"/>
      <c r="Z32" s="94" t="n"/>
    </row>
    <row r="33" ht="6" customHeight="1" s="90">
      <c r="A33" s="145" t="inlineStr">
        <is>
          <t>Venue / Room Rental</t>
        </is>
      </c>
      <c r="B33" s="101" t="n">
        <v>1</v>
      </c>
      <c r="C33" s="129" t="n"/>
      <c r="D33" s="147">
        <f>B33*C33</f>
        <v/>
      </c>
      <c r="E33" s="147">
        <f>IFERROR(D33*(1+VLOOKUP(G33,CategoryTable,2,FALSE)),0)</f>
        <v/>
      </c>
      <c r="F33" s="148">
        <f>IF(B8="Yes",'Client Setup'!B19,0)</f>
        <v/>
      </c>
      <c r="G33" s="149" t="inlineStr">
        <is>
          <t>Venues &amp; Room Rentals</t>
        </is>
      </c>
      <c r="H33" s="94" t="n"/>
      <c r="I33" s="153" t="inlineStr">
        <is>
          <t>Logistics:</t>
        </is>
      </c>
      <c r="L33" s="94" t="n"/>
      <c r="M33" s="94" t="n"/>
      <c r="N33" s="94" t="n"/>
      <c r="O33" s="94" t="n"/>
      <c r="P33" s="94" t="n"/>
      <c r="Q33" s="94" t="n"/>
      <c r="R33" s="94" t="n"/>
      <c r="S33" s="94" t="n"/>
      <c r="T33" s="94" t="n"/>
      <c r="U33" s="94" t="n"/>
      <c r="V33" s="94" t="n"/>
      <c r="W33" s="94" t="n"/>
      <c r="X33" s="94" t="n"/>
      <c r="Y33" s="94" t="n"/>
      <c r="Z33" s="94" t="n"/>
    </row>
    <row r="34" ht="24" customHeight="1" s="90">
      <c r="A34" s="145" t="inlineStr">
        <is>
          <t>Additional Venue Space</t>
        </is>
      </c>
      <c r="B34" s="101" t="n">
        <v>1</v>
      </c>
      <c r="C34" s="129" t="n"/>
      <c r="D34" s="147">
        <f>B34*C34</f>
        <v/>
      </c>
      <c r="E34" s="147">
        <f>IFERROR(D34*(1+VLOOKUP(G34,CategoryTable,2,FALSE)),0)</f>
        <v/>
      </c>
      <c r="F34" s="148">
        <f>IF(B8="Yes",'Client Setup'!B19,0)</f>
        <v/>
      </c>
      <c r="G34" s="149" t="inlineStr">
        <is>
          <t>Venues &amp; Room Rentals</t>
        </is>
      </c>
      <c r="H34" s="94" t="n"/>
      <c r="I34" s="154" t="n"/>
      <c r="L34" s="94" t="n"/>
      <c r="M34" s="94" t="n"/>
      <c r="N34" s="94" t="n"/>
      <c r="O34" s="94" t="n"/>
      <c r="P34" s="94" t="n"/>
      <c r="Q34" s="94" t="n"/>
      <c r="R34" s="94" t="n"/>
      <c r="S34" s="94" t="n"/>
      <c r="T34" s="94" t="n"/>
      <c r="U34" s="94" t="n"/>
      <c r="V34" s="94" t="n"/>
      <c r="W34" s="94" t="n"/>
      <c r="X34" s="94" t="n"/>
      <c r="Y34" s="94" t="n"/>
      <c r="Z34" s="94" t="n"/>
    </row>
    <row r="35" ht="25.5" customHeight="1" s="90">
      <c r="A35" s="145" t="inlineStr">
        <is>
          <t>Additional Services</t>
        </is>
      </c>
      <c r="B35" s="101" t="n">
        <v>1</v>
      </c>
      <c r="C35" s="129" t="n"/>
      <c r="D35" s="147">
        <f>B35*C35</f>
        <v/>
      </c>
      <c r="E35" s="147">
        <f>IFERROR(D35*(1+VLOOKUP(G35,CategoryTable,2,FALSE)),0)</f>
        <v/>
      </c>
      <c r="F35" s="148">
        <f>IF(B8="Yes",'Client Setup'!B19,0)</f>
        <v/>
      </c>
      <c r="G35" s="149" t="inlineStr">
        <is>
          <t>Venues &amp; Room Rentals</t>
        </is>
      </c>
      <c r="H35" s="94" t="n"/>
      <c r="I35" s="153" t="inlineStr">
        <is>
          <t>Additional Notes:</t>
        </is>
      </c>
      <c r="L35" s="94" t="n"/>
      <c r="M35" s="94" t="n"/>
      <c r="N35" s="94" t="n"/>
      <c r="O35" s="94" t="n"/>
      <c r="P35" s="94" t="n"/>
      <c r="Q35" s="94" t="n"/>
      <c r="R35" s="94" t="n"/>
      <c r="S35" s="94" t="n"/>
      <c r="T35" s="94" t="n"/>
      <c r="U35" s="94" t="n"/>
      <c r="V35" s="94" t="n"/>
      <c r="W35" s="94" t="n"/>
      <c r="X35" s="94" t="n"/>
      <c r="Y35" s="94" t="n"/>
      <c r="Z35" s="94" t="n"/>
    </row>
    <row r="36" ht="25.5" customHeight="1" s="90">
      <c r="A36" s="128" t="n"/>
      <c r="B36" s="128" t="n"/>
      <c r="C36" s="128" t="n"/>
      <c r="D36" s="128" t="n"/>
      <c r="E36" s="128" t="n"/>
      <c r="F36" s="128" t="n"/>
      <c r="G36" s="128" t="n"/>
      <c r="H36" s="94" t="n"/>
      <c r="I36" s="154" t="n"/>
      <c r="L36" s="94" t="n"/>
      <c r="M36" s="94" t="n"/>
      <c r="N36" s="94" t="n"/>
      <c r="O36" s="94" t="n"/>
      <c r="P36" s="94" t="n"/>
      <c r="Q36" s="94" t="n"/>
      <c r="R36" s="94" t="n"/>
      <c r="S36" s="94" t="n"/>
      <c r="T36" s="94" t="n"/>
      <c r="U36" s="94" t="n"/>
      <c r="V36" s="94" t="n"/>
      <c r="W36" s="94" t="n"/>
      <c r="X36" s="94" t="n"/>
      <c r="Y36" s="94" t="n"/>
      <c r="Z36" s="94" t="n"/>
    </row>
    <row r="37" ht="25.5" customHeight="1" s="90">
      <c r="A37" s="155" t="inlineStr">
        <is>
          <t>NON-TAXABLE QC STAFFING</t>
        </is>
      </c>
      <c r="H37" s="94" t="n"/>
      <c r="I37" s="154" t="n"/>
      <c r="L37" s="94" t="n"/>
      <c r="M37" s="94" t="n"/>
      <c r="N37" s="94" t="n"/>
      <c r="O37" s="94" t="n"/>
      <c r="P37" s="94" t="n"/>
      <c r="Q37" s="94" t="n"/>
      <c r="R37" s="94" t="n"/>
      <c r="S37" s="94" t="n"/>
      <c r="T37" s="94" t="n"/>
      <c r="U37" s="94" t="n"/>
      <c r="V37" s="94" t="n"/>
      <c r="W37" s="94" t="n"/>
      <c r="X37" s="94" t="n"/>
      <c r="Y37" s="94" t="n"/>
      <c r="Z37" s="94" t="n"/>
    </row>
    <row r="38" ht="6" customHeight="1" s="90">
      <c r="A38" s="145" t="inlineStr">
        <is>
          <t>QC Event Staff</t>
        </is>
      </c>
      <c r="B38" s="101">
        <f>IF('Client Setup'!B7&gt;100,3,IF('Client Setup'!B7&gt;50,2,1))</f>
        <v/>
      </c>
      <c r="C38" s="129" t="n">
        <v>500</v>
      </c>
      <c r="D38" s="147">
        <f>B38*C38</f>
        <v/>
      </c>
      <c r="E38" s="147">
        <f>IFERROR(D38*(1+VLOOKUP(G38,CategoryTable,2,FALSE)),0)</f>
        <v/>
      </c>
      <c r="F38" s="148" t="n">
        <v>0</v>
      </c>
      <c r="G38" s="149" t="inlineStr">
        <is>
          <t>Staffing &amp; Labor</t>
        </is>
      </c>
      <c r="H38" s="94" t="n"/>
      <c r="I38" s="128" t="n"/>
      <c r="J38" s="128" t="n"/>
      <c r="K38" s="128" t="n"/>
      <c r="L38" s="94" t="n"/>
      <c r="M38" s="94" t="n"/>
      <c r="N38" s="94" t="n"/>
      <c r="O38" s="94" t="n"/>
      <c r="P38" s="94" t="n"/>
      <c r="Q38" s="94" t="n"/>
      <c r="R38" s="94" t="n"/>
      <c r="S38" s="94" t="n"/>
      <c r="T38" s="94" t="n"/>
      <c r="U38" s="94" t="n"/>
      <c r="V38" s="94" t="n"/>
      <c r="W38" s="94" t="n"/>
      <c r="X38" s="94" t="n"/>
      <c r="Y38" s="94" t="n"/>
      <c r="Z38" s="94" t="n"/>
    </row>
    <row r="39" ht="27.75" customHeight="1" s="90">
      <c r="A39" s="145" t="n"/>
      <c r="B39" s="101" t="n"/>
      <c r="C39" s="129" t="n"/>
      <c r="D39" s="147">
        <f>B39*C39</f>
        <v/>
      </c>
      <c r="E39" s="147">
        <f>IFERROR(D39*(1+VLOOKUP(G39,CategoryTable,2,FALSE)),0)</f>
        <v/>
      </c>
      <c r="F39" s="148" t="n">
        <v>0</v>
      </c>
      <c r="G39" s="149" t="inlineStr">
        <is>
          <t>Staffing &amp; Labor</t>
        </is>
      </c>
      <c r="H39" s="94" t="n"/>
      <c r="I39" s="128" t="n"/>
      <c r="J39" s="128" t="n"/>
      <c r="K39" s="128" t="n"/>
      <c r="L39" s="94" t="n"/>
      <c r="M39" s="94" t="n"/>
      <c r="N39" s="94" t="n"/>
      <c r="O39" s="94" t="n"/>
      <c r="P39" s="94" t="n"/>
      <c r="Q39" s="94" t="n"/>
      <c r="R39" s="94" t="n"/>
      <c r="S39" s="94" t="n"/>
      <c r="T39" s="94" t="n"/>
      <c r="U39" s="94" t="n"/>
      <c r="V39" s="94" t="n"/>
      <c r="W39" s="94" t="n"/>
      <c r="X39" s="94" t="n"/>
      <c r="Y39" s="94" t="n"/>
      <c r="Z39" s="94" t="n"/>
    </row>
    <row r="40" ht="25.5" customHeight="1" s="90">
      <c r="A40" s="145" t="n"/>
      <c r="B40" s="101" t="n"/>
      <c r="C40" s="129" t="n"/>
      <c r="D40" s="147">
        <f>B40*C40</f>
        <v/>
      </c>
      <c r="E40" s="147">
        <f>IFERROR(D40*(1+VLOOKUP(G40,CategoryTable,2,FALSE)),0)</f>
        <v/>
      </c>
      <c r="F40" s="148" t="n">
        <v>0</v>
      </c>
      <c r="G40" s="149" t="inlineStr">
        <is>
          <t>Staffing &amp; Labor</t>
        </is>
      </c>
      <c r="H40" s="94" t="n"/>
      <c r="I40" s="128" t="n"/>
      <c r="J40" s="128" t="n"/>
      <c r="K40" s="128" t="n"/>
      <c r="L40" s="94" t="n"/>
      <c r="M40" s="94" t="n"/>
      <c r="N40" s="94" t="n"/>
      <c r="O40" s="94" t="n"/>
      <c r="P40" s="94" t="n"/>
      <c r="Q40" s="94" t="n"/>
      <c r="R40" s="94" t="n"/>
      <c r="S40" s="94" t="n"/>
      <c r="T40" s="94" t="n"/>
      <c r="U40" s="94" t="n"/>
      <c r="V40" s="94" t="n"/>
      <c r="W40" s="94" t="n"/>
      <c r="X40" s="94" t="n"/>
      <c r="Y40" s="94" t="n"/>
      <c r="Z40" s="94" t="n"/>
    </row>
    <row r="41" ht="25.5" customHeight="1" s="90">
      <c r="A41" s="128" t="n"/>
      <c r="B41" s="128" t="n"/>
      <c r="C41" s="128" t="n"/>
      <c r="D41" s="128" t="n"/>
      <c r="E41" s="128" t="n"/>
      <c r="F41" s="128" t="n"/>
      <c r="G41" s="128" t="n"/>
      <c r="H41" s="94" t="n"/>
      <c r="I41" s="128" t="n"/>
      <c r="J41" s="128" t="n"/>
      <c r="K41" s="128" t="n"/>
      <c r="L41" s="94" t="n"/>
      <c r="M41" s="94" t="n"/>
      <c r="N41" s="94" t="n"/>
      <c r="O41" s="94" t="n"/>
      <c r="P41" s="94" t="n"/>
      <c r="Q41" s="94" t="n"/>
      <c r="R41" s="94" t="n"/>
      <c r="S41" s="94" t="n"/>
      <c r="T41" s="94" t="n"/>
      <c r="U41" s="94" t="n"/>
      <c r="V41" s="94" t="n"/>
      <c r="W41" s="94" t="n"/>
      <c r="X41" s="94" t="n"/>
      <c r="Y41" s="94" t="n"/>
      <c r="Z41" s="94" t="n"/>
    </row>
    <row r="42" ht="25.5" customHeight="1" s="90">
      <c r="A42" s="96" t="inlineStr">
        <is>
          <t>ESTIMATE SUMMARY</t>
        </is>
      </c>
      <c r="H42" s="94" t="n"/>
      <c r="I42" s="128" t="n"/>
      <c r="J42" s="128" t="n"/>
      <c r="K42" s="128" t="n"/>
      <c r="L42" s="94" t="n"/>
      <c r="M42" s="94" t="n"/>
      <c r="N42" s="94" t="n"/>
      <c r="O42" s="94" t="n"/>
      <c r="P42" s="94" t="n"/>
      <c r="Q42" s="94" t="n"/>
      <c r="R42" s="94" t="n"/>
      <c r="S42" s="94" t="n"/>
      <c r="T42" s="94" t="n"/>
      <c r="U42" s="94" t="n"/>
      <c r="V42" s="94" t="n"/>
      <c r="W42" s="94" t="n"/>
      <c r="X42" s="94" t="n"/>
      <c r="Y42" s="94" t="n"/>
      <c r="Z42" s="94" t="n"/>
    </row>
    <row r="43" ht="25.5" customHeight="1" s="90">
      <c r="A43" s="156" t="inlineStr">
        <is>
          <t>F&amp;B Subtotal</t>
        </is>
      </c>
      <c r="B43" s="157" t="n"/>
      <c r="C43" s="157" t="n"/>
      <c r="D43" s="158">
        <f>SUM(D24:D26)</f>
        <v/>
      </c>
      <c r="E43" s="158">
        <f>SUM(E24:E26)</f>
        <v/>
      </c>
      <c r="F43" s="157" t="n"/>
      <c r="G43" s="157" t="n"/>
      <c r="H43" s="94" t="n"/>
      <c r="I43" s="94" t="n"/>
      <c r="J43" s="94" t="n"/>
      <c r="K43" s="94" t="n"/>
      <c r="L43" s="94" t="n"/>
      <c r="M43" s="94" t="n"/>
      <c r="N43" s="94" t="n"/>
      <c r="O43" s="94" t="n"/>
      <c r="P43" s="94" t="n"/>
      <c r="Q43" s="94" t="n"/>
      <c r="R43" s="94" t="n"/>
      <c r="S43" s="94" t="n"/>
      <c r="T43" s="94" t="n"/>
      <c r="U43" s="94" t="n"/>
      <c r="V43" s="94" t="n"/>
      <c r="W43" s="94" t="n"/>
      <c r="X43" s="94" t="n"/>
      <c r="Y43" s="94" t="n"/>
      <c r="Z43" s="94" t="n"/>
    </row>
    <row r="44" ht="25.5" customHeight="1" s="90">
      <c r="A44" s="156" t="inlineStr">
        <is>
          <t>Food Tax</t>
        </is>
      </c>
      <c r="B44" s="157" t="n"/>
      <c r="C44" s="157" t="n"/>
      <c r="D44" s="158">
        <f>IFERROR(D24*F24+D26*F26,0)</f>
        <v/>
      </c>
      <c r="E44" s="158">
        <f>IFERROR(E24*F24+E26*F26,0)</f>
        <v/>
      </c>
      <c r="F44" s="157" t="n"/>
      <c r="G44" s="157" t="n"/>
      <c r="H44" s="94" t="n"/>
      <c r="I44" s="94" t="n"/>
      <c r="J44" s="94" t="n"/>
      <c r="K44" s="94" t="n"/>
      <c r="L44" s="94" t="n"/>
      <c r="M44" s="94" t="n"/>
      <c r="N44" s="94" t="n"/>
      <c r="O44" s="94" t="n"/>
      <c r="P44" s="94" t="n"/>
      <c r="Q44" s="94" t="n"/>
      <c r="R44" s="94" t="n"/>
      <c r="S44" s="94" t="n"/>
      <c r="T44" s="94" t="n"/>
      <c r="U44" s="94" t="n"/>
      <c r="V44" s="94" t="n"/>
      <c r="W44" s="94" t="n"/>
      <c r="X44" s="94" t="n"/>
      <c r="Y44" s="94" t="n"/>
      <c r="Z44" s="94" t="n"/>
    </row>
    <row r="45" ht="25.5" customHeight="1" s="90">
      <c r="A45" s="156" t="inlineStr">
        <is>
          <t>Alcohol Tax</t>
        </is>
      </c>
      <c r="B45" s="157" t="n"/>
      <c r="C45" s="157" t="n"/>
      <c r="D45" s="158">
        <f>IFERROR(D25*F25,0)</f>
        <v/>
      </c>
      <c r="E45" s="158">
        <f>IFERROR(E25*F25,0)</f>
        <v/>
      </c>
      <c r="F45" s="157" t="n"/>
      <c r="G45" s="157" t="n"/>
      <c r="H45" s="94" t="n"/>
      <c r="I45" s="94" t="n"/>
      <c r="J45" s="94" t="n"/>
      <c r="K45" s="94" t="n"/>
      <c r="L45" s="94" t="n"/>
      <c r="M45" s="94" t="n"/>
      <c r="N45" s="94" t="n"/>
      <c r="O45" s="94" t="n"/>
      <c r="P45" s="94" t="n"/>
      <c r="Q45" s="94" t="n"/>
      <c r="R45" s="94" t="n"/>
      <c r="S45" s="94" t="n"/>
      <c r="T45" s="94" t="n"/>
      <c r="U45" s="94" t="n"/>
      <c r="V45" s="94" t="n"/>
      <c r="W45" s="94" t="n"/>
      <c r="X45" s="94" t="n"/>
      <c r="Y45" s="94" t="n"/>
      <c r="Z45" s="94" t="n"/>
    </row>
    <row r="46" ht="25.5" customHeight="1" s="90">
      <c r="A46" s="156" t="inlineStr">
        <is>
          <t>Equipment &amp; Staffing Subtotal</t>
        </is>
      </c>
      <c r="B46" s="157" t="n"/>
      <c r="C46" s="157" t="n"/>
      <c r="D46" s="158">
        <f>SUM(D28:D31)</f>
        <v/>
      </c>
      <c r="E46" s="158">
        <f>SUM(E28:E31)</f>
        <v/>
      </c>
      <c r="F46" s="157" t="n"/>
      <c r="G46" s="157" t="n"/>
      <c r="H46" s="94" t="n"/>
      <c r="I46" s="94" t="n"/>
      <c r="J46" s="94" t="n"/>
      <c r="K46" s="94" t="n"/>
      <c r="L46" s="94" t="n"/>
      <c r="M46" s="94" t="n"/>
      <c r="N46" s="94" t="n"/>
      <c r="O46" s="94" t="n"/>
      <c r="P46" s="94" t="n"/>
      <c r="Q46" s="94" t="n"/>
      <c r="R46" s="94" t="n"/>
      <c r="S46" s="94" t="n"/>
      <c r="T46" s="94" t="n"/>
      <c r="U46" s="94" t="n"/>
      <c r="V46" s="94" t="n"/>
      <c r="W46" s="94" t="n"/>
      <c r="X46" s="94" t="n"/>
      <c r="Y46" s="94" t="n"/>
      <c r="Z46" s="94" t="n"/>
    </row>
    <row r="47" ht="25.5" customHeight="1" s="90">
      <c r="A47" s="156" t="inlineStr">
        <is>
          <t>Equipment &amp; Staffing Tax</t>
        </is>
      </c>
      <c r="B47" s="157" t="n"/>
      <c r="C47" s="157" t="n"/>
      <c r="D47" s="158">
        <f>IFERROR(D46*F28,0)</f>
        <v/>
      </c>
      <c r="E47" s="158">
        <f>IFERROR(E46*F28,0)</f>
        <v/>
      </c>
      <c r="F47" s="157" t="n"/>
      <c r="G47" s="157" t="n"/>
      <c r="H47" s="94" t="n"/>
      <c r="I47" s="94" t="n"/>
      <c r="J47" s="94" t="n"/>
      <c r="K47" s="94" t="n"/>
      <c r="L47" s="94" t="n"/>
      <c r="M47" s="94" t="n"/>
      <c r="N47" s="94" t="n"/>
      <c r="O47" s="94" t="n"/>
      <c r="P47" s="94" t="n"/>
      <c r="Q47" s="94" t="n"/>
      <c r="R47" s="94" t="n"/>
      <c r="S47" s="94" t="n"/>
      <c r="T47" s="94" t="n"/>
      <c r="U47" s="94" t="n"/>
      <c r="V47" s="94" t="n"/>
      <c r="W47" s="94" t="n"/>
      <c r="X47" s="94" t="n"/>
      <c r="Y47" s="94" t="n"/>
      <c r="Z47" s="94" t="n"/>
    </row>
    <row r="48" ht="25.5" customHeight="1" s="90">
      <c r="A48" s="156" t="inlineStr">
        <is>
          <t>QC Staffing Subtotal</t>
        </is>
      </c>
      <c r="B48" s="157" t="n"/>
      <c r="C48" s="157" t="n"/>
      <c r="D48" s="158">
        <f>SUM(D38:D40)</f>
        <v/>
      </c>
      <c r="E48" s="158">
        <f>SUM(E38:E40)</f>
        <v/>
      </c>
      <c r="F48" s="157" t="n"/>
      <c r="G48" s="157" t="n"/>
      <c r="H48" s="94" t="n"/>
      <c r="I48" s="94" t="n"/>
      <c r="J48" s="94" t="n"/>
      <c r="K48" s="94" t="n"/>
      <c r="L48" s="94" t="n"/>
      <c r="M48" s="94" t="n"/>
      <c r="N48" s="94" t="n"/>
      <c r="O48" s="94" t="n"/>
      <c r="P48" s="94" t="n"/>
      <c r="Q48" s="94" t="n"/>
      <c r="R48" s="94" t="n"/>
      <c r="S48" s="94" t="n"/>
      <c r="T48" s="94" t="n"/>
      <c r="U48" s="94" t="n"/>
      <c r="V48" s="94" t="n"/>
      <c r="W48" s="94" t="n"/>
      <c r="X48" s="94" t="n"/>
      <c r="Y48" s="94" t="n"/>
      <c r="Z48" s="94" t="n"/>
    </row>
    <row r="49" ht="25.5" customHeight="1" s="90">
      <c r="A49" s="156" t="inlineStr">
        <is>
          <t>Venue Fees Subtotal</t>
        </is>
      </c>
      <c r="B49" s="157" t="n"/>
      <c r="C49" s="157" t="n"/>
      <c r="D49" s="158">
        <f>SUM(D33:D35)</f>
        <v/>
      </c>
      <c r="E49" s="158">
        <f>SUM(E33:E35)</f>
        <v/>
      </c>
      <c r="F49" s="157" t="n"/>
      <c r="G49" s="157" t="n"/>
      <c r="H49" s="94" t="n"/>
      <c r="I49" s="94" t="n"/>
      <c r="J49" s="94" t="n"/>
      <c r="K49" s="94" t="n"/>
      <c r="L49" s="94" t="n"/>
      <c r="M49" s="94" t="n"/>
      <c r="N49" s="94" t="n"/>
      <c r="O49" s="94" t="n"/>
      <c r="P49" s="94" t="n"/>
      <c r="Q49" s="94" t="n"/>
      <c r="R49" s="94" t="n"/>
      <c r="S49" s="94" t="n"/>
      <c r="T49" s="94" t="n"/>
      <c r="U49" s="94" t="n"/>
      <c r="V49" s="94" t="n"/>
      <c r="W49" s="94" t="n"/>
      <c r="X49" s="94" t="n"/>
      <c r="Y49" s="94" t="n"/>
      <c r="Z49" s="94" t="n"/>
    </row>
    <row r="50" ht="25.5" customHeight="1" s="90">
      <c r="A50" s="156" t="inlineStr">
        <is>
          <t>Venue Tax</t>
        </is>
      </c>
      <c r="B50" s="157" t="n"/>
      <c r="C50" s="157" t="n"/>
      <c r="D50" s="158">
        <f>IFERROR(D49*F33,0)</f>
        <v/>
      </c>
      <c r="E50" s="158">
        <f>IFERROR(E49*F33,0)</f>
        <v/>
      </c>
      <c r="F50" s="157" t="n"/>
      <c r="G50" s="157" t="n"/>
      <c r="H50" s="94" t="n"/>
      <c r="I50" s="94" t="n"/>
      <c r="J50" s="94" t="n"/>
      <c r="K50" s="94" t="n"/>
      <c r="L50" s="94" t="n"/>
      <c r="M50" s="94" t="n"/>
      <c r="N50" s="94" t="n"/>
      <c r="O50" s="94" t="n"/>
      <c r="P50" s="94" t="n"/>
      <c r="Q50" s="94" t="n"/>
      <c r="R50" s="94" t="n"/>
      <c r="S50" s="94" t="n"/>
      <c r="T50" s="94" t="n"/>
      <c r="U50" s="94" t="n"/>
      <c r="V50" s="94" t="n"/>
      <c r="W50" s="94" t="n"/>
      <c r="X50" s="94" t="n"/>
      <c r="Y50" s="94" t="n"/>
      <c r="Z50" s="94" t="n"/>
    </row>
    <row r="51" ht="30" customHeight="1" s="90">
      <c r="A51" s="156" t="inlineStr">
        <is>
          <t>Service Charge</t>
        </is>
      </c>
      <c r="B51" s="157" t="n"/>
      <c r="C51" s="157" t="n"/>
      <c r="D51" s="158">
        <f>D43*IF(C17="20%",0.2,IF(C17="21.5%",0.215,0))</f>
        <v/>
      </c>
      <c r="E51" s="158">
        <f>E43*IF(C17="20%",0.2,IF(C17="21.5%",0.215,0))</f>
        <v/>
      </c>
      <c r="F51" s="157" t="n"/>
      <c r="G51" s="157" t="n"/>
      <c r="H51" s="94" t="n"/>
      <c r="I51" s="94" t="n"/>
      <c r="J51" s="94" t="n"/>
      <c r="K51" s="94" t="n"/>
      <c r="L51" s="94" t="n"/>
      <c r="M51" s="94" t="n"/>
      <c r="N51" s="94" t="n"/>
      <c r="O51" s="94" t="n"/>
      <c r="P51" s="94" t="n"/>
      <c r="Q51" s="94" t="n"/>
      <c r="R51" s="94" t="n"/>
      <c r="S51" s="94" t="n"/>
      <c r="T51" s="94" t="n"/>
      <c r="U51" s="94" t="n"/>
      <c r="V51" s="94" t="n"/>
      <c r="W51" s="94" t="n"/>
      <c r="X51" s="94" t="n"/>
      <c r="Y51" s="94" t="n"/>
      <c r="Z51" s="94" t="n"/>
    </row>
    <row r="52" ht="25.5" customHeight="1" s="90">
      <c r="A52" s="156" t="inlineStr">
        <is>
          <t>Gratuity</t>
        </is>
      </c>
      <c r="B52" s="157" t="n"/>
      <c r="C52" s="157" t="n"/>
      <c r="D52" s="158">
        <f>D43*IF(C18="20%",0.2,0)</f>
        <v/>
      </c>
      <c r="E52" s="158">
        <f>E43*IF(C18="20%",0.2,0)</f>
        <v/>
      </c>
      <c r="F52" s="157" t="n"/>
      <c r="G52" s="157" t="n"/>
      <c r="H52" s="94" t="n"/>
      <c r="I52" s="94" t="n"/>
      <c r="J52" s="94" t="n"/>
      <c r="K52" s="94" t="n"/>
      <c r="L52" s="94" t="n"/>
      <c r="M52" s="94" t="n"/>
      <c r="N52" s="94" t="n"/>
      <c r="O52" s="94" t="n"/>
      <c r="P52" s="94" t="n"/>
      <c r="Q52" s="94" t="n"/>
      <c r="R52" s="94" t="n"/>
      <c r="S52" s="94" t="n"/>
      <c r="T52" s="94" t="n"/>
      <c r="U52" s="94" t="n"/>
      <c r="V52" s="94" t="n"/>
      <c r="W52" s="94" t="n"/>
      <c r="X52" s="94" t="n"/>
      <c r="Y52" s="94" t="n"/>
      <c r="Z52" s="94" t="n"/>
    </row>
    <row r="53" ht="25.5" customHeight="1" s="90">
      <c r="A53" s="156" t="inlineStr">
        <is>
          <t>Admin Fee</t>
        </is>
      </c>
      <c r="B53" s="157" t="n"/>
      <c r="C53" s="157" t="n"/>
      <c r="D53" s="158">
        <f>D43*IF(C19="5%",0.05,0)</f>
        <v/>
      </c>
      <c r="E53" s="158">
        <f>E43*IF(C19="5%",0.05,0)</f>
        <v/>
      </c>
      <c r="F53" s="157" t="n"/>
      <c r="G53" s="157" t="n"/>
      <c r="H53" s="94" t="n"/>
      <c r="I53" s="94" t="n"/>
      <c r="J53" s="94" t="n"/>
      <c r="K53" s="94" t="n"/>
      <c r="L53" s="94" t="n"/>
      <c r="M53" s="94" t="n"/>
      <c r="N53" s="94" t="n"/>
      <c r="O53" s="94" t="n"/>
      <c r="P53" s="94" t="n"/>
      <c r="Q53" s="94" t="n"/>
      <c r="R53" s="94" t="n"/>
      <c r="S53" s="94" t="n"/>
      <c r="T53" s="94" t="n"/>
      <c r="U53" s="94" t="n"/>
      <c r="V53" s="94" t="n"/>
      <c r="W53" s="94" t="n"/>
      <c r="X53" s="94" t="n"/>
      <c r="Y53" s="94" t="n"/>
      <c r="Z53" s="94" t="n"/>
    </row>
    <row r="54" ht="33.75" customHeight="1" s="90">
      <c r="A54" s="159" t="inlineStr">
        <is>
          <t>SUBTOTAL</t>
        </is>
      </c>
      <c r="D54" s="160">
        <f>SUM(D43:D53)</f>
        <v/>
      </c>
      <c r="E54" s="160">
        <f>SUM(E43:E53)</f>
        <v/>
      </c>
      <c r="F54" s="161" t="n"/>
      <c r="G54" s="161" t="n"/>
      <c r="H54" s="94" t="n"/>
      <c r="I54" s="94" t="n"/>
      <c r="J54" s="94" t="n"/>
      <c r="K54" s="94" t="n"/>
      <c r="L54" s="94" t="n"/>
      <c r="M54" s="94" t="n"/>
      <c r="N54" s="94" t="n"/>
      <c r="O54" s="94" t="n"/>
      <c r="P54" s="94" t="n"/>
      <c r="Q54" s="94" t="n"/>
      <c r="R54" s="94" t="n"/>
      <c r="S54" s="94" t="n"/>
      <c r="T54" s="94" t="n"/>
      <c r="U54" s="94" t="n"/>
      <c r="V54" s="94" t="n"/>
      <c r="W54" s="94" t="n"/>
      <c r="X54" s="94" t="n"/>
      <c r="Y54" s="94" t="n"/>
      <c r="Z54" s="94" t="n"/>
    </row>
    <row r="55" ht="6" customHeight="1" s="90">
      <c r="A55" s="156" t="inlineStr">
        <is>
          <t>CC Processing Fee</t>
        </is>
      </c>
      <c r="B55" s="157" t="n"/>
      <c r="C55" s="157" t="n"/>
      <c r="D55" s="158">
        <f>E55</f>
        <v/>
      </c>
      <c r="E55" s="158">
        <f>IFERROR(E54*'Client Setup'!C35,0)</f>
        <v/>
      </c>
      <c r="F55" s="157" t="n"/>
      <c r="G55" s="157" t="n"/>
      <c r="H55" s="94" t="n"/>
      <c r="I55" s="94" t="n"/>
      <c r="J55" s="94" t="n"/>
      <c r="K55" s="94" t="n"/>
      <c r="L55" s="94" t="n"/>
      <c r="M55" s="94" t="n"/>
      <c r="N55" s="94" t="n"/>
      <c r="O55" s="94" t="n"/>
      <c r="P55" s="94" t="n"/>
      <c r="Q55" s="94" t="n"/>
      <c r="R55" s="94" t="n"/>
      <c r="S55" s="94" t="n"/>
      <c r="T55" s="94" t="n"/>
      <c r="U55" s="94" t="n"/>
      <c r="V55" s="94" t="n"/>
      <c r="W55" s="94" t="n"/>
      <c r="X55" s="94" t="n"/>
      <c r="Y55" s="94" t="n"/>
      <c r="Z55" s="94" t="n"/>
    </row>
    <row r="56" ht="27.75" customHeight="1" s="90">
      <c r="A56" s="156" t="inlineStr">
        <is>
          <t>Third-Party Commission</t>
        </is>
      </c>
      <c r="B56" s="157" t="n"/>
      <c r="C56" s="157" t="n"/>
      <c r="D56" s="158">
        <f>E56</f>
        <v/>
      </c>
      <c r="E56" s="158">
        <f>IFERROR((E43+E46+E48+E49+E51+E52+E53)*'Client Setup'!C36,0)</f>
        <v/>
      </c>
      <c r="F56" s="157" t="n"/>
      <c r="G56" s="157" t="n"/>
      <c r="H56" s="94" t="n"/>
      <c r="I56" s="94" t="n"/>
      <c r="J56" s="94" t="n"/>
      <c r="K56" s="94" t="n"/>
      <c r="L56" s="94" t="n"/>
      <c r="M56" s="94" t="n"/>
      <c r="N56" s="94" t="n"/>
      <c r="O56" s="94" t="n"/>
      <c r="P56" s="94" t="n"/>
      <c r="Q56" s="94" t="n"/>
      <c r="R56" s="94" t="n"/>
      <c r="S56" s="94" t="n"/>
      <c r="T56" s="94" t="n"/>
      <c r="U56" s="94" t="n"/>
      <c r="V56" s="94" t="n"/>
      <c r="W56" s="94" t="n"/>
      <c r="X56" s="94" t="n"/>
      <c r="Y56" s="94" t="n"/>
      <c r="Z56" s="94" t="n"/>
    </row>
    <row r="57" ht="30" customHeight="1" s="90">
      <c r="A57" s="162" t="inlineStr">
        <is>
          <t>TOTAL ESTIMATE</t>
        </is>
      </c>
      <c r="D57" s="163">
        <f>D54+D55+D56</f>
        <v/>
      </c>
      <c r="E57" s="163">
        <f>E54+E55+E56</f>
        <v/>
      </c>
      <c r="F57" s="164" t="n"/>
      <c r="G57" s="164" t="n"/>
      <c r="H57" s="94" t="n"/>
      <c r="I57" s="94" t="n"/>
      <c r="J57" s="94" t="n"/>
      <c r="K57" s="94" t="n"/>
      <c r="L57" s="94" t="n"/>
      <c r="M57" s="94" t="n"/>
      <c r="N57" s="94" t="n"/>
      <c r="O57" s="94" t="n"/>
      <c r="P57" s="94" t="n"/>
      <c r="Q57" s="94" t="n"/>
      <c r="R57" s="94" t="n"/>
      <c r="S57" s="94" t="n"/>
      <c r="T57" s="94" t="n"/>
      <c r="U57" s="94" t="n"/>
      <c r="V57" s="94" t="n"/>
      <c r="W57" s="94" t="n"/>
      <c r="X57" s="94" t="n"/>
      <c r="Y57" s="94" t="n"/>
      <c r="Z57" s="94" t="n"/>
    </row>
    <row r="58" ht="27.75" customHeight="1" s="90">
      <c r="A58" s="128" t="n"/>
      <c r="B58" s="128" t="n"/>
      <c r="C58" s="128" t="n"/>
      <c r="D58" s="128" t="n"/>
      <c r="E58" s="128" t="n"/>
      <c r="F58" s="128" t="n"/>
      <c r="G58" s="128" t="n"/>
      <c r="H58" s="94" t="n"/>
      <c r="I58" s="94" t="n"/>
      <c r="J58" s="94" t="n"/>
      <c r="K58" s="94" t="n"/>
      <c r="L58" s="94" t="n"/>
      <c r="M58" s="94" t="n"/>
      <c r="N58" s="94" t="n"/>
      <c r="O58" s="94" t="n"/>
      <c r="P58" s="94" t="n"/>
      <c r="Q58" s="94" t="n"/>
      <c r="R58" s="94" t="n"/>
      <c r="S58" s="94" t="n"/>
      <c r="T58" s="94" t="n"/>
      <c r="U58" s="94" t="n"/>
      <c r="V58" s="94" t="n"/>
      <c r="W58" s="94" t="n"/>
      <c r="X58" s="94" t="n"/>
      <c r="Y58" s="94" t="n"/>
      <c r="Z58" s="94" t="n"/>
    </row>
    <row r="59" ht="30" customHeight="1" s="90">
      <c r="A59" s="96" t="inlineStr">
        <is>
          <t>CLIENT PRICING</t>
        </is>
      </c>
      <c r="H59" s="94" t="n"/>
      <c r="I59" s="94" t="n"/>
      <c r="J59" s="94" t="n"/>
      <c r="K59" s="94" t="n"/>
      <c r="L59" s="94" t="n"/>
      <c r="M59" s="94" t="n"/>
      <c r="N59" s="94" t="n"/>
      <c r="O59" s="94" t="n"/>
      <c r="P59" s="94" t="n"/>
      <c r="Q59" s="94" t="n"/>
      <c r="R59" s="94" t="n"/>
      <c r="S59" s="94" t="n"/>
      <c r="T59" s="94" t="n"/>
      <c r="U59" s="94" t="n"/>
      <c r="V59" s="94" t="n"/>
      <c r="W59" s="94" t="n"/>
      <c r="X59" s="94" t="n"/>
      <c r="Y59" s="94" t="n"/>
      <c r="Z59" s="94" t="n"/>
    </row>
    <row r="60" ht="6" customHeight="1" s="90">
      <c r="A60" s="97" t="inlineStr">
        <is>
          <t>Price Per Person</t>
        </is>
      </c>
      <c r="B60" s="165">
        <f>IF('Client Setup'!B7&gt;0,CEILING(E57/'Client Setup'!B7,1),0)</f>
        <v/>
      </c>
      <c r="C60" s="151" t="n"/>
      <c r="D60" s="151" t="n"/>
      <c r="E60" s="151" t="n"/>
      <c r="F60" s="151" t="n"/>
      <c r="G60" s="151" t="n"/>
      <c r="H60" s="94" t="n"/>
      <c r="I60" s="94" t="n"/>
      <c r="J60" s="94" t="n"/>
      <c r="K60" s="94" t="n"/>
      <c r="L60" s="94" t="n"/>
      <c r="M60" s="94" t="n"/>
      <c r="N60" s="94" t="n"/>
      <c r="O60" s="94" t="n"/>
      <c r="P60" s="94" t="n"/>
      <c r="Q60" s="94" t="n"/>
      <c r="R60" s="94" t="n"/>
      <c r="S60" s="94" t="n"/>
      <c r="T60" s="94" t="n"/>
      <c r="U60" s="94" t="n"/>
      <c r="V60" s="94" t="n"/>
      <c r="W60" s="94" t="n"/>
      <c r="X60" s="94" t="n"/>
      <c r="Y60" s="94" t="n"/>
      <c r="Z60" s="94" t="n"/>
    </row>
    <row r="61" ht="27.75" customHeight="1" s="90">
      <c r="A61" s="97" t="inlineStr">
        <is>
          <t>Total Estimated Client Cost</t>
        </is>
      </c>
      <c r="B61" s="166">
        <f>IF('Client Setup'!B7&gt;0,B60*'Client Setup'!B7,0)</f>
        <v/>
      </c>
      <c r="C61" s="151" t="n"/>
      <c r="D61" s="151" t="n"/>
      <c r="E61" s="151" t="n"/>
      <c r="F61" s="151" t="n"/>
      <c r="G61" s="151" t="n"/>
      <c r="H61" s="94" t="n"/>
      <c r="I61" s="94" t="n"/>
      <c r="J61" s="94" t="n"/>
      <c r="K61" s="94" t="n"/>
      <c r="L61" s="94" t="n"/>
      <c r="M61" s="94" t="n"/>
      <c r="N61" s="94" t="n"/>
      <c r="O61" s="94" t="n"/>
      <c r="P61" s="94" t="n"/>
      <c r="Q61" s="94" t="n"/>
      <c r="R61" s="94" t="n"/>
      <c r="S61" s="94" t="n"/>
      <c r="T61" s="94" t="n"/>
      <c r="U61" s="94" t="n"/>
      <c r="V61" s="94" t="n"/>
      <c r="W61" s="94" t="n"/>
      <c r="X61" s="94" t="n"/>
      <c r="Y61" s="94" t="n"/>
      <c r="Z61" s="94" t="n"/>
    </row>
    <row r="62" ht="25.5" customHeight="1" s="90">
      <c r="A62" s="97" t="inlineStr">
        <is>
          <t>F&amp;B Minimum Status:</t>
        </is>
      </c>
      <c r="B62" s="167">
        <f>IF(B7=0,"No F&amp;B Minimum Set",IF(E43&gt;=B7,"✓ F&amp;B MINIMUM MET","✗ NOT MET — Shortfall: "&amp;TEXT(B7-E43,"$#,##0")))</f>
        <v/>
      </c>
      <c r="H62" s="94" t="n"/>
      <c r="I62" s="94" t="n"/>
      <c r="J62" s="94" t="n"/>
      <c r="K62" s="94" t="n"/>
      <c r="L62" s="94" t="n"/>
      <c r="M62" s="94" t="n"/>
      <c r="N62" s="94" t="n"/>
      <c r="O62" s="94" t="n"/>
      <c r="P62" s="94" t="n"/>
      <c r="Q62" s="94" t="n"/>
      <c r="R62" s="94" t="n"/>
      <c r="S62" s="94" t="n"/>
      <c r="T62" s="94" t="n"/>
      <c r="U62" s="94" t="n"/>
      <c r="V62" s="94" t="n"/>
      <c r="W62" s="94" t="n"/>
      <c r="X62" s="94" t="n"/>
      <c r="Y62" s="94" t="n"/>
      <c r="Z62" s="94" t="n"/>
    </row>
    <row r="63" ht="25.5" customHeight="1" s="90">
      <c r="A63" s="128" t="n"/>
      <c r="B63" s="128" t="n"/>
      <c r="C63" s="128" t="n"/>
      <c r="D63" s="128" t="n"/>
      <c r="E63" s="128" t="n"/>
      <c r="F63" s="128" t="n"/>
      <c r="G63" s="128" t="n"/>
      <c r="H63" s="94" t="n"/>
      <c r="I63" s="94" t="n"/>
      <c r="J63" s="94" t="n"/>
      <c r="K63" s="94" t="n"/>
      <c r="L63" s="94" t="n"/>
      <c r="M63" s="94" t="n"/>
      <c r="N63" s="94" t="n"/>
      <c r="O63" s="94" t="n"/>
      <c r="P63" s="94" t="n"/>
      <c r="Q63" s="94" t="n"/>
      <c r="R63" s="94" t="n"/>
      <c r="S63" s="94" t="n"/>
      <c r="T63" s="94" t="n"/>
      <c r="U63" s="94" t="n"/>
      <c r="V63" s="94" t="n"/>
      <c r="W63" s="94" t="n"/>
      <c r="X63" s="94" t="n"/>
      <c r="Y63" s="94" t="n"/>
      <c r="Z63" s="94" t="n"/>
    </row>
    <row r="64" ht="25.5" customHeight="1" s="90"/>
    <row r="65" ht="25.5" customHeight="1" s="90">
      <c r="A65" s="206" t="inlineStr">
        <is>
          <t>QC TRAVEL EXPENSES</t>
        </is>
      </c>
      <c r="B65" s="206" t="n"/>
      <c r="C65" s="206" t="n"/>
      <c r="D65" s="206" t="n"/>
    </row>
    <row r="66" ht="30" customHeight="1" s="90">
      <c r="A66" s="204" t="inlineStr"/>
      <c r="B66" s="204" t="inlineStr">
        <is>
          <t>Trip 1</t>
        </is>
      </c>
      <c r="C66" s="204" t="inlineStr">
        <is>
          <t>Trip 2</t>
        </is>
      </c>
      <c r="D66" s="204" t="inlineStr">
        <is>
          <t>Trip 3</t>
        </is>
      </c>
    </row>
    <row r="67" ht="15.75" customHeight="1" s="90">
      <c r="A67" s="114" t="inlineStr">
        <is>
          <t>Trip Label</t>
        </is>
      </c>
      <c r="B67" s="104" t="n"/>
      <c r="C67" s="104" t="n"/>
      <c r="D67" s="104" t="n"/>
    </row>
    <row r="68" ht="15.75" customHeight="1" s="90">
      <c r="A68" s="114" t="inlineStr">
        <is>
          <t>Destination</t>
        </is>
      </c>
      <c r="B68" s="104" t="n"/>
      <c r="C68" s="104" t="n"/>
      <c r="D68" s="104" t="n"/>
    </row>
    <row r="69" ht="15.75" customHeight="1" s="90">
      <c r="A69" s="114" t="inlineStr">
        <is>
          <t>Travel Type</t>
        </is>
      </c>
      <c r="B69" s="207">
        <f>IF(B68&lt;&gt;"",VLOOKUP(B68,TravelRates,2,FALSE),"")</f>
        <v/>
      </c>
      <c r="C69" s="207">
        <f>IF(C68&lt;&gt;"",VLOOKUP(C68,TravelRates,2,FALSE),"")</f>
        <v/>
      </c>
      <c r="D69" s="207">
        <f>IF(D68&lt;&gt;"",VLOOKUP(D68,TravelRates,2,FALSE),"")</f>
        <v/>
      </c>
    </row>
    <row r="70" ht="15.75" customHeight="1" s="90">
      <c r="A70" s="114" t="inlineStr">
        <is>
          <t>Staff Traveling</t>
        </is>
      </c>
      <c r="B70" s="104" t="n"/>
      <c r="C70" s="104" t="n"/>
      <c r="D70" s="104" t="n"/>
    </row>
    <row r="71" ht="15.75" customHeight="1" s="90">
      <c r="A71" s="114" t="inlineStr">
        <is>
          <t>Nights</t>
        </is>
      </c>
      <c r="B71" s="104" t="n"/>
      <c r="C71" s="104" t="n"/>
      <c r="D71" s="104" t="n"/>
    </row>
    <row r="72" ht="15.75" customHeight="1" s="90">
      <c r="A72" s="114" t="inlineStr">
        <is>
          <t>On-Site Vehicle</t>
        </is>
      </c>
      <c r="B72" s="104" t="n"/>
      <c r="C72" s="104" t="n"/>
      <c r="D72" s="104" t="n"/>
    </row>
    <row r="73" ht="15.75" customHeight="1" s="90">
      <c r="A73" s="114" t="inlineStr">
        <is>
          <t>Custom Vehicle Cost</t>
        </is>
      </c>
      <c r="B73" s="205" t="n"/>
      <c r="C73" s="205" t="n"/>
      <c r="D73" s="205" t="n"/>
    </row>
    <row r="74" ht="15.75" customHeight="1" s="90"/>
    <row r="75" ht="15.75" customHeight="1" s="90">
      <c r="A75" s="114" t="inlineStr">
        <is>
          <t>Travel Cost</t>
        </is>
      </c>
      <c r="B75" s="208">
        <f>IF(OR(B68="",B70=""),0,IF(B69="Flight",VLOOKUP(B68,TravelRates,4,FALSE)*B70,IF(B69="Drive",VLOOKUP(B68,TravelRates,3,FALSE),0)))</f>
        <v/>
      </c>
      <c r="C75" s="208">
        <f>IF(OR(C68="",C70=""),0,IF(C69="Flight",VLOOKUP(C68,TravelRates,4,FALSE)*C70,IF(C69="Drive",VLOOKUP(C68,TravelRates,3,FALSE),0)))</f>
        <v/>
      </c>
      <c r="D75" s="208">
        <f>IF(OR(D68="",D70=""),0,IF(D69="Flight",VLOOKUP(D68,TravelRates,4,FALSE)*D70,IF(D69="Drive",VLOOKUP(D68,TravelRates,3,FALSE),0)))</f>
        <v/>
      </c>
    </row>
    <row r="76" ht="15.75" customHeight="1" s="90">
      <c r="A76" s="114" t="inlineStr">
        <is>
          <t>Hotel Cost</t>
        </is>
      </c>
      <c r="B76" s="208">
        <f>IF(OR(B68="",B70="",B71=""),0,VLOOKUP(B68,TravelRates,5,FALSE)*B71*B70)</f>
        <v/>
      </c>
      <c r="C76" s="208">
        <f>IF(OR(C68="",C70="",C71=""),0,VLOOKUP(C68,TravelRates,5,FALSE)*C71*C70)</f>
        <v/>
      </c>
      <c r="D76" s="208">
        <f>IF(OR(D68="",D70="",D71=""),0,VLOOKUP(D68,TravelRates,5,FALSE)*D71*D70)</f>
        <v/>
      </c>
    </row>
    <row r="77" ht="15.75" customHeight="1" s="90">
      <c r="A77" s="114" t="inlineStr">
        <is>
          <t>Per Diem Cost</t>
        </is>
      </c>
      <c r="B77" s="208">
        <f>IF(OR(B68="",B70=""),0,VLOOKUP(B68,TravelRates,6,FALSE)*(B71+1)*B70)</f>
        <v/>
      </c>
      <c r="C77" s="208">
        <f>IF(OR(C68="",C70=""),0,VLOOKUP(C68,TravelRates,6,FALSE)*(C71+1)*C70)</f>
        <v/>
      </c>
      <c r="D77" s="208">
        <f>IF(OR(D68="",D70=""),0,VLOOKUP(D68,TravelRates,6,FALSE)*(D71+1)*D70)</f>
        <v/>
      </c>
    </row>
    <row r="78" ht="15.75" customHeight="1" s="90">
      <c r="A78" s="114" t="inlineStr">
        <is>
          <t>Vehicle Cost</t>
        </is>
      </c>
      <c r="B78" s="208">
        <f>IF(OR(B72="",B72="None"),0,IF(B72="Custom",IF(ISNUMBER(B73),B73,0),IFERROR(VLOOKUP(B72,VehicleRates,2,FALSE),0)))</f>
        <v/>
      </c>
      <c r="C78" s="208">
        <f>IF(OR(C72="",C72="None"),0,IF(C72="Custom",IF(ISNUMBER(C73),C73,0),IFERROR(VLOOKUP(C72,VehicleRates,2,FALSE),0)))</f>
        <v/>
      </c>
      <c r="D78" s="208">
        <f>IF(OR(D72="",D72="None"),0,IF(D72="Custom",IF(ISNUMBER(D73),D73,0),IFERROR(VLOOKUP(D72,VehicleRates,2,FALSE),0)))</f>
        <v/>
      </c>
    </row>
    <row r="79" ht="15.75" customHeight="1" s="90">
      <c r="A79" s="209" t="inlineStr">
        <is>
          <t>Trip Total</t>
        </is>
      </c>
      <c r="B79" s="210">
        <f>B75+B76+B77+B78</f>
        <v/>
      </c>
      <c r="C79" s="210">
        <f>C75+C76+C77+C78</f>
        <v/>
      </c>
      <c r="D79" s="210">
        <f>D75+D76+D77+D78</f>
        <v/>
      </c>
    </row>
    <row r="80" ht="15.75" customHeight="1" s="90"/>
    <row r="81" ht="15.75" customHeight="1" s="90">
      <c r="A81" s="117" t="inlineStr">
        <is>
          <t>Total Travel Expenses</t>
        </is>
      </c>
      <c r="B81" s="118" t="n"/>
      <c r="C81" s="118" t="n"/>
      <c r="D81" s="211">
        <f>B79+C79+D79</f>
        <v/>
      </c>
    </row>
    <row r="82" ht="15.75" customHeight="1" s="90">
      <c r="A82" s="212" t="inlineStr">
        <is>
          <t>PROFIT &amp; MARGIN ANALYSIS</t>
        </is>
      </c>
      <c r="B82" s="206" t="n"/>
      <c r="C82" s="206" t="n"/>
      <c r="D82" s="206" t="n"/>
      <c r="E82" s="206" t="n"/>
      <c r="H82" s="94" t="n"/>
      <c r="I82" s="94" t="n"/>
      <c r="J82" s="94" t="n"/>
      <c r="K82" s="94" t="n"/>
      <c r="L82" s="94" t="n"/>
      <c r="M82" s="94" t="n"/>
      <c r="N82" s="94" t="n"/>
      <c r="O82" s="94" t="n"/>
      <c r="P82" s="94" t="n"/>
      <c r="Q82" s="94" t="n"/>
      <c r="R82" s="94" t="n"/>
      <c r="S82" s="94" t="n"/>
      <c r="T82" s="94" t="n"/>
      <c r="U82" s="94" t="n"/>
      <c r="V82" s="94" t="n"/>
      <c r="W82" s="94" t="n"/>
      <c r="X82" s="94" t="n"/>
      <c r="Y82" s="94" t="n"/>
      <c r="Z82" s="94" t="n"/>
    </row>
    <row r="83" ht="15.75" customHeight="1" s="90">
      <c r="A83" s="213" t="inlineStr">
        <is>
          <t>Third-Party Commission</t>
        </is>
      </c>
      <c r="B83" s="168" t="n"/>
      <c r="C83" s="214">
        <f>'Client Setup'!C36</f>
        <v/>
      </c>
      <c r="D83" s="215">
        <f>(E43+E46+E48+E49+E51+E52+E53)*C83</f>
        <v/>
      </c>
      <c r="E83" s="168" t="n"/>
      <c r="F83" s="168" t="n"/>
      <c r="G83" s="168" t="n"/>
      <c r="H83" s="94" t="n"/>
      <c r="I83" s="94" t="n"/>
      <c r="J83" s="94" t="n"/>
      <c r="K83" s="94" t="n"/>
      <c r="L83" s="94" t="n"/>
      <c r="M83" s="94" t="n"/>
      <c r="N83" s="94" t="n"/>
      <c r="O83" s="94" t="n"/>
      <c r="P83" s="94" t="n"/>
      <c r="Q83" s="94" t="n"/>
      <c r="R83" s="94" t="n"/>
      <c r="S83" s="94" t="n"/>
      <c r="T83" s="94" t="n"/>
      <c r="U83" s="94" t="n"/>
      <c r="V83" s="94" t="n"/>
      <c r="W83" s="94" t="n"/>
      <c r="X83" s="94" t="n"/>
      <c r="Y83" s="94" t="n"/>
      <c r="Z83" s="94" t="n"/>
    </row>
    <row r="84" ht="15.75" customHeight="1" s="90">
      <c r="A84" s="213" t="inlineStr">
        <is>
          <t>Global DMC Fee (6.5%)</t>
        </is>
      </c>
      <c r="B84" s="168" t="n"/>
      <c r="C84" s="169">
        <f>IF('Client Setup'!C37="Yes",0.065,0)</f>
        <v/>
      </c>
      <c r="D84" s="215">
        <f>IF('Client Setup'!C37="Yes",(E43+E46+E48+E49+E51+E52+E53)*0.065,0)</f>
        <v/>
      </c>
      <c r="E84" s="168" t="n"/>
      <c r="F84" s="168" t="n"/>
      <c r="G84" s="168" t="n"/>
      <c r="H84" s="94" t="n"/>
      <c r="I84" s="94" t="n"/>
      <c r="J84" s="94" t="n"/>
      <c r="K84" s="94" t="n"/>
      <c r="L84" s="94" t="n"/>
      <c r="M84" s="94" t="n"/>
      <c r="N84" s="94" t="n"/>
      <c r="O84" s="94" t="n"/>
      <c r="P84" s="94" t="n"/>
      <c r="Q84" s="94" t="n"/>
      <c r="R84" s="94" t="n"/>
      <c r="S84" s="94" t="n"/>
      <c r="T84" s="94" t="n"/>
      <c r="U84" s="94" t="n"/>
      <c r="V84" s="94" t="n"/>
      <c r="W84" s="94" t="n"/>
      <c r="X84" s="94" t="n"/>
      <c r="Y84" s="94" t="n"/>
      <c r="Z84" s="94" t="n"/>
    </row>
    <row r="85" ht="15.75" customHeight="1" s="90">
      <c r="A85" s="213" t="inlineStr">
        <is>
          <t>Total Vendor Costs (incl. CC fee)</t>
        </is>
      </c>
      <c r="B85" s="168" t="n"/>
      <c r="C85" s="168" t="n"/>
      <c r="D85" s="215">
        <f>D54+D55</f>
        <v/>
      </c>
      <c r="E85" s="168" t="n"/>
      <c r="F85" s="168" t="n"/>
      <c r="G85" s="168" t="n"/>
      <c r="H85" s="94" t="n"/>
      <c r="I85" s="94" t="n"/>
      <c r="J85" s="94" t="n"/>
      <c r="K85" s="94" t="n"/>
      <c r="L85" s="94" t="n"/>
      <c r="M85" s="94" t="n"/>
      <c r="N85" s="94" t="n"/>
      <c r="O85" s="94" t="n"/>
      <c r="P85" s="94" t="n"/>
      <c r="Q85" s="94" t="n"/>
      <c r="R85" s="94" t="n"/>
      <c r="S85" s="94" t="n"/>
      <c r="T85" s="94" t="n"/>
      <c r="U85" s="94" t="n"/>
      <c r="V85" s="94" t="n"/>
      <c r="W85" s="94" t="n"/>
      <c r="X85" s="94" t="n"/>
      <c r="Y85" s="94" t="n"/>
      <c r="Z85" s="94" t="n"/>
    </row>
    <row r="86" ht="15.75" customHeight="1" s="90">
      <c r="A86" s="216" t="inlineStr">
        <is>
          <t>QC Revenue</t>
        </is>
      </c>
      <c r="B86" s="168" t="n"/>
      <c r="C86" s="168" t="n"/>
      <c r="D86" s="215">
        <f>IFERROR(E57-D83-D84-D85,0)</f>
        <v/>
      </c>
      <c r="E86" s="168" t="n"/>
      <c r="F86" s="168" t="n"/>
      <c r="G86" s="168" t="n"/>
      <c r="H86" s="94" t="n"/>
      <c r="I86" s="94" t="n"/>
      <c r="J86" s="94" t="n"/>
      <c r="K86" s="94" t="n"/>
      <c r="L86" s="94" t="n"/>
      <c r="M86" s="94" t="n"/>
      <c r="N86" s="94" t="n"/>
      <c r="O86" s="94" t="n"/>
      <c r="P86" s="94" t="n"/>
      <c r="Q86" s="94" t="n"/>
      <c r="R86" s="94" t="n"/>
      <c r="S86" s="94" t="n"/>
      <c r="T86" s="94" t="n"/>
      <c r="U86" s="94" t="n"/>
      <c r="V86" s="94" t="n"/>
      <c r="W86" s="94" t="n"/>
      <c r="X86" s="94" t="n"/>
      <c r="Y86" s="94" t="n"/>
      <c r="Z86" s="94" t="n"/>
    </row>
    <row r="87" ht="15.75" customHeight="1" s="90">
      <c r="A87" s="217" t="inlineStr">
        <is>
          <t>QC Margin %</t>
        </is>
      </c>
      <c r="B87" s="161" t="n"/>
      <c r="C87" s="161" t="n"/>
      <c r="D87" s="218">
        <f>IFERROR(IF(E57&gt;0,D86/E57,0),0)</f>
        <v/>
      </c>
      <c r="E87" s="161" t="n"/>
      <c r="F87" s="161" t="n"/>
      <c r="G87" s="161" t="n"/>
      <c r="H87" s="94" t="n"/>
      <c r="I87" s="94" t="n"/>
      <c r="J87" s="94" t="n"/>
      <c r="K87" s="94" t="n"/>
      <c r="L87" s="94" t="n"/>
      <c r="M87" s="94" t="n"/>
      <c r="N87" s="94" t="n"/>
      <c r="O87" s="94" t="n"/>
      <c r="P87" s="94" t="n"/>
      <c r="Q87" s="94" t="n"/>
      <c r="R87" s="94" t="n"/>
      <c r="S87" s="94" t="n"/>
      <c r="T87" s="94" t="n"/>
      <c r="U87" s="94" t="n"/>
      <c r="V87" s="94" t="n"/>
      <c r="W87" s="94" t="n"/>
      <c r="X87" s="94" t="n"/>
      <c r="Y87" s="94" t="n"/>
      <c r="Z87" s="94" t="n"/>
    </row>
    <row r="88" ht="15.75" customHeight="1" s="90">
      <c r="A88" s="103" t="inlineStr">
        <is>
          <t>Margin Health</t>
        </is>
      </c>
      <c r="B88" s="173" t="n"/>
      <c r="C88" s="173" t="n"/>
      <c r="D88" s="207">
        <f>IF(D87&gt;=0.45,"✓ STRONG",IF(D87&gt;=0.35,"→ ON TARGET",IF(D87&gt;=0.25,"⚠ REVIEW","✗ BELOW FLOOR")))</f>
        <v/>
      </c>
      <c r="E88" s="173" t="n"/>
      <c r="F88" s="173" t="n"/>
      <c r="G88" s="173" t="n"/>
      <c r="H88" s="94" t="n"/>
      <c r="I88" s="94" t="n"/>
      <c r="J88" s="94" t="n"/>
      <c r="K88" s="94" t="n"/>
      <c r="L88" s="94" t="n"/>
      <c r="M88" s="94" t="n"/>
      <c r="N88" s="94" t="n"/>
      <c r="O88" s="94" t="n"/>
      <c r="P88" s="94" t="n"/>
      <c r="Q88" s="94" t="n"/>
      <c r="R88" s="94" t="n"/>
      <c r="S88" s="94" t="n"/>
      <c r="T88" s="94" t="n"/>
      <c r="U88" s="94" t="n"/>
      <c r="V88" s="94" t="n"/>
      <c r="W88" s="94" t="n"/>
      <c r="X88" s="94" t="n"/>
      <c r="Y88" s="94" t="n"/>
      <c r="Z88" s="94" t="n"/>
    </row>
    <row r="89" ht="15.75" customHeight="1" s="90">
      <c r="A89" s="128" t="n"/>
      <c r="B89" s="128" t="n"/>
      <c r="C89" s="128" t="n"/>
      <c r="D89" s="128" t="n"/>
      <c r="E89" s="128" t="n"/>
      <c r="F89" s="128" t="n"/>
      <c r="G89" s="128" t="n"/>
      <c r="H89" s="94" t="n"/>
      <c r="I89" s="94" t="n"/>
      <c r="J89" s="94" t="n"/>
      <c r="K89" s="94" t="n"/>
      <c r="L89" s="94" t="n"/>
      <c r="M89" s="94" t="n"/>
      <c r="N89" s="94" t="n"/>
      <c r="O89" s="94" t="n"/>
      <c r="P89" s="94" t="n"/>
      <c r="Q89" s="94" t="n"/>
      <c r="R89" s="94" t="n"/>
      <c r="S89" s="94" t="n"/>
      <c r="T89" s="94" t="n"/>
      <c r="U89" s="94" t="n"/>
      <c r="V89" s="94" t="n"/>
      <c r="W89" s="94" t="n"/>
      <c r="X89" s="94" t="n"/>
      <c r="Y89" s="94" t="n"/>
      <c r="Z89" s="94" t="n"/>
    </row>
    <row r="90" ht="15.75" customHeight="1" s="90">
      <c r="A90" s="114" t="inlineStr">
        <is>
          <t>Estimated Team Hours</t>
        </is>
      </c>
      <c r="B90" s="173" t="n"/>
      <c r="C90" s="175" t="n"/>
      <c r="D90" s="208">
        <f>IF(ISNUMBER(C90),C90*90,0)</f>
        <v/>
      </c>
      <c r="E90" s="172" t="inlineStr">
        <is>
          <t>Hours × $90/hr</t>
        </is>
      </c>
      <c r="F90" s="173" t="n"/>
      <c r="G90" s="173" t="n"/>
      <c r="H90" s="94" t="n"/>
      <c r="I90" s="94" t="n"/>
      <c r="J90" s="94" t="n"/>
      <c r="K90" s="94" t="n"/>
      <c r="L90" s="94" t="n"/>
      <c r="M90" s="94" t="n"/>
      <c r="N90" s="94" t="n"/>
      <c r="O90" s="94" t="n"/>
      <c r="P90" s="94" t="n"/>
      <c r="Q90" s="94" t="n"/>
      <c r="R90" s="94" t="n"/>
      <c r="S90" s="94" t="n"/>
      <c r="T90" s="94" t="n"/>
      <c r="U90" s="94" t="n"/>
      <c r="V90" s="94" t="n"/>
      <c r="W90" s="94" t="n"/>
      <c r="X90" s="94" t="n"/>
      <c r="Y90" s="94" t="n"/>
      <c r="Z90" s="94" t="n"/>
    </row>
    <row r="91" ht="15.75" customHeight="1" s="90">
      <c r="A91" s="103" t="inlineStr">
        <is>
          <t>True Net Profit</t>
        </is>
      </c>
      <c r="B91" s="178" t="n"/>
      <c r="C91" s="178" t="n"/>
      <c r="D91" s="208">
        <f>D86-D90-D81</f>
        <v/>
      </c>
      <c r="E91" s="178" t="n"/>
      <c r="F91" s="178" t="n"/>
      <c r="G91" s="178" t="n"/>
      <c r="H91" s="94" t="n"/>
      <c r="I91" s="94" t="n"/>
      <c r="J91" s="94" t="n"/>
      <c r="K91" s="94" t="n"/>
      <c r="L91" s="94" t="n"/>
      <c r="M91" s="94" t="n"/>
      <c r="N91" s="94" t="n"/>
      <c r="O91" s="94" t="n"/>
      <c r="P91" s="94" t="n"/>
      <c r="Q91" s="94" t="n"/>
      <c r="R91" s="94" t="n"/>
      <c r="S91" s="94" t="n"/>
      <c r="T91" s="94" t="n"/>
      <c r="U91" s="94" t="n"/>
      <c r="V91" s="94" t="n"/>
      <c r="W91" s="94" t="n"/>
      <c r="X91" s="94" t="n"/>
      <c r="Y91" s="94" t="n"/>
      <c r="Z91" s="94" t="n"/>
    </row>
    <row r="92" ht="15.75" customHeight="1" s="90">
      <c r="A92" s="114" t="inlineStr">
        <is>
          <t>True Net Margin %</t>
        </is>
      </c>
      <c r="B92" s="180" t="n"/>
      <c r="C92" s="180" t="n"/>
      <c r="D92" s="219">
        <f>IFERROR(IF(E57&gt;0,D91/E57,0),0)</f>
        <v/>
      </c>
      <c r="E92" s="180" t="n"/>
      <c r="F92" s="180" t="n"/>
      <c r="G92" s="180" t="n"/>
      <c r="H92" s="94" t="n"/>
      <c r="I92" s="94" t="n"/>
      <c r="J92" s="94" t="n"/>
      <c r="K92" s="94" t="n"/>
      <c r="L92" s="94" t="n"/>
      <c r="M92" s="94" t="n"/>
      <c r="N92" s="94" t="n"/>
      <c r="O92" s="94" t="n"/>
      <c r="P92" s="94" t="n"/>
      <c r="Q92" s="94" t="n"/>
      <c r="R92" s="94" t="n"/>
      <c r="S92" s="94" t="n"/>
      <c r="T92" s="94" t="n"/>
      <c r="U92" s="94" t="n"/>
      <c r="V92" s="94" t="n"/>
      <c r="W92" s="94" t="n"/>
      <c r="X92" s="94" t="n"/>
      <c r="Y92" s="94" t="n"/>
      <c r="Z92" s="94" t="n"/>
    </row>
    <row r="93" ht="15.75" customHeight="1" s="90">
      <c r="A93" s="103" t="inlineStr">
        <is>
          <t>True Net Health</t>
        </is>
      </c>
      <c r="B93" s="178" t="n"/>
      <c r="C93" s="178" t="n"/>
      <c r="D93" s="207">
        <f>IF(D92&gt;=0.15,"✓ STRONG",IF(D92&gt;=0.07,"→ ON TARGET",IF(D92&gt;=0,"⚠ THIN","✗ LOSING MONEY")))</f>
        <v/>
      </c>
      <c r="E93" s="178" t="n"/>
      <c r="F93" s="178" t="n"/>
      <c r="G93" s="178" t="n"/>
      <c r="H93" s="94" t="n"/>
      <c r="I93" s="94" t="n"/>
      <c r="J93" s="94" t="n"/>
      <c r="K93" s="94" t="n"/>
      <c r="L93" s="94" t="n"/>
      <c r="M93" s="94" t="n"/>
      <c r="N93" s="94" t="n"/>
      <c r="O93" s="94" t="n"/>
      <c r="P93" s="94" t="n"/>
      <c r="Q93" s="94" t="n"/>
      <c r="R93" s="94" t="n"/>
      <c r="S93" s="94" t="n"/>
      <c r="T93" s="94" t="n"/>
      <c r="U93" s="94" t="n"/>
      <c r="V93" s="94" t="n"/>
      <c r="W93" s="94" t="n"/>
      <c r="X93" s="94" t="n"/>
      <c r="Y93" s="94" t="n"/>
      <c r="Z93" s="94" t="n"/>
    </row>
    <row r="94" ht="15.75" customHeight="1" s="90">
      <c r="A94" s="94" t="n"/>
      <c r="B94" s="94" t="n"/>
      <c r="C94" s="94" t="n"/>
      <c r="D94" s="94" t="n"/>
      <c r="E94" s="94" t="n"/>
      <c r="F94" s="94" t="n"/>
      <c r="G94" s="94" t="n"/>
      <c r="H94" s="94" t="n"/>
      <c r="I94" s="94" t="n"/>
      <c r="J94" s="94" t="n"/>
      <c r="K94" s="94" t="n"/>
      <c r="L94" s="94" t="n"/>
      <c r="M94" s="94" t="n"/>
      <c r="N94" s="94" t="n"/>
      <c r="O94" s="94" t="n"/>
      <c r="P94" s="94" t="n"/>
      <c r="Q94" s="94" t="n"/>
      <c r="R94" s="94" t="n"/>
      <c r="S94" s="94" t="n"/>
      <c r="T94" s="94" t="n"/>
      <c r="U94" s="94" t="n"/>
      <c r="V94" s="94" t="n"/>
      <c r="W94" s="94" t="n"/>
      <c r="X94" s="94" t="n"/>
      <c r="Y94" s="94" t="n"/>
      <c r="Z94" s="94" t="n"/>
    </row>
    <row r="95" ht="15.75" customHeight="1" s="90">
      <c r="A95" s="94" t="n"/>
      <c r="B95" s="94" t="n"/>
      <c r="C95" s="94" t="n"/>
      <c r="D95" s="94" t="n"/>
      <c r="E95" s="94" t="n"/>
      <c r="F95" s="94" t="n"/>
      <c r="G95" s="94" t="n"/>
      <c r="H95" s="94" t="n"/>
      <c r="I95" s="94" t="n"/>
      <c r="J95" s="94" t="n"/>
      <c r="K95" s="94" t="n"/>
      <c r="L95" s="94" t="n"/>
      <c r="M95" s="94" t="n"/>
      <c r="N95" s="94" t="n"/>
      <c r="O95" s="94" t="n"/>
      <c r="P95" s="94" t="n"/>
      <c r="Q95" s="94" t="n"/>
      <c r="R95" s="94" t="n"/>
      <c r="S95" s="94" t="n"/>
      <c r="T95" s="94" t="n"/>
      <c r="U95" s="94" t="n"/>
      <c r="V95" s="94" t="n"/>
      <c r="W95" s="94" t="n"/>
      <c r="X95" s="94" t="n"/>
      <c r="Y95" s="94" t="n"/>
      <c r="Z95" s="94" t="n"/>
    </row>
    <row r="96" ht="15.75" customHeight="1" s="90">
      <c r="A96" s="94" t="n"/>
      <c r="B96" s="94" t="n"/>
      <c r="C96" s="94" t="n"/>
      <c r="D96" s="94" t="n"/>
      <c r="E96" s="94" t="n"/>
      <c r="F96" s="94" t="n"/>
      <c r="G96" s="94" t="n"/>
      <c r="H96" s="94" t="n"/>
      <c r="I96" s="94" t="n"/>
      <c r="J96" s="94" t="n"/>
      <c r="K96" s="94" t="n"/>
      <c r="L96" s="94" t="n"/>
      <c r="M96" s="94" t="n"/>
      <c r="N96" s="94" t="n"/>
      <c r="O96" s="94" t="n"/>
      <c r="P96" s="94" t="n"/>
      <c r="Q96" s="94" t="n"/>
      <c r="R96" s="94" t="n"/>
      <c r="S96" s="94" t="n"/>
      <c r="T96" s="94" t="n"/>
      <c r="U96" s="94" t="n"/>
      <c r="V96" s="94" t="n"/>
      <c r="W96" s="94" t="n"/>
      <c r="X96" s="94" t="n"/>
      <c r="Y96" s="94" t="n"/>
      <c r="Z96" s="94" t="n"/>
    </row>
    <row r="97" ht="15.75" customHeight="1" s="90">
      <c r="A97" s="94" t="n"/>
      <c r="B97" s="94" t="n"/>
      <c r="C97" s="94" t="n"/>
      <c r="D97" s="94" t="n"/>
      <c r="E97" s="94" t="n"/>
      <c r="F97" s="94" t="n"/>
      <c r="G97" s="94" t="n"/>
      <c r="H97" s="94" t="n"/>
      <c r="I97" s="94" t="n"/>
      <c r="J97" s="94" t="n"/>
      <c r="K97" s="94" t="n"/>
      <c r="L97" s="94" t="n"/>
      <c r="M97" s="94" t="n"/>
      <c r="N97" s="94" t="n"/>
      <c r="O97" s="94" t="n"/>
      <c r="P97" s="94" t="n"/>
      <c r="Q97" s="94" t="n"/>
      <c r="R97" s="94" t="n"/>
      <c r="S97" s="94" t="n"/>
      <c r="T97" s="94" t="n"/>
      <c r="U97" s="94" t="n"/>
      <c r="V97" s="94" t="n"/>
      <c r="W97" s="94" t="n"/>
      <c r="X97" s="94" t="n"/>
      <c r="Y97" s="94" t="n"/>
      <c r="Z97" s="94" t="n"/>
    </row>
    <row r="98" ht="15.75" customHeight="1" s="90">
      <c r="A98" s="94" t="n"/>
      <c r="B98" s="94" t="n"/>
      <c r="C98" s="94" t="n"/>
      <c r="D98" s="94" t="n"/>
      <c r="E98" s="94" t="n"/>
      <c r="F98" s="94" t="n"/>
      <c r="G98" s="94" t="n"/>
      <c r="H98" s="94" t="n"/>
      <c r="I98" s="94" t="n"/>
      <c r="J98" s="94" t="n"/>
      <c r="K98" s="94" t="n"/>
      <c r="L98" s="94" t="n"/>
      <c r="M98" s="94" t="n"/>
      <c r="N98" s="94" t="n"/>
      <c r="O98" s="94" t="n"/>
      <c r="P98" s="94" t="n"/>
      <c r="Q98" s="94" t="n"/>
      <c r="R98" s="94" t="n"/>
      <c r="S98" s="94" t="n"/>
      <c r="T98" s="94" t="n"/>
      <c r="U98" s="94" t="n"/>
      <c r="V98" s="94" t="n"/>
      <c r="W98" s="94" t="n"/>
      <c r="X98" s="94" t="n"/>
      <c r="Y98" s="94" t="n"/>
      <c r="Z98" s="94" t="n"/>
    </row>
    <row r="99" ht="15.75" customHeight="1" s="90">
      <c r="A99" s="94" t="n"/>
      <c r="B99" s="94" t="n"/>
      <c r="C99" s="94" t="n"/>
      <c r="D99" s="94" t="n"/>
      <c r="E99" s="94" t="n"/>
      <c r="F99" s="94" t="n"/>
      <c r="G99" s="94" t="n"/>
      <c r="H99" s="94" t="n"/>
      <c r="I99" s="94" t="n"/>
      <c r="J99" s="94" t="n"/>
      <c r="K99" s="94" t="n"/>
      <c r="L99" s="94" t="n"/>
      <c r="M99" s="94" t="n"/>
      <c r="N99" s="94" t="n"/>
      <c r="O99" s="94" t="n"/>
      <c r="P99" s="94" t="n"/>
      <c r="Q99" s="94" t="n"/>
      <c r="R99" s="94" t="n"/>
      <c r="S99" s="94" t="n"/>
      <c r="T99" s="94" t="n"/>
      <c r="U99" s="94" t="n"/>
      <c r="V99" s="94" t="n"/>
      <c r="W99" s="94" t="n"/>
      <c r="X99" s="94" t="n"/>
      <c r="Y99" s="94" t="n"/>
      <c r="Z99" s="94" t="n"/>
    </row>
    <row r="100" ht="15.75" customHeight="1" s="90">
      <c r="A100" s="94" t="n"/>
      <c r="B100" s="94" t="n"/>
      <c r="C100" s="94" t="n"/>
      <c r="D100" s="94" t="n"/>
      <c r="E100" s="94" t="n"/>
      <c r="F100" s="94" t="n"/>
      <c r="G100" s="94" t="n"/>
      <c r="H100" s="94" t="n"/>
      <c r="I100" s="94" t="n"/>
      <c r="J100" s="94" t="n"/>
      <c r="K100" s="94" t="n"/>
      <c r="L100" s="94" t="n"/>
      <c r="M100" s="94" t="n"/>
      <c r="N100" s="94" t="n"/>
      <c r="O100" s="94" t="n"/>
      <c r="P100" s="94" t="n"/>
      <c r="Q100" s="94" t="n"/>
      <c r="R100" s="94" t="n"/>
      <c r="S100" s="94" t="n"/>
      <c r="T100" s="94" t="n"/>
      <c r="U100" s="94" t="n"/>
      <c r="V100" s="94" t="n"/>
      <c r="W100" s="94" t="n"/>
      <c r="X100" s="94" t="n"/>
      <c r="Y100" s="94" t="n"/>
      <c r="Z100" s="94" t="n"/>
    </row>
    <row r="101" ht="15.75" customHeight="1" s="90">
      <c r="A101" s="94" t="n"/>
      <c r="B101" s="94" t="n"/>
      <c r="C101" s="94" t="n"/>
      <c r="D101" s="94" t="n"/>
      <c r="E101" s="94" t="n"/>
      <c r="F101" s="94" t="n"/>
      <c r="G101" s="94" t="n"/>
      <c r="H101" s="94" t="n"/>
      <c r="I101" s="94" t="n"/>
      <c r="J101" s="94" t="n"/>
      <c r="K101" s="94" t="n"/>
      <c r="L101" s="94" t="n"/>
      <c r="M101" s="94" t="n"/>
      <c r="N101" s="94" t="n"/>
      <c r="O101" s="94" t="n"/>
      <c r="P101" s="94" t="n"/>
      <c r="Q101" s="94" t="n"/>
      <c r="R101" s="94" t="n"/>
      <c r="S101" s="94" t="n"/>
      <c r="T101" s="94" t="n"/>
      <c r="U101" s="94" t="n"/>
      <c r="V101" s="94" t="n"/>
      <c r="W101" s="94" t="n"/>
      <c r="X101" s="94" t="n"/>
      <c r="Y101" s="94" t="n"/>
      <c r="Z101" s="94" t="n"/>
    </row>
    <row r="102" ht="15.75" customHeight="1" s="90">
      <c r="A102" s="94" t="n"/>
      <c r="B102" s="94" t="n"/>
      <c r="C102" s="94" t="n"/>
      <c r="D102" s="94" t="n"/>
      <c r="E102" s="94" t="n"/>
      <c r="F102" s="94" t="n"/>
      <c r="G102" s="94" t="n"/>
      <c r="H102" s="94" t="n"/>
      <c r="I102" s="94" t="n"/>
      <c r="J102" s="94" t="n"/>
      <c r="K102" s="94" t="n"/>
      <c r="L102" s="94" t="n"/>
      <c r="M102" s="94" t="n"/>
      <c r="N102" s="94" t="n"/>
      <c r="O102" s="94" t="n"/>
      <c r="P102" s="94" t="n"/>
      <c r="Q102" s="94" t="n"/>
      <c r="R102" s="94" t="n"/>
      <c r="S102" s="94" t="n"/>
      <c r="T102" s="94" t="n"/>
      <c r="U102" s="94" t="n"/>
      <c r="V102" s="94" t="n"/>
      <c r="W102" s="94" t="n"/>
      <c r="X102" s="94" t="n"/>
      <c r="Y102" s="94" t="n"/>
      <c r="Z102" s="94" t="n"/>
    </row>
    <row r="103" ht="15.75" customHeight="1" s="90">
      <c r="A103" s="94" t="n"/>
      <c r="B103" s="94" t="n"/>
      <c r="C103" s="94" t="n"/>
      <c r="D103" s="94" t="n"/>
      <c r="E103" s="94" t="n"/>
      <c r="F103" s="94" t="n"/>
      <c r="G103" s="94" t="n"/>
      <c r="H103" s="94" t="n"/>
      <c r="I103" s="94" t="n"/>
      <c r="J103" s="94" t="n"/>
      <c r="K103" s="94" t="n"/>
      <c r="L103" s="94" t="n"/>
      <c r="M103" s="94" t="n"/>
      <c r="N103" s="94" t="n"/>
      <c r="O103" s="94" t="n"/>
      <c r="P103" s="94" t="n"/>
      <c r="Q103" s="94" t="n"/>
      <c r="R103" s="94" t="n"/>
      <c r="S103" s="94" t="n"/>
      <c r="T103" s="94" t="n"/>
      <c r="U103" s="94" t="n"/>
      <c r="V103" s="94" t="n"/>
      <c r="W103" s="94" t="n"/>
      <c r="X103" s="94" t="n"/>
      <c r="Y103" s="94" t="n"/>
      <c r="Z103" s="94" t="n"/>
    </row>
    <row r="104" ht="15.75" customHeight="1" s="90">
      <c r="A104" s="94" t="n"/>
      <c r="B104" s="94" t="n"/>
      <c r="C104" s="94" t="n"/>
      <c r="D104" s="94" t="n"/>
      <c r="E104" s="94" t="n"/>
      <c r="F104" s="94" t="n"/>
      <c r="G104" s="94" t="n"/>
      <c r="H104" s="94" t="n"/>
      <c r="I104" s="94" t="n"/>
      <c r="J104" s="94" t="n"/>
      <c r="K104" s="94" t="n"/>
      <c r="L104" s="94" t="n"/>
      <c r="M104" s="94" t="n"/>
      <c r="N104" s="94" t="n"/>
      <c r="O104" s="94" t="n"/>
      <c r="P104" s="94" t="n"/>
      <c r="Q104" s="94" t="n"/>
      <c r="R104" s="94" t="n"/>
      <c r="S104" s="94" t="n"/>
      <c r="T104" s="94" t="n"/>
      <c r="U104" s="94" t="n"/>
      <c r="V104" s="94" t="n"/>
      <c r="W104" s="94" t="n"/>
      <c r="X104" s="94" t="n"/>
      <c r="Y104" s="94" t="n"/>
      <c r="Z104" s="94" t="n"/>
    </row>
    <row r="105" ht="15.75" customHeight="1" s="90">
      <c r="A105" s="94" t="n"/>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c r="U105" s="94" t="n"/>
      <c r="V105" s="94" t="n"/>
      <c r="W105" s="94" t="n"/>
      <c r="X105" s="94" t="n"/>
      <c r="Y105" s="94" t="n"/>
      <c r="Z105" s="94" t="n"/>
    </row>
    <row r="106" ht="15.75" customHeight="1" s="90">
      <c r="A106" s="94" t="n"/>
      <c r="B106" s="94" t="n"/>
      <c r="C106" s="94" t="n"/>
      <c r="D106" s="94" t="n"/>
      <c r="E106" s="94" t="n"/>
      <c r="F106" s="94" t="n"/>
      <c r="G106" s="94" t="n"/>
      <c r="H106" s="94" t="n"/>
      <c r="I106" s="94" t="n"/>
      <c r="J106" s="94" t="n"/>
      <c r="K106" s="94" t="n"/>
      <c r="L106" s="94" t="n"/>
      <c r="M106" s="94" t="n"/>
      <c r="N106" s="94" t="n"/>
      <c r="O106" s="94" t="n"/>
      <c r="P106" s="94" t="n"/>
      <c r="Q106" s="94" t="n"/>
      <c r="R106" s="94" t="n"/>
      <c r="S106" s="94" t="n"/>
      <c r="T106" s="94" t="n"/>
      <c r="U106" s="94" t="n"/>
      <c r="V106" s="94" t="n"/>
      <c r="W106" s="94" t="n"/>
      <c r="X106" s="94" t="n"/>
      <c r="Y106" s="94" t="n"/>
      <c r="Z106" s="94" t="n"/>
    </row>
    <row r="107" ht="15.75" customHeight="1" s="90">
      <c r="A107" s="94" t="n"/>
      <c r="B107" s="94" t="n"/>
      <c r="C107" s="94" t="n"/>
      <c r="D107" s="94" t="n"/>
      <c r="E107" s="94" t="n"/>
      <c r="F107" s="94" t="n"/>
      <c r="G107" s="94" t="n"/>
      <c r="H107" s="94" t="n"/>
      <c r="I107" s="94" t="n"/>
      <c r="J107" s="94" t="n"/>
      <c r="K107" s="94" t="n"/>
      <c r="L107" s="94" t="n"/>
      <c r="M107" s="94" t="n"/>
      <c r="N107" s="94" t="n"/>
      <c r="O107" s="94" t="n"/>
      <c r="P107" s="94" t="n"/>
      <c r="Q107" s="94" t="n"/>
      <c r="R107" s="94" t="n"/>
      <c r="S107" s="94" t="n"/>
      <c r="T107" s="94" t="n"/>
      <c r="U107" s="94" t="n"/>
      <c r="V107" s="94" t="n"/>
      <c r="W107" s="94" t="n"/>
      <c r="X107" s="94" t="n"/>
      <c r="Y107" s="94" t="n"/>
      <c r="Z107" s="94" t="n"/>
    </row>
    <row r="108" ht="15.75" customHeight="1" s="90">
      <c r="A108" s="94" t="n"/>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c r="U108" s="94" t="n"/>
      <c r="V108" s="94" t="n"/>
      <c r="W108" s="94" t="n"/>
      <c r="X108" s="94" t="n"/>
      <c r="Y108" s="94" t="n"/>
      <c r="Z108" s="94" t="n"/>
    </row>
    <row r="109" ht="15.75" customHeight="1" s="90">
      <c r="A109" s="94" t="n"/>
      <c r="B109" s="94" t="n"/>
      <c r="C109" s="94" t="n"/>
      <c r="D109" s="94" t="n"/>
      <c r="E109" s="94" t="n"/>
      <c r="F109" s="94" t="n"/>
      <c r="G109" s="94" t="n"/>
      <c r="H109" s="94" t="n"/>
      <c r="I109" s="94" t="n"/>
      <c r="J109" s="94" t="n"/>
      <c r="K109" s="94" t="n"/>
      <c r="L109" s="94" t="n"/>
      <c r="M109" s="94" t="n"/>
      <c r="N109" s="94" t="n"/>
      <c r="O109" s="94" t="n"/>
      <c r="P109" s="94" t="n"/>
      <c r="Q109" s="94" t="n"/>
      <c r="R109" s="94" t="n"/>
      <c r="S109" s="94" t="n"/>
      <c r="T109" s="94" t="n"/>
      <c r="U109" s="94" t="n"/>
      <c r="V109" s="94" t="n"/>
      <c r="W109" s="94" t="n"/>
      <c r="X109" s="94" t="n"/>
      <c r="Y109" s="94" t="n"/>
      <c r="Z109" s="94" t="n"/>
    </row>
    <row r="110" ht="15.75" customHeight="1" s="90">
      <c r="A110" s="94" t="n"/>
      <c r="B110" s="94" t="n"/>
      <c r="C110" s="94" t="n"/>
      <c r="D110" s="94" t="n"/>
      <c r="E110" s="94" t="n"/>
      <c r="F110" s="94" t="n"/>
      <c r="G110" s="94" t="n"/>
      <c r="H110" s="94" t="n"/>
      <c r="I110" s="94" t="n"/>
      <c r="J110" s="94" t="n"/>
      <c r="K110" s="94" t="n"/>
      <c r="L110" s="94" t="n"/>
      <c r="M110" s="94" t="n"/>
      <c r="N110" s="94" t="n"/>
      <c r="O110" s="94" t="n"/>
      <c r="P110" s="94" t="n"/>
      <c r="Q110" s="94" t="n"/>
      <c r="R110" s="94" t="n"/>
      <c r="S110" s="94" t="n"/>
      <c r="T110" s="94" t="n"/>
      <c r="U110" s="94" t="n"/>
      <c r="V110" s="94" t="n"/>
      <c r="W110" s="94" t="n"/>
      <c r="X110" s="94" t="n"/>
      <c r="Y110" s="94" t="n"/>
      <c r="Z110" s="94" t="n"/>
    </row>
    <row r="111" ht="15.75" customHeight="1" s="90">
      <c r="A111" s="94" t="n"/>
      <c r="B111" s="94" t="n"/>
      <c r="C111" s="94" t="n"/>
      <c r="D111" s="94" t="n"/>
      <c r="E111" s="94" t="n"/>
      <c r="F111" s="94" t="n"/>
      <c r="G111" s="94" t="n"/>
      <c r="H111" s="94" t="n"/>
      <c r="I111" s="94" t="n"/>
      <c r="J111" s="94" t="n"/>
      <c r="K111" s="94" t="n"/>
      <c r="L111" s="94" t="n"/>
      <c r="M111" s="94" t="n"/>
      <c r="N111" s="94" t="n"/>
      <c r="O111" s="94" t="n"/>
      <c r="P111" s="94" t="n"/>
      <c r="Q111" s="94" t="n"/>
      <c r="R111" s="94" t="n"/>
      <c r="S111" s="94" t="n"/>
      <c r="T111" s="94" t="n"/>
      <c r="U111" s="94" t="n"/>
      <c r="V111" s="94" t="n"/>
      <c r="W111" s="94" t="n"/>
      <c r="X111" s="94" t="n"/>
      <c r="Y111" s="94" t="n"/>
      <c r="Z111" s="94" t="n"/>
    </row>
    <row r="112" ht="15.75" customHeight="1" s="90">
      <c r="A112" s="94" t="n"/>
      <c r="B112" s="94" t="n"/>
      <c r="C112" s="94" t="n"/>
      <c r="D112" s="94" t="n"/>
      <c r="E112" s="94" t="n"/>
      <c r="F112" s="94" t="n"/>
      <c r="G112" s="94" t="n"/>
      <c r="H112" s="94" t="n"/>
      <c r="I112" s="94" t="n"/>
      <c r="J112" s="94" t="n"/>
      <c r="K112" s="94" t="n"/>
      <c r="L112" s="94" t="n"/>
      <c r="M112" s="94" t="n"/>
      <c r="N112" s="94" t="n"/>
      <c r="O112" s="94" t="n"/>
      <c r="P112" s="94" t="n"/>
      <c r="Q112" s="94" t="n"/>
      <c r="R112" s="94" t="n"/>
      <c r="S112" s="94" t="n"/>
      <c r="T112" s="94" t="n"/>
      <c r="U112" s="94" t="n"/>
      <c r="V112" s="94" t="n"/>
      <c r="W112" s="94" t="n"/>
      <c r="X112" s="94" t="n"/>
      <c r="Y112" s="94" t="n"/>
      <c r="Z112" s="94" t="n"/>
    </row>
    <row r="113" ht="15.75" customHeight="1" s="90">
      <c r="A113" s="94" t="n"/>
      <c r="B113" s="94" t="n"/>
      <c r="C113" s="94" t="n"/>
      <c r="D113" s="94" t="n"/>
      <c r="E113" s="94" t="n"/>
      <c r="F113" s="94" t="n"/>
      <c r="G113" s="94" t="n"/>
      <c r="H113" s="94" t="n"/>
      <c r="I113" s="94" t="n"/>
      <c r="J113" s="94" t="n"/>
      <c r="K113" s="94" t="n"/>
      <c r="L113" s="94" t="n"/>
      <c r="M113" s="94" t="n"/>
      <c r="N113" s="94" t="n"/>
      <c r="O113" s="94" t="n"/>
      <c r="P113" s="94" t="n"/>
      <c r="Q113" s="94" t="n"/>
      <c r="R113" s="94" t="n"/>
      <c r="S113" s="94" t="n"/>
      <c r="T113" s="94" t="n"/>
      <c r="U113" s="94" t="n"/>
      <c r="V113" s="94" t="n"/>
      <c r="W113" s="94" t="n"/>
      <c r="X113" s="94" t="n"/>
      <c r="Y113" s="94" t="n"/>
      <c r="Z113" s="94" t="n"/>
    </row>
    <row r="114" ht="15.75" customHeight="1" s="90">
      <c r="A114" s="94" t="n"/>
      <c r="B114" s="94" t="n"/>
      <c r="C114" s="94" t="n"/>
      <c r="D114" s="94" t="n"/>
      <c r="E114" s="94" t="n"/>
      <c r="F114" s="94" t="n"/>
      <c r="G114" s="94" t="n"/>
      <c r="H114" s="94" t="n"/>
      <c r="I114" s="94" t="n"/>
      <c r="J114" s="94" t="n"/>
      <c r="K114" s="94" t="n"/>
      <c r="L114" s="94" t="n"/>
      <c r="M114" s="94" t="n"/>
      <c r="N114" s="94" t="n"/>
      <c r="O114" s="94" t="n"/>
      <c r="P114" s="94" t="n"/>
      <c r="Q114" s="94" t="n"/>
      <c r="R114" s="94" t="n"/>
      <c r="S114" s="94" t="n"/>
      <c r="T114" s="94" t="n"/>
      <c r="U114" s="94" t="n"/>
      <c r="V114" s="94" t="n"/>
      <c r="W114" s="94" t="n"/>
      <c r="X114" s="94" t="n"/>
      <c r="Y114" s="94" t="n"/>
      <c r="Z114" s="94" t="n"/>
    </row>
    <row r="115" ht="15.75" customHeight="1" s="90">
      <c r="A115" s="94" t="n"/>
      <c r="B115" s="94" t="n"/>
      <c r="C115" s="94" t="n"/>
      <c r="D115" s="94" t="n"/>
      <c r="E115" s="94" t="n"/>
      <c r="F115" s="94" t="n"/>
      <c r="G115" s="94" t="n"/>
      <c r="H115" s="94" t="n"/>
      <c r="I115" s="94" t="n"/>
      <c r="J115" s="94" t="n"/>
      <c r="K115" s="94" t="n"/>
      <c r="L115" s="94" t="n"/>
      <c r="M115" s="94" t="n"/>
      <c r="N115" s="94" t="n"/>
      <c r="O115" s="94" t="n"/>
      <c r="P115" s="94" t="n"/>
      <c r="Q115" s="94" t="n"/>
      <c r="R115" s="94" t="n"/>
      <c r="S115" s="94" t="n"/>
      <c r="T115" s="94" t="n"/>
      <c r="U115" s="94" t="n"/>
      <c r="V115" s="94" t="n"/>
      <c r="W115" s="94" t="n"/>
      <c r="X115" s="94" t="n"/>
      <c r="Y115" s="94" t="n"/>
      <c r="Z115" s="94" t="n"/>
    </row>
    <row r="116" ht="15.75" customHeight="1" s="90">
      <c r="A116" s="94" t="n"/>
      <c r="B116" s="94" t="n"/>
      <c r="C116" s="94" t="n"/>
      <c r="D116" s="94" t="n"/>
      <c r="E116" s="94" t="n"/>
      <c r="F116" s="94" t="n"/>
      <c r="G116" s="94" t="n"/>
      <c r="H116" s="94" t="n"/>
      <c r="I116" s="94" t="n"/>
      <c r="J116" s="94" t="n"/>
      <c r="K116" s="94" t="n"/>
      <c r="L116" s="94" t="n"/>
      <c r="M116" s="94" t="n"/>
      <c r="N116" s="94" t="n"/>
      <c r="O116" s="94" t="n"/>
      <c r="P116" s="94" t="n"/>
      <c r="Q116" s="94" t="n"/>
      <c r="R116" s="94" t="n"/>
      <c r="S116" s="94" t="n"/>
      <c r="T116" s="94" t="n"/>
      <c r="U116" s="94" t="n"/>
      <c r="V116" s="94" t="n"/>
      <c r="W116" s="94" t="n"/>
      <c r="X116" s="94" t="n"/>
      <c r="Y116" s="94" t="n"/>
      <c r="Z116" s="94" t="n"/>
    </row>
    <row r="117" ht="15.75" customHeight="1" s="90">
      <c r="A117" s="94" t="n"/>
      <c r="B117" s="94" t="n"/>
      <c r="C117" s="94" t="n"/>
      <c r="D117" s="94" t="n"/>
      <c r="E117" s="94" t="n"/>
      <c r="F117" s="94" t="n"/>
      <c r="G117" s="94" t="n"/>
      <c r="H117" s="94" t="n"/>
      <c r="I117" s="94" t="n"/>
      <c r="J117" s="94" t="n"/>
      <c r="K117" s="94" t="n"/>
      <c r="L117" s="94" t="n"/>
      <c r="M117" s="94" t="n"/>
      <c r="N117" s="94" t="n"/>
      <c r="O117" s="94" t="n"/>
      <c r="P117" s="94" t="n"/>
      <c r="Q117" s="94" t="n"/>
      <c r="R117" s="94" t="n"/>
      <c r="S117" s="94" t="n"/>
      <c r="T117" s="94" t="n"/>
      <c r="U117" s="94" t="n"/>
      <c r="V117" s="94" t="n"/>
      <c r="W117" s="94" t="n"/>
      <c r="X117" s="94" t="n"/>
      <c r="Y117" s="94" t="n"/>
      <c r="Z117" s="94" t="n"/>
    </row>
    <row r="118" ht="15.75" customHeight="1" s="90">
      <c r="A118" s="94" t="n"/>
      <c r="B118" s="94" t="n"/>
      <c r="C118" s="94" t="n"/>
      <c r="D118" s="94" t="n"/>
      <c r="E118" s="94" t="n"/>
      <c r="F118" s="94" t="n"/>
      <c r="G118" s="94" t="n"/>
      <c r="H118" s="94" t="n"/>
      <c r="I118" s="94" t="n"/>
      <c r="J118" s="94" t="n"/>
      <c r="K118" s="94" t="n"/>
      <c r="L118" s="94" t="n"/>
      <c r="M118" s="94" t="n"/>
      <c r="N118" s="94" t="n"/>
      <c r="O118" s="94" t="n"/>
      <c r="P118" s="94" t="n"/>
      <c r="Q118" s="94" t="n"/>
      <c r="R118" s="94" t="n"/>
      <c r="S118" s="94" t="n"/>
      <c r="T118" s="94" t="n"/>
      <c r="U118" s="94" t="n"/>
      <c r="V118" s="94" t="n"/>
      <c r="W118" s="94" t="n"/>
      <c r="X118" s="94" t="n"/>
      <c r="Y118" s="94" t="n"/>
      <c r="Z118" s="94" t="n"/>
    </row>
    <row r="119" ht="15.75" customHeight="1" s="90">
      <c r="A119" s="94" t="n"/>
      <c r="B119" s="94" t="n"/>
      <c r="C119" s="94" t="n"/>
      <c r="D119" s="94" t="n"/>
      <c r="E119" s="94" t="n"/>
      <c r="F119" s="94" t="n"/>
      <c r="G119" s="94" t="n"/>
      <c r="H119" s="94" t="n"/>
      <c r="I119" s="94" t="n"/>
      <c r="J119" s="94" t="n"/>
      <c r="K119" s="94" t="n"/>
      <c r="L119" s="94" t="n"/>
      <c r="M119" s="94" t="n"/>
      <c r="N119" s="94" t="n"/>
      <c r="O119" s="94" t="n"/>
      <c r="P119" s="94" t="n"/>
      <c r="Q119" s="94" t="n"/>
      <c r="R119" s="94" t="n"/>
      <c r="S119" s="94" t="n"/>
      <c r="T119" s="94" t="n"/>
      <c r="U119" s="94" t="n"/>
      <c r="V119" s="94" t="n"/>
      <c r="W119" s="94" t="n"/>
      <c r="X119" s="94" t="n"/>
      <c r="Y119" s="94" t="n"/>
      <c r="Z119" s="94" t="n"/>
    </row>
    <row r="120" ht="15.75" customHeight="1" s="90">
      <c r="A120" s="94" t="n"/>
      <c r="B120" s="94" t="n"/>
      <c r="C120" s="94" t="n"/>
      <c r="D120" s="94" t="n"/>
      <c r="E120" s="94" t="n"/>
      <c r="F120" s="94" t="n"/>
      <c r="G120" s="94" t="n"/>
      <c r="H120" s="94" t="n"/>
      <c r="I120" s="94" t="n"/>
      <c r="J120" s="94" t="n"/>
      <c r="K120" s="94" t="n"/>
      <c r="L120" s="94" t="n"/>
      <c r="M120" s="94" t="n"/>
      <c r="N120" s="94" t="n"/>
      <c r="O120" s="94" t="n"/>
      <c r="P120" s="94" t="n"/>
      <c r="Q120" s="94" t="n"/>
      <c r="R120" s="94" t="n"/>
      <c r="S120" s="94" t="n"/>
      <c r="T120" s="94" t="n"/>
      <c r="U120" s="94" t="n"/>
      <c r="V120" s="94" t="n"/>
      <c r="W120" s="94" t="n"/>
      <c r="X120" s="94" t="n"/>
      <c r="Y120" s="94" t="n"/>
      <c r="Z120" s="94" t="n"/>
    </row>
    <row r="121" ht="15.75" customHeight="1" s="90">
      <c r="A121" s="94" t="n"/>
      <c r="B121" s="94" t="n"/>
      <c r="C121" s="94" t="n"/>
      <c r="D121" s="94" t="n"/>
      <c r="E121" s="94" t="n"/>
      <c r="F121" s="94" t="n"/>
      <c r="G121" s="94" t="n"/>
      <c r="H121" s="94" t="n"/>
      <c r="I121" s="94" t="n"/>
      <c r="J121" s="94" t="n"/>
      <c r="K121" s="94" t="n"/>
      <c r="L121" s="94" t="n"/>
      <c r="M121" s="94" t="n"/>
      <c r="N121" s="94" t="n"/>
      <c r="O121" s="94" t="n"/>
      <c r="P121" s="94" t="n"/>
      <c r="Q121" s="94" t="n"/>
      <c r="R121" s="94" t="n"/>
      <c r="S121" s="94" t="n"/>
      <c r="T121" s="94" t="n"/>
      <c r="U121" s="94" t="n"/>
      <c r="V121" s="94" t="n"/>
      <c r="W121" s="94" t="n"/>
      <c r="X121" s="94" t="n"/>
      <c r="Y121" s="94" t="n"/>
      <c r="Z121" s="94" t="n"/>
    </row>
    <row r="122" ht="15.75" customHeight="1" s="90">
      <c r="A122" s="94" t="n"/>
      <c r="B122" s="94" t="n"/>
      <c r="C122" s="94" t="n"/>
      <c r="D122" s="94" t="n"/>
      <c r="E122" s="94" t="n"/>
      <c r="F122" s="94" t="n"/>
      <c r="G122" s="94" t="n"/>
      <c r="H122" s="94" t="n"/>
      <c r="I122" s="94" t="n"/>
      <c r="J122" s="94" t="n"/>
      <c r="K122" s="94" t="n"/>
      <c r="L122" s="94" t="n"/>
      <c r="M122" s="94" t="n"/>
      <c r="N122" s="94" t="n"/>
      <c r="O122" s="94" t="n"/>
      <c r="P122" s="94" t="n"/>
      <c r="Q122" s="94" t="n"/>
      <c r="R122" s="94" t="n"/>
      <c r="S122" s="94" t="n"/>
      <c r="T122" s="94" t="n"/>
      <c r="U122" s="94" t="n"/>
      <c r="V122" s="94" t="n"/>
      <c r="W122" s="94" t="n"/>
      <c r="X122" s="94" t="n"/>
      <c r="Y122" s="94" t="n"/>
      <c r="Z122" s="94" t="n"/>
    </row>
    <row r="123" ht="15.75" customHeight="1" s="90">
      <c r="A123" s="94" t="n"/>
      <c r="B123" s="94" t="n"/>
      <c r="C123" s="94" t="n"/>
      <c r="D123" s="94" t="n"/>
      <c r="E123" s="94" t="n"/>
      <c r="F123" s="94" t="n"/>
      <c r="G123" s="94" t="n"/>
      <c r="H123" s="94" t="n"/>
      <c r="I123" s="94" t="n"/>
      <c r="J123" s="94" t="n"/>
      <c r="K123" s="94" t="n"/>
      <c r="L123" s="94" t="n"/>
      <c r="M123" s="94" t="n"/>
      <c r="N123" s="94" t="n"/>
      <c r="O123" s="94" t="n"/>
      <c r="P123" s="94" t="n"/>
      <c r="Q123" s="94" t="n"/>
      <c r="R123" s="94" t="n"/>
      <c r="S123" s="94" t="n"/>
      <c r="T123" s="94" t="n"/>
      <c r="U123" s="94" t="n"/>
      <c r="V123" s="94" t="n"/>
      <c r="W123" s="94" t="n"/>
      <c r="X123" s="94" t="n"/>
      <c r="Y123" s="94" t="n"/>
      <c r="Z123" s="94" t="n"/>
    </row>
    <row r="124" ht="15.75" customHeight="1" s="90">
      <c r="A124" s="94" t="n"/>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94" t="n"/>
      <c r="U124" s="94" t="n"/>
      <c r="V124" s="94" t="n"/>
      <c r="W124" s="94" t="n"/>
      <c r="X124" s="94" t="n"/>
      <c r="Y124" s="94" t="n"/>
      <c r="Z124" s="94" t="n"/>
    </row>
    <row r="125" ht="15.75" customHeight="1" s="90">
      <c r="A125" s="94" t="n"/>
      <c r="B125" s="94" t="n"/>
      <c r="C125" s="94" t="n"/>
      <c r="D125" s="94" t="n"/>
      <c r="E125" s="94" t="n"/>
      <c r="F125" s="94" t="n"/>
      <c r="G125" s="94" t="n"/>
      <c r="H125" s="94" t="n"/>
      <c r="I125" s="94" t="n"/>
      <c r="J125" s="94" t="n"/>
      <c r="K125" s="94" t="n"/>
      <c r="L125" s="94" t="n"/>
      <c r="M125" s="94" t="n"/>
      <c r="N125" s="94" t="n"/>
      <c r="O125" s="94" t="n"/>
      <c r="P125" s="94" t="n"/>
      <c r="Q125" s="94" t="n"/>
      <c r="R125" s="94" t="n"/>
      <c r="S125" s="94" t="n"/>
      <c r="T125" s="94" t="n"/>
      <c r="U125" s="94" t="n"/>
      <c r="V125" s="94" t="n"/>
      <c r="W125" s="94" t="n"/>
      <c r="X125" s="94" t="n"/>
      <c r="Y125" s="94" t="n"/>
      <c r="Z125" s="94" t="n"/>
    </row>
    <row r="126" ht="15.75" customHeight="1" s="90">
      <c r="A126" s="94" t="n"/>
      <c r="B126" s="94" t="n"/>
      <c r="C126" s="94" t="n"/>
      <c r="D126" s="94" t="n"/>
      <c r="E126" s="94" t="n"/>
      <c r="F126" s="94" t="n"/>
      <c r="G126" s="94" t="n"/>
      <c r="H126" s="94" t="n"/>
      <c r="I126" s="94" t="n"/>
      <c r="J126" s="94" t="n"/>
      <c r="K126" s="94" t="n"/>
      <c r="L126" s="94" t="n"/>
      <c r="M126" s="94" t="n"/>
      <c r="N126" s="94" t="n"/>
      <c r="O126" s="94" t="n"/>
      <c r="P126" s="94" t="n"/>
      <c r="Q126" s="94" t="n"/>
      <c r="R126" s="94" t="n"/>
      <c r="S126" s="94" t="n"/>
      <c r="T126" s="94" t="n"/>
      <c r="U126" s="94" t="n"/>
      <c r="V126" s="94" t="n"/>
      <c r="W126" s="94" t="n"/>
      <c r="X126" s="94" t="n"/>
      <c r="Y126" s="94" t="n"/>
      <c r="Z126" s="94" t="n"/>
    </row>
    <row r="127" ht="15.75" customHeight="1" s="90">
      <c r="A127" s="94" t="n"/>
      <c r="B127" s="94" t="n"/>
      <c r="C127" s="94" t="n"/>
      <c r="D127" s="94" t="n"/>
      <c r="E127" s="94" t="n"/>
      <c r="F127" s="94" t="n"/>
      <c r="G127" s="94" t="n"/>
      <c r="H127" s="94" t="n"/>
      <c r="I127" s="94" t="n"/>
      <c r="J127" s="94" t="n"/>
      <c r="K127" s="94" t="n"/>
      <c r="L127" s="94" t="n"/>
      <c r="M127" s="94" t="n"/>
      <c r="N127" s="94" t="n"/>
      <c r="O127" s="94" t="n"/>
      <c r="P127" s="94" t="n"/>
      <c r="Q127" s="94" t="n"/>
      <c r="R127" s="94" t="n"/>
      <c r="S127" s="94" t="n"/>
      <c r="T127" s="94" t="n"/>
      <c r="U127" s="94" t="n"/>
      <c r="V127" s="94" t="n"/>
      <c r="W127" s="94" t="n"/>
      <c r="X127" s="94" t="n"/>
      <c r="Y127" s="94" t="n"/>
      <c r="Z127" s="94" t="n"/>
    </row>
    <row r="128" ht="15.75" customHeight="1" s="90">
      <c r="A128" s="94" t="n"/>
      <c r="B128" s="94" t="n"/>
      <c r="C128" s="94" t="n"/>
      <c r="D128" s="94" t="n"/>
      <c r="E128" s="94" t="n"/>
      <c r="F128" s="94" t="n"/>
      <c r="G128" s="94" t="n"/>
      <c r="H128" s="94" t="n"/>
      <c r="I128" s="94" t="n"/>
      <c r="J128" s="94" t="n"/>
      <c r="K128" s="94" t="n"/>
      <c r="L128" s="94" t="n"/>
      <c r="M128" s="94" t="n"/>
      <c r="N128" s="94" t="n"/>
      <c r="O128" s="94" t="n"/>
      <c r="P128" s="94" t="n"/>
      <c r="Q128" s="94" t="n"/>
      <c r="R128" s="94" t="n"/>
      <c r="S128" s="94" t="n"/>
      <c r="T128" s="94" t="n"/>
      <c r="U128" s="94" t="n"/>
      <c r="V128" s="94" t="n"/>
      <c r="W128" s="94" t="n"/>
      <c r="X128" s="94" t="n"/>
      <c r="Y128" s="94" t="n"/>
      <c r="Z128" s="94" t="n"/>
    </row>
    <row r="129" ht="15.75" customHeight="1" s="90">
      <c r="A129" s="94" t="n"/>
      <c r="B129" s="94" t="n"/>
      <c r="C129" s="94" t="n"/>
      <c r="D129" s="94" t="n"/>
      <c r="E129" s="94" t="n"/>
      <c r="F129" s="94" t="n"/>
      <c r="G129" s="94" t="n"/>
      <c r="H129" s="94" t="n"/>
      <c r="I129" s="94" t="n"/>
      <c r="J129" s="94" t="n"/>
      <c r="K129" s="94" t="n"/>
      <c r="L129" s="94" t="n"/>
      <c r="M129" s="94" t="n"/>
      <c r="N129" s="94" t="n"/>
      <c r="O129" s="94" t="n"/>
      <c r="P129" s="94" t="n"/>
      <c r="Q129" s="94" t="n"/>
      <c r="R129" s="94" t="n"/>
      <c r="S129" s="94" t="n"/>
      <c r="T129" s="94" t="n"/>
      <c r="U129" s="94" t="n"/>
      <c r="V129" s="94" t="n"/>
      <c r="W129" s="94" t="n"/>
      <c r="X129" s="94" t="n"/>
      <c r="Y129" s="94" t="n"/>
      <c r="Z129" s="94" t="n"/>
    </row>
    <row r="130" ht="15.75" customHeight="1" s="90">
      <c r="A130" s="94" t="n"/>
      <c r="B130" s="94" t="n"/>
      <c r="C130" s="94" t="n"/>
      <c r="D130" s="94" t="n"/>
      <c r="E130" s="94" t="n"/>
      <c r="F130" s="94" t="n"/>
      <c r="G130" s="94" t="n"/>
      <c r="H130" s="94" t="n"/>
      <c r="I130" s="94" t="n"/>
      <c r="J130" s="94" t="n"/>
      <c r="K130" s="94" t="n"/>
      <c r="L130" s="94" t="n"/>
      <c r="M130" s="94" t="n"/>
      <c r="N130" s="94" t="n"/>
      <c r="O130" s="94" t="n"/>
      <c r="P130" s="94" t="n"/>
      <c r="Q130" s="94" t="n"/>
      <c r="R130" s="94" t="n"/>
      <c r="S130" s="94" t="n"/>
      <c r="T130" s="94" t="n"/>
      <c r="U130" s="94" t="n"/>
      <c r="V130" s="94" t="n"/>
      <c r="W130" s="94" t="n"/>
      <c r="X130" s="94" t="n"/>
      <c r="Y130" s="94" t="n"/>
      <c r="Z130" s="94" t="n"/>
    </row>
    <row r="131" ht="15.75" customHeight="1" s="90">
      <c r="A131" s="94" t="n"/>
      <c r="B131" s="94" t="n"/>
      <c r="C131" s="94" t="n"/>
      <c r="D131" s="94" t="n"/>
      <c r="E131" s="94" t="n"/>
      <c r="F131" s="94" t="n"/>
      <c r="G131" s="94" t="n"/>
      <c r="H131" s="94" t="n"/>
      <c r="I131" s="94" t="n"/>
      <c r="J131" s="94" t="n"/>
      <c r="K131" s="94" t="n"/>
      <c r="L131" s="94" t="n"/>
      <c r="M131" s="94" t="n"/>
      <c r="N131" s="94" t="n"/>
      <c r="O131" s="94" t="n"/>
      <c r="P131" s="94" t="n"/>
      <c r="Q131" s="94" t="n"/>
      <c r="R131" s="94" t="n"/>
      <c r="S131" s="94" t="n"/>
      <c r="T131" s="94" t="n"/>
      <c r="U131" s="94" t="n"/>
      <c r="V131" s="94" t="n"/>
      <c r="W131" s="94" t="n"/>
      <c r="X131" s="94" t="n"/>
      <c r="Y131" s="94" t="n"/>
      <c r="Z131" s="94" t="n"/>
    </row>
    <row r="132" ht="15.75" customHeight="1" s="90">
      <c r="A132" s="94" t="n"/>
      <c r="B132" s="94" t="n"/>
      <c r="C132" s="94" t="n"/>
      <c r="D132" s="94" t="n"/>
      <c r="E132" s="94" t="n"/>
      <c r="F132" s="94" t="n"/>
      <c r="G132" s="94" t="n"/>
      <c r="H132" s="94" t="n"/>
      <c r="I132" s="94" t="n"/>
      <c r="J132" s="94" t="n"/>
      <c r="K132" s="94" t="n"/>
      <c r="L132" s="94" t="n"/>
      <c r="M132" s="94" t="n"/>
      <c r="N132" s="94" t="n"/>
      <c r="O132" s="94" t="n"/>
      <c r="P132" s="94" t="n"/>
      <c r="Q132" s="94" t="n"/>
      <c r="R132" s="94" t="n"/>
      <c r="S132" s="94" t="n"/>
      <c r="T132" s="94" t="n"/>
      <c r="U132" s="94" t="n"/>
      <c r="V132" s="94" t="n"/>
      <c r="W132" s="94" t="n"/>
      <c r="X132" s="94" t="n"/>
      <c r="Y132" s="94" t="n"/>
      <c r="Z132" s="94" t="n"/>
    </row>
    <row r="133" ht="15.75" customHeight="1" s="90">
      <c r="A133" s="94" t="n"/>
      <c r="B133" s="94" t="n"/>
      <c r="C133" s="94" t="n"/>
      <c r="D133" s="94" t="n"/>
      <c r="E133" s="94" t="n"/>
      <c r="F133" s="94" t="n"/>
      <c r="G133" s="94" t="n"/>
      <c r="H133" s="94" t="n"/>
      <c r="I133" s="94" t="n"/>
      <c r="J133" s="94" t="n"/>
      <c r="K133" s="94" t="n"/>
      <c r="L133" s="94" t="n"/>
      <c r="M133" s="94" t="n"/>
      <c r="N133" s="94" t="n"/>
      <c r="O133" s="94" t="n"/>
      <c r="P133" s="94" t="n"/>
      <c r="Q133" s="94" t="n"/>
      <c r="R133" s="94" t="n"/>
      <c r="S133" s="94" t="n"/>
      <c r="T133" s="94" t="n"/>
      <c r="U133" s="94" t="n"/>
      <c r="V133" s="94" t="n"/>
      <c r="W133" s="94" t="n"/>
      <c r="X133" s="94" t="n"/>
      <c r="Y133" s="94" t="n"/>
      <c r="Z133" s="94" t="n"/>
    </row>
    <row r="134" ht="15.75" customHeight="1" s="90">
      <c r="A134" s="94" t="n"/>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c r="U134" s="94" t="n"/>
      <c r="V134" s="94" t="n"/>
      <c r="W134" s="94" t="n"/>
      <c r="X134" s="94" t="n"/>
      <c r="Y134" s="94" t="n"/>
      <c r="Z134" s="94" t="n"/>
    </row>
    <row r="135" ht="15.75" customHeight="1" s="90">
      <c r="A135" s="94" t="n"/>
      <c r="B135" s="94" t="n"/>
      <c r="C135" s="94" t="n"/>
      <c r="D135" s="94" t="n"/>
      <c r="E135" s="94" t="n"/>
      <c r="F135" s="94" t="n"/>
      <c r="G135" s="94" t="n"/>
      <c r="H135" s="94" t="n"/>
      <c r="I135" s="94" t="n"/>
      <c r="J135" s="94" t="n"/>
      <c r="K135" s="94" t="n"/>
      <c r="L135" s="94" t="n"/>
      <c r="M135" s="94" t="n"/>
      <c r="N135" s="94" t="n"/>
      <c r="O135" s="94" t="n"/>
      <c r="P135" s="94" t="n"/>
      <c r="Q135" s="94" t="n"/>
      <c r="R135" s="94" t="n"/>
      <c r="S135" s="94" t="n"/>
      <c r="T135" s="94" t="n"/>
      <c r="U135" s="94" t="n"/>
      <c r="V135" s="94" t="n"/>
      <c r="W135" s="94" t="n"/>
      <c r="X135" s="94" t="n"/>
      <c r="Y135" s="94" t="n"/>
      <c r="Z135" s="94" t="n"/>
    </row>
    <row r="136" ht="15.75" customHeight="1" s="90">
      <c r="A136" s="94" t="n"/>
      <c r="B136" s="94" t="n"/>
      <c r="C136" s="94" t="n"/>
      <c r="D136" s="94" t="n"/>
      <c r="E136" s="94" t="n"/>
      <c r="F136" s="94" t="n"/>
      <c r="G136" s="94" t="n"/>
      <c r="H136" s="94" t="n"/>
      <c r="I136" s="94" t="n"/>
      <c r="J136" s="94" t="n"/>
      <c r="K136" s="94" t="n"/>
      <c r="L136" s="94" t="n"/>
      <c r="M136" s="94" t="n"/>
      <c r="N136" s="94" t="n"/>
      <c r="O136" s="94" t="n"/>
      <c r="P136" s="94" t="n"/>
      <c r="Q136" s="94" t="n"/>
      <c r="R136" s="94" t="n"/>
      <c r="S136" s="94" t="n"/>
      <c r="T136" s="94" t="n"/>
      <c r="U136" s="94" t="n"/>
      <c r="V136" s="94" t="n"/>
      <c r="W136" s="94" t="n"/>
      <c r="X136" s="94" t="n"/>
      <c r="Y136" s="94" t="n"/>
      <c r="Z136" s="94" t="n"/>
    </row>
    <row r="137" ht="15.75" customHeight="1" s="90">
      <c r="A137" s="94" t="n"/>
      <c r="B137" s="94" t="n"/>
      <c r="C137" s="94" t="n"/>
      <c r="D137" s="94" t="n"/>
      <c r="E137" s="94" t="n"/>
      <c r="F137" s="94" t="n"/>
      <c r="G137" s="94" t="n"/>
      <c r="H137" s="94" t="n"/>
      <c r="I137" s="94" t="n"/>
      <c r="J137" s="94" t="n"/>
      <c r="K137" s="94" t="n"/>
      <c r="L137" s="94" t="n"/>
      <c r="M137" s="94" t="n"/>
      <c r="N137" s="94" t="n"/>
      <c r="O137" s="94" t="n"/>
      <c r="P137" s="94" t="n"/>
      <c r="Q137" s="94" t="n"/>
      <c r="R137" s="94" t="n"/>
      <c r="S137" s="94" t="n"/>
      <c r="T137" s="94" t="n"/>
      <c r="U137" s="94" t="n"/>
      <c r="V137" s="94" t="n"/>
      <c r="W137" s="94" t="n"/>
      <c r="X137" s="94" t="n"/>
      <c r="Y137" s="94" t="n"/>
      <c r="Z137" s="94" t="n"/>
    </row>
    <row r="138" ht="15.75" customHeight="1" s="90">
      <c r="A138" s="94" t="n"/>
      <c r="B138" s="94" t="n"/>
      <c r="C138" s="94" t="n"/>
      <c r="D138" s="94" t="n"/>
      <c r="E138" s="94" t="n"/>
      <c r="F138" s="94" t="n"/>
      <c r="G138" s="94" t="n"/>
      <c r="H138" s="94" t="n"/>
      <c r="I138" s="94" t="n"/>
      <c r="J138" s="94" t="n"/>
      <c r="K138" s="94" t="n"/>
      <c r="L138" s="94" t="n"/>
      <c r="M138" s="94" t="n"/>
      <c r="N138" s="94" t="n"/>
      <c r="O138" s="94" t="n"/>
      <c r="P138" s="94" t="n"/>
      <c r="Q138" s="94" t="n"/>
      <c r="R138" s="94" t="n"/>
      <c r="S138" s="94" t="n"/>
      <c r="T138" s="94" t="n"/>
      <c r="U138" s="94" t="n"/>
      <c r="V138" s="94" t="n"/>
      <c r="W138" s="94" t="n"/>
      <c r="X138" s="94" t="n"/>
      <c r="Y138" s="94" t="n"/>
      <c r="Z138" s="94" t="n"/>
    </row>
    <row r="139" ht="15.75" customHeight="1" s="90">
      <c r="A139" s="94" t="n"/>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c r="U139" s="94" t="n"/>
      <c r="V139" s="94" t="n"/>
      <c r="W139" s="94" t="n"/>
      <c r="X139" s="94" t="n"/>
      <c r="Y139" s="94" t="n"/>
      <c r="Z139" s="94" t="n"/>
    </row>
    <row r="140" ht="15.75" customHeight="1" s="90">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94" t="n"/>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94" t="n"/>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94" t="n"/>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94" t="n"/>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94" t="n"/>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94" t="n"/>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94" t="n"/>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94" t="n"/>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94" t="n"/>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94" t="n"/>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94" t="n"/>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94" t="n"/>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94" t="n"/>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94" t="n"/>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94" t="n"/>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94" t="n"/>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94" t="n"/>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94" t="n"/>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94" t="n"/>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94" t="n"/>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94" t="n"/>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94" t="n"/>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94" t="n"/>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94" t="n"/>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94" t="n"/>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94" t="n"/>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94" t="n"/>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94" t="n"/>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94" t="n"/>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94" t="n"/>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94" t="n"/>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94" t="n"/>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94" t="n"/>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94" t="n"/>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94" t="n"/>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94" t="n"/>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94" t="n"/>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94" t="n"/>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94" t="n"/>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94" t="n"/>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94" t="n"/>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94" t="n"/>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94" t="n"/>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94" t="n"/>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94" t="n"/>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94" t="n"/>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94" t="n"/>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94" t="n"/>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94" t="n"/>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94" t="n"/>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94" t="n"/>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94" t="n"/>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94" t="n"/>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94" t="n"/>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94" t="n"/>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94" t="n"/>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94" t="n"/>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94" t="n"/>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94" t="n"/>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94" t="n"/>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94" t="n"/>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94" t="n"/>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94" t="n"/>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94" t="n"/>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94" t="n"/>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94" t="n"/>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94" t="n"/>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94" t="n"/>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94" t="n"/>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94" t="n"/>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94" t="n"/>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94" t="n"/>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94" t="n"/>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94" t="n"/>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94" t="n"/>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94" t="n"/>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94" t="n"/>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94" t="n"/>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94" t="n"/>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94" t="n"/>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94" t="n"/>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94" t="n"/>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94" t="n"/>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94" t="n"/>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94" t="n"/>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94" t="n"/>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94" t="n"/>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94" t="n"/>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94" t="n"/>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94" t="n"/>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94" t="n"/>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94" t="n"/>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94" t="n"/>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94" t="n"/>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94" t="n"/>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94" t="n"/>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94" t="n"/>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94" t="n"/>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94" t="n"/>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94" t="n"/>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94" t="n"/>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94" t="n"/>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94" t="n"/>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94" t="n"/>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94" t="n"/>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94" t="n"/>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94" t="n"/>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94" t="n"/>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94" t="n"/>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94" t="n"/>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94" t="n"/>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94" t="n"/>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94" t="n"/>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94" t="n"/>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94" t="n"/>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94" t="n"/>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94" t="n"/>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94" t="n"/>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94" t="n"/>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94" t="n"/>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94" t="n"/>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94" t="n"/>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94" t="n"/>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94" t="n"/>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94" t="n"/>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94" t="n"/>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94" t="n"/>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94" t="n"/>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94" t="n"/>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94" t="n"/>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94" t="n"/>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94" t="n"/>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94" t="n"/>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94" t="n"/>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94" t="n"/>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94" t="n"/>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94" t="n"/>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94" t="n"/>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94" t="n"/>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94" t="n"/>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94" t="n"/>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94" t="n"/>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94" t="n"/>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94" t="n"/>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94" t="n"/>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94" t="n"/>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94" t="n"/>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94" t="n"/>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94" t="n"/>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94" t="n"/>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94" t="n"/>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94" t="n"/>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94" t="n"/>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94" t="n"/>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94" t="n"/>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94" t="n"/>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94" t="n"/>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94" t="n"/>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94" t="n"/>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94" t="n"/>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94" t="n"/>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94" t="n"/>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94" t="n"/>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94" t="n"/>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94" t="n"/>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94" t="n"/>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94" t="n"/>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94" t="n"/>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94" t="n"/>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94" t="n"/>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94" t="n"/>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94" t="n"/>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94" t="n"/>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94" t="n"/>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94" t="n"/>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94" t="n"/>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94" t="n"/>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94" t="n"/>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94" t="n"/>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94" t="n"/>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94" t="n"/>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94" t="n"/>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94" t="n"/>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94" t="n"/>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94" t="n"/>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94" t="n"/>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94" t="n"/>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94" t="n"/>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94" t="n"/>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94" t="n"/>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94" t="n"/>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94" t="n"/>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94" t="n"/>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94" t="n"/>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94" t="n"/>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94" t="n"/>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94" t="n"/>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94" t="n"/>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94" t="n"/>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94" t="n"/>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94" t="n"/>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94" t="n"/>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94" t="n"/>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94" t="n"/>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94" t="n"/>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94" t="n"/>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94" t="n"/>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94" t="n"/>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94" t="n"/>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94" t="n"/>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94" t="n"/>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94" t="n"/>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94" t="n"/>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94" t="n"/>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94" t="n"/>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94" t="n"/>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94" t="n"/>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94" t="n"/>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94" t="n"/>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94" t="n"/>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94" t="n"/>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94" t="n"/>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94" t="n"/>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94" t="n"/>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94" t="n"/>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94" t="n"/>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94" t="n"/>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94" t="n"/>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94" t="n"/>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94" t="n"/>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94" t="n"/>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94" t="n"/>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94" t="n"/>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94" t="n"/>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94" t="n"/>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94" t="n"/>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94" t="n"/>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94" t="n"/>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94" t="n"/>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94" t="n"/>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94" t="n"/>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94" t="n"/>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94" t="n"/>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94" t="n"/>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94" t="n"/>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94" t="n"/>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94" t="n"/>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94" t="n"/>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94" t="n"/>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94" t="n"/>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94" t="n"/>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94" t="n"/>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94" t="n"/>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94" t="n"/>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94" t="n"/>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94" t="n"/>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94" t="n"/>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94" t="n"/>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94" t="n"/>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94" t="n"/>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94" t="n"/>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94" t="n"/>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94" t="n"/>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94" t="n"/>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94" t="n"/>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94" t="n"/>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94" t="n"/>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94" t="n"/>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94" t="n"/>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94" t="n"/>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94" t="n"/>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94" t="n"/>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94" t="n"/>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94" t="n"/>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94" t="n"/>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94" t="n"/>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94" t="n"/>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94" t="n"/>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94" t="n"/>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94" t="n"/>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94" t="n"/>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94" t="n"/>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94" t="n"/>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94" t="n"/>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94" t="n"/>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94" t="n"/>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94" t="n"/>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94" t="n"/>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94" t="n"/>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94" t="n"/>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94" t="n"/>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94" t="n"/>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94" t="n"/>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94" t="n"/>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94" t="n"/>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94" t="n"/>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94" t="n"/>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94" t="n"/>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94" t="n"/>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94" t="n"/>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94" t="n"/>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94" t="n"/>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94" t="n"/>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94" t="n"/>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94" t="n"/>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94" t="n"/>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94" t="n"/>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94" t="n"/>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94" t="n"/>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94" t="n"/>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94" t="n"/>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94" t="n"/>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94" t="n"/>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94" t="n"/>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94" t="n"/>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94" t="n"/>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94" t="n"/>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94" t="n"/>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94" t="n"/>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94" t="n"/>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94" t="n"/>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94" t="n"/>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94" t="n"/>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94" t="n"/>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94" t="n"/>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94" t="n"/>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94" t="n"/>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94" t="n"/>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94" t="n"/>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94" t="n"/>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94" t="n"/>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94" t="n"/>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94" t="n"/>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94" t="n"/>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94" t="n"/>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94" t="n"/>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94" t="n"/>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94" t="n"/>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94" t="n"/>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94" t="n"/>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94" t="n"/>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94" t="n"/>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94" t="n"/>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94" t="n"/>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94" t="n"/>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94" t="n"/>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94" t="n"/>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94" t="n"/>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94" t="n"/>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94" t="n"/>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94" t="n"/>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94" t="n"/>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94" t="n"/>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94" t="n"/>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94" t="n"/>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94" t="n"/>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94" t="n"/>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94" t="n"/>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94" t="n"/>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94" t="n"/>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94" t="n"/>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94" t="n"/>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94" t="n"/>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94" t="n"/>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94" t="n"/>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94" t="n"/>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94" t="n"/>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94" t="n"/>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94" t="n"/>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94" t="n"/>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94" t="n"/>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94" t="n"/>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94" t="n"/>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94" t="n"/>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94" t="n"/>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94" t="n"/>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94" t="n"/>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94" t="n"/>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94" t="n"/>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94" t="n"/>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94" t="n"/>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94" t="n"/>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94" t="n"/>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94" t="n"/>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94" t="n"/>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94" t="n"/>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94" t="n"/>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94" t="n"/>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94" t="n"/>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94" t="n"/>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94" t="n"/>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94" t="n"/>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94" t="n"/>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94" t="n"/>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94" t="n"/>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94" t="n"/>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94" t="n"/>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94" t="n"/>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94" t="n"/>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94" t="n"/>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94" t="n"/>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94" t="n"/>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94" t="n"/>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94" t="n"/>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94" t="n"/>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94" t="n"/>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94" t="n"/>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94" t="n"/>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94" t="n"/>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94" t="n"/>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94" t="n"/>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94" t="n"/>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94" t="n"/>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94" t="n"/>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94" t="n"/>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94" t="n"/>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94" t="n"/>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94" t="n"/>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94" t="n"/>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94" t="n"/>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94" t="n"/>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94" t="n"/>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94" t="n"/>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94" t="n"/>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94" t="n"/>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94" t="n"/>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94" t="n"/>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94" t="n"/>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94" t="n"/>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94" t="n"/>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94" t="n"/>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94" t="n"/>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94" t="n"/>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94" t="n"/>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94" t="n"/>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94" t="n"/>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94" t="n"/>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94" t="n"/>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94" t="n"/>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94" t="n"/>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94" t="n"/>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94" t="n"/>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94" t="n"/>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94" t="n"/>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94" t="n"/>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94" t="n"/>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94" t="n"/>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94" t="n"/>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94" t="n"/>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94" t="n"/>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94" t="n"/>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94" t="n"/>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94" t="n"/>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94" t="n"/>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94" t="n"/>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94" t="n"/>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94" t="n"/>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94" t="n"/>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94" t="n"/>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94" t="n"/>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94" t="n"/>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94" t="n"/>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94" t="n"/>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94" t="n"/>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94" t="n"/>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94" t="n"/>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94" t="n"/>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94" t="n"/>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94" t="n"/>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94" t="n"/>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94" t="n"/>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94" t="n"/>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94" t="n"/>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94" t="n"/>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94" t="n"/>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94" t="n"/>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94" t="n"/>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94" t="n"/>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94" t="n"/>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94" t="n"/>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94" t="n"/>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94" t="n"/>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94" t="n"/>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94" t="n"/>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94" t="n"/>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94" t="n"/>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94" t="n"/>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94" t="n"/>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94" t="n"/>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94" t="n"/>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94" t="n"/>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94" t="n"/>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94" t="n"/>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94" t="n"/>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94" t="n"/>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94" t="n"/>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94" t="n"/>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94" t="n"/>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94" t="n"/>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94" t="n"/>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94" t="n"/>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94" t="n"/>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94" t="n"/>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94" t="n"/>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94" t="n"/>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94" t="n"/>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94" t="n"/>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94" t="n"/>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94" t="n"/>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94" t="n"/>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94" t="n"/>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94" t="n"/>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94" t="n"/>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94" t="n"/>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94" t="n"/>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94" t="n"/>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94" t="n"/>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94" t="n"/>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94" t="n"/>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94" t="n"/>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94" t="n"/>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94" t="n"/>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94" t="n"/>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94" t="n"/>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94" t="n"/>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94" t="n"/>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94" t="n"/>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94" t="n"/>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94" t="n"/>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94" t="n"/>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94" t="n"/>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94" t="n"/>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94" t="n"/>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94" t="n"/>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94" t="n"/>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94" t="n"/>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94" t="n"/>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94" t="n"/>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94" t="n"/>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94" t="n"/>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94" t="n"/>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94" t="n"/>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94" t="n"/>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94" t="n"/>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94" t="n"/>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94" t="n"/>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94" t="n"/>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94" t="n"/>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94" t="n"/>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94" t="n"/>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94" t="n"/>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94" t="n"/>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94" t="n"/>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94" t="n"/>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94" t="n"/>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94" t="n"/>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94" t="n"/>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94" t="n"/>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94" t="n"/>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94" t="n"/>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94" t="n"/>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94" t="n"/>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94" t="n"/>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94" t="n"/>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94" t="n"/>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94" t="n"/>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94" t="n"/>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94" t="n"/>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94" t="n"/>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94" t="n"/>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94" t="n"/>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94" t="n"/>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94" t="n"/>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94" t="n"/>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94" t="n"/>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94" t="n"/>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94" t="n"/>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94" t="n"/>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94" t="n"/>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94" t="n"/>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94" t="n"/>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94" t="n"/>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94" t="n"/>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94" t="n"/>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94" t="n"/>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94" t="n"/>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94" t="n"/>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94" t="n"/>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94" t="n"/>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94" t="n"/>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94" t="n"/>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94" t="n"/>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94" t="n"/>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94" t="n"/>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94" t="n"/>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94" t="n"/>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94" t="n"/>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94" t="n"/>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94" t="n"/>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94" t="n"/>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94" t="n"/>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94" t="n"/>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94" t="n"/>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94" t="n"/>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94" t="n"/>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94" t="n"/>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94" t="n"/>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94" t="n"/>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94" t="n"/>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94" t="n"/>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94" t="n"/>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94" t="n"/>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94" t="n"/>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94" t="n"/>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94" t="n"/>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94" t="n"/>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94" t="n"/>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94" t="n"/>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94" t="n"/>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94" t="n"/>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94" t="n"/>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94" t="n"/>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94" t="n"/>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94" t="n"/>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94" t="n"/>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94" t="n"/>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94" t="n"/>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94" t="n"/>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94" t="n"/>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94" t="n"/>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94" t="n"/>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94" t="n"/>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94" t="n"/>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94" t="n"/>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94" t="n"/>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94" t="n"/>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94" t="n"/>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94" t="n"/>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94" t="n"/>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94" t="n"/>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94" t="n"/>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94" t="n"/>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94" t="n"/>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94" t="n"/>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94" t="n"/>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94" t="n"/>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94" t="n"/>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94" t="n"/>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94" t="n"/>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94" t="n"/>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94" t="n"/>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94" t="n"/>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94" t="n"/>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94" t="n"/>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94" t="n"/>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94" t="n"/>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94" t="n"/>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94" t="n"/>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94" t="n"/>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94" t="n"/>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94" t="n"/>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94" t="n"/>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94" t="n"/>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94" t="n"/>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94" t="n"/>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94" t="n"/>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94" t="n"/>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94" t="n"/>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94" t="n"/>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94" t="n"/>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94" t="n"/>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94" t="n"/>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94" t="n"/>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94" t="n"/>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94" t="n"/>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94" t="n"/>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94" t="n"/>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94" t="n"/>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94" t="n"/>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94" t="n"/>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94" t="n"/>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94" t="n"/>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94" t="n"/>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94" t="n"/>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94" t="n"/>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94" t="n"/>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94" t="n"/>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94" t="n"/>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94" t="n"/>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94" t="n"/>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94" t="n"/>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94" t="n"/>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94" t="n"/>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94" t="n"/>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94" t="n"/>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94" t="n"/>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94" t="n"/>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94" t="n"/>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94" t="n"/>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94" t="n"/>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94" t="n"/>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94" t="n"/>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94" t="n"/>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94" t="n"/>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94" t="n"/>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94" t="n"/>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94" t="n"/>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94" t="n"/>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94" t="n"/>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94" t="n"/>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94" t="n"/>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94" t="n"/>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94" t="n"/>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94" t="n"/>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94" t="n"/>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94" t="n"/>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94" t="n"/>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94" t="n"/>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94" t="n"/>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94" t="n"/>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94" t="n"/>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94" t="n"/>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94" t="n"/>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94" t="n"/>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94" t="n"/>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94" t="n"/>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94" t="n"/>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94" t="n"/>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94" t="n"/>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94" t="n"/>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94" t="n"/>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94" t="n"/>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94" t="n"/>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94" t="n"/>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94" t="n"/>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94" t="n"/>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94" t="n"/>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94" t="n"/>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94" t="n"/>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94" t="n"/>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94" t="n"/>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94" t="n"/>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94" t="n"/>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94" t="n"/>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94" t="n"/>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94" t="n"/>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94" t="n"/>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94" t="n"/>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94" t="n"/>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94" t="n"/>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94" t="n"/>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94" t="n"/>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94" t="n"/>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94" t="n"/>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94" t="n"/>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94" t="n"/>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94" t="n"/>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94" t="n"/>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94" t="n"/>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94" t="n"/>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94" t="n"/>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94" t="n"/>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94" t="n"/>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94" t="n"/>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94" t="n"/>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94" t="n"/>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94" t="n"/>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94" t="n"/>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94" t="n"/>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94" t="n"/>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94" t="n"/>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94" t="n"/>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94" t="n"/>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94" t="n"/>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94" t="n"/>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94" t="n"/>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94" t="n"/>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94" t="n"/>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94" t="n"/>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94" t="n"/>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94" t="n"/>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94" t="n"/>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94" t="n"/>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94" t="n"/>
      <c r="B975" s="94" t="n"/>
      <c r="C975" s="94" t="n"/>
      <c r="D975" s="94" t="n"/>
      <c r="E975" s="94" t="n"/>
      <c r="F975" s="94" t="n"/>
      <c r="G975" s="94" t="n"/>
      <c r="H975" s="94"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94" t="n"/>
      <c r="B976" s="94" t="n"/>
      <c r="C976" s="94" t="n"/>
      <c r="D976" s="94" t="n"/>
      <c r="E976" s="94" t="n"/>
      <c r="F976" s="94" t="n"/>
      <c r="G976" s="94" t="n"/>
      <c r="H976" s="94"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94" t="n"/>
      <c r="B977" s="94" t="n"/>
      <c r="C977" s="94" t="n"/>
      <c r="D977" s="94" t="n"/>
      <c r="E977" s="94" t="n"/>
      <c r="F977" s="94" t="n"/>
      <c r="G977" s="94" t="n"/>
      <c r="H977" s="94"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94" t="n"/>
      <c r="B978" s="94" t="n"/>
      <c r="C978" s="94" t="n"/>
      <c r="D978" s="94" t="n"/>
      <c r="E978" s="94" t="n"/>
      <c r="F978" s="94" t="n"/>
      <c r="G978" s="94" t="n"/>
      <c r="H978" s="94"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94" t="n"/>
      <c r="B979" s="94" t="n"/>
      <c r="C979" s="94" t="n"/>
      <c r="D979" s="94" t="n"/>
      <c r="E979" s="94" t="n"/>
      <c r="F979" s="94" t="n"/>
      <c r="G979" s="94" t="n"/>
      <c r="H979" s="94"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94" t="n"/>
      <c r="B980" s="94" t="n"/>
      <c r="C980" s="94" t="n"/>
      <c r="D980" s="94" t="n"/>
      <c r="E980" s="94" t="n"/>
      <c r="F980" s="94" t="n"/>
      <c r="G980" s="94" t="n"/>
      <c r="H980" s="94"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94" t="n"/>
      <c r="B981" s="94" t="n"/>
      <c r="C981" s="94" t="n"/>
      <c r="D981" s="94" t="n"/>
      <c r="E981" s="94" t="n"/>
      <c r="F981" s="94" t="n"/>
      <c r="G981" s="94" t="n"/>
      <c r="H981" s="94"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94" t="n"/>
      <c r="B982" s="94" t="n"/>
      <c r="C982" s="94" t="n"/>
      <c r="D982" s="94" t="n"/>
      <c r="E982" s="94" t="n"/>
      <c r="F982" s="94" t="n"/>
      <c r="G982" s="94" t="n"/>
      <c r="H982" s="94"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94" t="n"/>
      <c r="B983" s="94" t="n"/>
      <c r="C983" s="94" t="n"/>
      <c r="D983" s="94" t="n"/>
      <c r="E983" s="94" t="n"/>
      <c r="F983" s="94" t="n"/>
      <c r="G983" s="94" t="n"/>
      <c r="H983" s="94"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94" t="n"/>
      <c r="B984" s="94" t="n"/>
      <c r="C984" s="94" t="n"/>
      <c r="D984" s="94" t="n"/>
      <c r="E984" s="94" t="n"/>
      <c r="F984" s="94" t="n"/>
      <c r="G984" s="94" t="n"/>
      <c r="H984" s="94"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94" t="n"/>
      <c r="B985" s="94" t="n"/>
      <c r="C985" s="94" t="n"/>
      <c r="D985" s="94" t="n"/>
      <c r="E985" s="94" t="n"/>
      <c r="F985" s="94" t="n"/>
      <c r="G985" s="94" t="n"/>
      <c r="H985" s="94"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94" t="n"/>
      <c r="B986" s="94" t="n"/>
      <c r="C986" s="94" t="n"/>
      <c r="D986" s="94" t="n"/>
      <c r="E986" s="94" t="n"/>
      <c r="F986" s="94" t="n"/>
      <c r="G986" s="94" t="n"/>
      <c r="H986" s="94"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94" t="n"/>
      <c r="B987" s="94" t="n"/>
      <c r="C987" s="94" t="n"/>
      <c r="D987" s="94" t="n"/>
      <c r="E987" s="94" t="n"/>
      <c r="F987" s="94" t="n"/>
      <c r="G987" s="94" t="n"/>
      <c r="H987" s="94"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94" t="n"/>
      <c r="B988" s="94" t="n"/>
      <c r="C988" s="94" t="n"/>
      <c r="D988" s="94" t="n"/>
      <c r="E988" s="94" t="n"/>
      <c r="F988" s="94" t="n"/>
      <c r="G988" s="94" t="n"/>
      <c r="H988" s="94"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94" t="n"/>
      <c r="B989" s="94" t="n"/>
      <c r="C989" s="94" t="n"/>
      <c r="D989" s="94" t="n"/>
      <c r="E989" s="94" t="n"/>
      <c r="F989" s="94" t="n"/>
      <c r="G989" s="94" t="n"/>
      <c r="H989" s="94"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94" t="n"/>
      <c r="B990" s="94" t="n"/>
      <c r="C990" s="94" t="n"/>
      <c r="D990" s="94" t="n"/>
      <c r="E990" s="94" t="n"/>
      <c r="F990" s="94" t="n"/>
      <c r="G990" s="94" t="n"/>
      <c r="H990" s="94"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94" t="n"/>
      <c r="B991" s="94" t="n"/>
      <c r="C991" s="94" t="n"/>
      <c r="D991" s="94" t="n"/>
      <c r="E991" s="94" t="n"/>
      <c r="F991" s="94" t="n"/>
      <c r="G991" s="94" t="n"/>
      <c r="H991" s="94"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94" t="n"/>
      <c r="B992" s="94" t="n"/>
      <c r="C992" s="94" t="n"/>
      <c r="D992" s="94" t="n"/>
      <c r="E992" s="94" t="n"/>
      <c r="F992" s="94" t="n"/>
      <c r="G992" s="94" t="n"/>
      <c r="H992" s="94"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94" t="n"/>
      <c r="B993" s="94" t="n"/>
      <c r="C993" s="94" t="n"/>
      <c r="D993" s="94" t="n"/>
      <c r="E993" s="94" t="n"/>
      <c r="F993" s="94" t="n"/>
      <c r="G993" s="94" t="n"/>
      <c r="H993" s="94"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94" t="n"/>
      <c r="B994" s="94" t="n"/>
      <c r="C994" s="94" t="n"/>
      <c r="D994" s="94" t="n"/>
      <c r="E994" s="94" t="n"/>
      <c r="F994" s="94" t="n"/>
      <c r="G994" s="94" t="n"/>
      <c r="H994" s="94"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94" t="n"/>
      <c r="B995" s="94" t="n"/>
      <c r="C995" s="94" t="n"/>
      <c r="D995" s="94" t="n"/>
      <c r="E995" s="94" t="n"/>
      <c r="F995" s="94" t="n"/>
      <c r="G995" s="94" t="n"/>
      <c r="H995" s="94"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94" t="n"/>
      <c r="B996" s="94" t="n"/>
      <c r="C996" s="94" t="n"/>
      <c r="D996" s="94" t="n"/>
      <c r="E996" s="94" t="n"/>
      <c r="F996" s="94" t="n"/>
      <c r="G996" s="94" t="n"/>
      <c r="H996" s="94"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94" t="n"/>
      <c r="B997" s="94" t="n"/>
      <c r="C997" s="94" t="n"/>
      <c r="D997" s="94" t="n"/>
      <c r="E997" s="94" t="n"/>
      <c r="F997" s="94" t="n"/>
      <c r="G997" s="94" t="n"/>
      <c r="H997" s="94"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94" t="n"/>
      <c r="B998" s="94" t="n"/>
      <c r="C998" s="94" t="n"/>
      <c r="D998" s="94" t="n"/>
      <c r="E998" s="94" t="n"/>
      <c r="F998" s="94" t="n"/>
      <c r="G998" s="94" t="n"/>
      <c r="H998" s="94"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94" t="n"/>
      <c r="B999" s="94" t="n"/>
      <c r="C999" s="94" t="n"/>
      <c r="D999" s="94" t="n"/>
      <c r="E999" s="94" t="n"/>
      <c r="F999" s="94" t="n"/>
      <c r="G999" s="94" t="n"/>
      <c r="H999" s="94"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94" t="n"/>
      <c r="B1000" s="94" t="n"/>
      <c r="C1000" s="94" t="n"/>
      <c r="D1000" s="94" t="n"/>
      <c r="E1000" s="94" t="n"/>
      <c r="F1000" s="94" t="n"/>
      <c r="G1000" s="94" t="n"/>
      <c r="H1000" s="94"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94" t="n"/>
      <c r="B1001" s="94" t="n"/>
      <c r="C1001" s="94" t="n"/>
      <c r="D1001" s="94" t="n"/>
      <c r="E1001" s="94" t="n"/>
      <c r="F1001" s="94" t="n"/>
      <c r="G1001" s="94" t="n"/>
      <c r="H1001" s="94"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94" t="n"/>
      <c r="B1002" s="94" t="n"/>
      <c r="C1002" s="94" t="n"/>
      <c r="D1002" s="94" t="n"/>
      <c r="E1002" s="94" t="n"/>
      <c r="F1002" s="94" t="n"/>
      <c r="G1002" s="94" t="n"/>
      <c r="H1002" s="94"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94" t="n"/>
      <c r="B1003" s="94" t="n"/>
      <c r="C1003" s="94" t="n"/>
      <c r="D1003" s="94" t="n"/>
      <c r="E1003" s="94" t="n"/>
      <c r="F1003" s="94" t="n"/>
      <c r="G1003" s="94" t="n"/>
      <c r="H1003" s="94"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94" t="n"/>
      <c r="B1004" s="94" t="n"/>
      <c r="C1004" s="94" t="n"/>
      <c r="D1004" s="94" t="n"/>
      <c r="E1004" s="94" t="n"/>
      <c r="F1004" s="94" t="n"/>
      <c r="G1004" s="94" t="n"/>
      <c r="H1004" s="94"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94" t="n"/>
      <c r="B1005" s="94" t="n"/>
      <c r="C1005" s="94" t="n"/>
      <c r="D1005" s="94" t="n"/>
      <c r="E1005" s="94" t="n"/>
      <c r="F1005" s="94" t="n"/>
      <c r="G1005" s="94" t="n"/>
      <c r="H1005" s="94"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94" t="n"/>
      <c r="B1006" s="94" t="n"/>
      <c r="C1006" s="94" t="n"/>
      <c r="D1006" s="94" t="n"/>
      <c r="E1006" s="94" t="n"/>
      <c r="F1006" s="94" t="n"/>
      <c r="G1006" s="94" t="n"/>
      <c r="H1006" s="94"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94" t="n"/>
      <c r="B1007" s="94" t="n"/>
      <c r="C1007" s="94" t="n"/>
      <c r="D1007" s="94" t="n"/>
      <c r="E1007" s="94" t="n"/>
      <c r="F1007" s="94" t="n"/>
      <c r="G1007" s="94" t="n"/>
      <c r="H1007" s="94"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94" t="n"/>
      <c r="B1008" s="94" t="n"/>
      <c r="C1008" s="94" t="n"/>
      <c r="D1008" s="94" t="n"/>
      <c r="E1008" s="94" t="n"/>
      <c r="F1008" s="94" t="n"/>
      <c r="G1008" s="94" t="n"/>
      <c r="H1008" s="94"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94" t="n"/>
      <c r="B1009" s="94" t="n"/>
      <c r="C1009" s="94" t="n"/>
      <c r="D1009" s="94" t="n"/>
      <c r="E1009" s="94" t="n"/>
      <c r="F1009" s="94" t="n"/>
      <c r="G1009" s="94" t="n"/>
      <c r="H1009" s="94"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94" t="n"/>
      <c r="B1010" s="94" t="n"/>
      <c r="C1010" s="94" t="n"/>
      <c r="D1010" s="94" t="n"/>
      <c r="E1010" s="94" t="n"/>
      <c r="F1010" s="94" t="n"/>
      <c r="G1010" s="94" t="n"/>
      <c r="H1010" s="94"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94" t="n"/>
      <c r="B1011" s="94" t="n"/>
      <c r="C1011" s="94" t="n"/>
      <c r="D1011" s="94" t="n"/>
      <c r="E1011" s="94" t="n"/>
      <c r="F1011" s="94" t="n"/>
      <c r="G1011" s="94" t="n"/>
      <c r="H1011" s="94"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94" t="n"/>
      <c r="B1012" s="94" t="n"/>
      <c r="C1012" s="94" t="n"/>
      <c r="D1012" s="94" t="n"/>
      <c r="E1012" s="94" t="n"/>
      <c r="F1012" s="94" t="n"/>
      <c r="G1012" s="94" t="n"/>
      <c r="H1012" s="94"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94" t="n"/>
      <c r="B1013" s="94" t="n"/>
      <c r="C1013" s="94" t="n"/>
      <c r="D1013" s="94" t="n"/>
      <c r="E1013" s="94" t="n"/>
      <c r="F1013" s="94" t="n"/>
      <c r="G1013" s="94" t="n"/>
      <c r="H1013" s="94"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94" t="n"/>
      <c r="B1014" s="94" t="n"/>
      <c r="C1014" s="94" t="n"/>
      <c r="D1014" s="94" t="n"/>
      <c r="E1014" s="94" t="n"/>
      <c r="F1014" s="94" t="n"/>
      <c r="G1014" s="94" t="n"/>
      <c r="H1014" s="94"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94" t="n"/>
      <c r="B1015" s="94" t="n"/>
      <c r="C1015" s="94" t="n"/>
      <c r="D1015" s="94" t="n"/>
      <c r="E1015" s="94" t="n"/>
      <c r="F1015" s="94" t="n"/>
      <c r="G1015" s="94" t="n"/>
      <c r="H1015" s="94"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row r="1016">
      <c r="A1016" s="94" t="n"/>
      <c r="B1016" s="94" t="n"/>
      <c r="C1016" s="94" t="n"/>
      <c r="D1016" s="94" t="n"/>
      <c r="E1016" s="94" t="n"/>
      <c r="F1016" s="94" t="n"/>
      <c r="G1016" s="94" t="n"/>
      <c r="H1016" s="94" t="n"/>
      <c r="I1016" s="94" t="n"/>
      <c r="J1016" s="94" t="n"/>
      <c r="K1016" s="94" t="n"/>
      <c r="L1016" s="94" t="n"/>
      <c r="M1016" s="94" t="n"/>
      <c r="N1016" s="94" t="n"/>
      <c r="O1016" s="94" t="n"/>
      <c r="P1016" s="94" t="n"/>
      <c r="Q1016" s="94" t="n"/>
      <c r="R1016" s="94" t="n"/>
      <c r="S1016" s="94" t="n"/>
      <c r="T1016" s="94" t="n"/>
      <c r="U1016" s="94" t="n"/>
      <c r="V1016" s="94" t="n"/>
      <c r="W1016" s="94" t="n"/>
      <c r="X1016" s="94" t="n"/>
      <c r="Y1016" s="94" t="n"/>
      <c r="Z1016" s="94" t="n"/>
    </row>
    <row r="1017">
      <c r="A1017" s="94" t="n"/>
      <c r="B1017" s="94" t="n"/>
      <c r="C1017" s="94" t="n"/>
      <c r="D1017" s="94" t="n"/>
      <c r="E1017" s="94" t="n"/>
      <c r="F1017" s="94" t="n"/>
      <c r="G1017" s="94" t="n"/>
      <c r="H1017" s="94" t="n"/>
      <c r="I1017" s="94" t="n"/>
      <c r="J1017" s="94" t="n"/>
      <c r="K1017" s="94" t="n"/>
      <c r="L1017" s="94" t="n"/>
      <c r="M1017" s="94" t="n"/>
      <c r="N1017" s="94" t="n"/>
      <c r="O1017" s="94" t="n"/>
      <c r="P1017" s="94" t="n"/>
      <c r="Q1017" s="94" t="n"/>
      <c r="R1017" s="94" t="n"/>
      <c r="S1017" s="94" t="n"/>
      <c r="T1017" s="94" t="n"/>
      <c r="U1017" s="94" t="n"/>
      <c r="V1017" s="94" t="n"/>
      <c r="W1017" s="94" t="n"/>
      <c r="X1017" s="94" t="n"/>
      <c r="Y1017" s="94" t="n"/>
      <c r="Z1017" s="94" t="n"/>
    </row>
    <row r="1018">
      <c r="A1018" s="94" t="n"/>
      <c r="B1018" s="94" t="n"/>
      <c r="C1018" s="94" t="n"/>
      <c r="D1018" s="94" t="n"/>
      <c r="E1018" s="94" t="n"/>
      <c r="F1018" s="94" t="n"/>
      <c r="G1018" s="94" t="n"/>
      <c r="H1018" s="94" t="n"/>
      <c r="I1018" s="94" t="n"/>
      <c r="J1018" s="94" t="n"/>
      <c r="K1018" s="94" t="n"/>
      <c r="L1018" s="94" t="n"/>
      <c r="M1018" s="94" t="n"/>
      <c r="N1018" s="94" t="n"/>
      <c r="O1018" s="94" t="n"/>
      <c r="P1018" s="94" t="n"/>
      <c r="Q1018" s="94" t="n"/>
      <c r="R1018" s="94" t="n"/>
      <c r="S1018" s="94" t="n"/>
      <c r="T1018" s="94" t="n"/>
      <c r="U1018" s="94" t="n"/>
      <c r="V1018" s="94" t="n"/>
      <c r="W1018" s="94" t="n"/>
      <c r="X1018" s="94" t="n"/>
      <c r="Y1018" s="94" t="n"/>
      <c r="Z1018" s="94" t="n"/>
    </row>
    <row r="1019">
      <c r="A1019" s="94" t="n"/>
      <c r="B1019" s="94" t="n"/>
      <c r="C1019" s="94" t="n"/>
      <c r="D1019" s="94" t="n"/>
      <c r="E1019" s="94" t="n"/>
      <c r="F1019" s="94" t="n"/>
      <c r="G1019" s="94" t="n"/>
      <c r="H1019" s="94" t="n"/>
      <c r="I1019" s="94" t="n"/>
      <c r="J1019" s="94" t="n"/>
      <c r="K1019" s="94" t="n"/>
      <c r="L1019" s="94" t="n"/>
      <c r="M1019" s="94" t="n"/>
      <c r="N1019" s="94" t="n"/>
      <c r="O1019" s="94" t="n"/>
      <c r="P1019" s="94" t="n"/>
      <c r="Q1019" s="94" t="n"/>
      <c r="R1019" s="94" t="n"/>
      <c r="S1019" s="94" t="n"/>
      <c r="T1019" s="94" t="n"/>
      <c r="U1019" s="94" t="n"/>
      <c r="V1019" s="94" t="n"/>
      <c r="W1019" s="94" t="n"/>
      <c r="X1019" s="94" t="n"/>
      <c r="Y1019" s="94" t="n"/>
      <c r="Z1019" s="94" t="n"/>
    </row>
    <row r="1020">
      <c r="A1020" s="94" t="n"/>
      <c r="B1020" s="94" t="n"/>
      <c r="C1020" s="94" t="n"/>
      <c r="D1020" s="94" t="n"/>
      <c r="E1020" s="94" t="n"/>
      <c r="F1020" s="94" t="n"/>
      <c r="G1020" s="94" t="n"/>
      <c r="H1020" s="94" t="n"/>
      <c r="I1020" s="94" t="n"/>
      <c r="J1020" s="94" t="n"/>
      <c r="K1020" s="94" t="n"/>
      <c r="L1020" s="94" t="n"/>
      <c r="M1020" s="94" t="n"/>
      <c r="N1020" s="94" t="n"/>
      <c r="O1020" s="94" t="n"/>
      <c r="P1020" s="94" t="n"/>
      <c r="Q1020" s="94" t="n"/>
      <c r="R1020" s="94" t="n"/>
      <c r="S1020" s="94" t="n"/>
      <c r="T1020" s="94" t="n"/>
      <c r="U1020" s="94" t="n"/>
      <c r="V1020" s="94" t="n"/>
      <c r="W1020" s="94" t="n"/>
      <c r="X1020" s="94" t="n"/>
      <c r="Y1020" s="94" t="n"/>
      <c r="Z1020" s="94" t="n"/>
    </row>
    <row r="1021">
      <c r="A1021" s="94" t="n"/>
      <c r="B1021" s="94" t="n"/>
      <c r="C1021" s="94" t="n"/>
      <c r="D1021" s="94" t="n"/>
      <c r="E1021" s="94" t="n"/>
      <c r="F1021" s="94" t="n"/>
      <c r="G1021" s="94" t="n"/>
      <c r="H1021" s="94" t="n"/>
      <c r="I1021" s="94" t="n"/>
      <c r="J1021" s="94" t="n"/>
      <c r="K1021" s="94" t="n"/>
      <c r="L1021" s="94" t="n"/>
      <c r="M1021" s="94" t="n"/>
      <c r="N1021" s="94" t="n"/>
      <c r="O1021" s="94" t="n"/>
      <c r="P1021" s="94" t="n"/>
      <c r="Q1021" s="94" t="n"/>
      <c r="R1021" s="94" t="n"/>
      <c r="S1021" s="94" t="n"/>
      <c r="T1021" s="94" t="n"/>
      <c r="U1021" s="94" t="n"/>
      <c r="V1021" s="94" t="n"/>
      <c r="W1021" s="94" t="n"/>
      <c r="X1021" s="94" t="n"/>
      <c r="Y1021" s="94" t="n"/>
      <c r="Z1021" s="94" t="n"/>
    </row>
  </sheetData>
  <mergeCells count="15">
    <mergeCell ref="B6:C6"/>
    <mergeCell ref="A1:G1"/>
    <mergeCell ref="B7:C7"/>
    <mergeCell ref="B11:C11"/>
    <mergeCell ref="B5:C5"/>
    <mergeCell ref="I5:K5"/>
    <mergeCell ref="B10:C10"/>
    <mergeCell ref="A4:G4"/>
    <mergeCell ref="A2:G2"/>
    <mergeCell ref="I4:K4"/>
    <mergeCell ref="I8:J8"/>
    <mergeCell ref="B9:C9"/>
    <mergeCell ref="B8:C8"/>
    <mergeCell ref="I9:J9"/>
    <mergeCell ref="I7:K7"/>
  </mergeCells>
  <dataValidations count="11">
    <dataValidation sqref="C15" showDropDown="0" showInputMessage="0" showErrorMessage="0" allowBlank="1" type="list" errorStyle="stop" operator="between">
      <formula1>"20%,None"</formula1>
      <formula2>0</formula2>
    </dataValidation>
    <dataValidation sqref="C16" showDropDown="0" showInputMessage="0" showErrorMessage="0" allowBlank="1" type="list" errorStyle="stop" operator="between">
      <formula1>"5%,None"</formula1>
      <formula2>0</formula2>
    </dataValidation>
    <dataValidation sqref="C14" showDropDown="0" showInputMessage="0" showErrorMessage="0" allowBlank="1" type="list" errorStyle="stop" operator="between">
      <formula1>"20%,21.5%,None"</formula1>
      <formula2>0</formula2>
    </dataValidation>
    <dataValidation sqref="B8" showDropDown="0" showInputMessage="0" showErrorMessage="0" allowBlank="1" type="list" errorStyle="stop" operator="between">
      <formula1>"Yes,No"</formula1>
      <formula2>0</formula2>
    </dataValidation>
    <dataValidation sqref="G24 G25 G26 G28 G29 G30 G31 G33 G34 G35 G38 G39 G40" showDropDown="0" showInputMessage="0" showErrorMessage="0" allowBlank="1" prompt="Select pricing category" type="list">
      <formula1>CategoryList</formula1>
    </dataValidation>
    <dataValidation sqref="B38" showDropDown="0" showInputMessage="0" showErrorMessage="0" allowBlank="0" prompt="Auto-calculated from guest count. Override if needed." type="list">
      <formula1>"1,2,3,4,5"</formula1>
    </dataValidation>
    <dataValidation sqref="B68 C68 D68" showDropDown="0" showInputMessage="0" showErrorMessage="0" allowBlank="1" type="list">
      <formula1>DestinationList</formula1>
    </dataValidation>
    <dataValidation sqref="B69 C69 D69" showDropDown="0" showInputMessage="0" showErrorMessage="0" allowBlank="1" type="list">
      <formula1>"Drive,Flight"</formula1>
    </dataValidation>
    <dataValidation sqref="B70 C70 D70" showDropDown="0" showInputMessage="0" showErrorMessage="0" allowBlank="1" type="list">
      <formula1>"1,2,3,4,5"</formula1>
    </dataValidation>
    <dataValidation sqref="B71 C71 D71" showDropDown="0" showInputMessage="0" showErrorMessage="0" allowBlank="1" type="list">
      <formula1>"0,1,2,3,4,5"</formula1>
    </dataValidation>
    <dataValidation sqref="B72 C72 D72" showDropDown="0" showInputMessage="0" showErrorMessage="0" allowBlank="1" type="list">
      <formula1>VehicleList</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Z10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2" customWidth="1" style="89" min="1" max="1"/>
    <col width="16" customWidth="1" style="89" min="2" max="2"/>
    <col width="10" customWidth="1" style="89" min="3" max="3"/>
    <col width="12" customWidth="1" style="89" min="4" max="4"/>
    <col width="14" customWidth="1" style="89" min="5" max="6"/>
    <col width="10" customWidth="1" style="89" min="7" max="7"/>
    <col width="44" customWidth="1" style="89" min="8" max="8"/>
    <col width="3" customWidth="1" style="89" min="9" max="9"/>
    <col width="38" customWidth="1" style="89" min="10" max="10"/>
    <col width="14" customWidth="1" style="89" min="11" max="11"/>
    <col width="3" customWidth="1" style="89" min="12" max="12"/>
    <col width="28" customWidth="1" style="89" min="13" max="13"/>
    <col width="14" customWidth="1" style="89" min="14" max="14"/>
    <col width="8.710000000000001" customWidth="1" style="89" min="15" max="26"/>
  </cols>
  <sheetData>
    <row r="1" ht="63.75" customHeight="1" s="90">
      <c r="A1" s="91" t="n"/>
      <c r="B1" s="92" t="n"/>
      <c r="C1" s="92" t="n"/>
      <c r="D1" s="92" t="n"/>
      <c r="E1" s="92" t="n"/>
      <c r="F1" s="92" t="n"/>
      <c r="G1" s="92" t="n"/>
      <c r="H1" s="93" t="n"/>
      <c r="I1" s="94" t="n"/>
      <c r="J1" s="94" t="n"/>
      <c r="K1" s="94" t="n"/>
      <c r="L1" s="94" t="n"/>
      <c r="M1" s="94" t="n"/>
      <c r="N1" s="94" t="n"/>
      <c r="O1" s="94" t="n"/>
      <c r="P1" s="94" t="n"/>
      <c r="Q1" s="94" t="n"/>
      <c r="R1" s="94" t="n"/>
      <c r="S1" s="94" t="n"/>
      <c r="T1" s="94" t="n"/>
      <c r="U1" s="94" t="n"/>
      <c r="V1" s="94" t="n"/>
      <c r="W1" s="94" t="n"/>
      <c r="X1" s="94" t="n"/>
      <c r="Y1" s="94" t="n"/>
      <c r="Z1" s="94" t="n"/>
    </row>
    <row r="2" ht="21.75" customHeight="1" s="90">
      <c r="A2" s="95" t="inlineStr">
        <is>
          <t>Decor &amp; Production Estimate</t>
        </is>
      </c>
      <c r="B2" s="92" t="n"/>
      <c r="C2" s="92" t="n"/>
      <c r="D2" s="92" t="n"/>
      <c r="E2" s="92" t="n"/>
      <c r="F2" s="92" t="n"/>
      <c r="G2" s="92" t="n"/>
      <c r="H2" s="93" t="n"/>
      <c r="I2" s="94" t="n"/>
      <c r="J2" s="94" t="n"/>
      <c r="K2" s="94" t="n"/>
      <c r="L2" s="94" t="n"/>
      <c r="M2" s="94" t="n"/>
      <c r="N2" s="94" t="n"/>
      <c r="O2" s="94" t="n"/>
      <c r="P2" s="94" t="n"/>
      <c r="Q2" s="94" t="n"/>
      <c r="R2" s="94" t="n"/>
      <c r="S2" s="94" t="n"/>
      <c r="T2" s="94" t="n"/>
      <c r="U2" s="94" t="n"/>
      <c r="V2" s="94" t="n"/>
      <c r="W2" s="94" t="n"/>
      <c r="X2" s="94" t="n"/>
      <c r="Y2" s="94" t="n"/>
      <c r="Z2" s="94" t="n"/>
    </row>
    <row r="3" ht="6" customHeight="1" s="90">
      <c r="A3" s="94" t="n"/>
      <c r="B3" s="94" t="n"/>
      <c r="C3" s="94" t="n"/>
      <c r="D3" s="94" t="n"/>
      <c r="E3" s="94" t="n"/>
      <c r="F3" s="94" t="n"/>
      <c r="G3" s="94" t="n"/>
      <c r="H3" s="94" t="n"/>
      <c r="I3" s="94" t="n"/>
      <c r="J3" s="94" t="n"/>
      <c r="K3" s="94" t="n"/>
      <c r="L3" s="94" t="n"/>
      <c r="M3" s="94" t="n"/>
      <c r="N3" s="94" t="n"/>
      <c r="O3" s="94" t="n"/>
      <c r="P3" s="94" t="n"/>
      <c r="Q3" s="94" t="n"/>
      <c r="R3" s="94" t="n"/>
      <c r="S3" s="94" t="n"/>
      <c r="T3" s="94" t="n"/>
      <c r="U3" s="94" t="n"/>
      <c r="V3" s="94" t="n"/>
      <c r="W3" s="94" t="n"/>
      <c r="X3" s="94" t="n"/>
      <c r="Y3" s="94" t="n"/>
      <c r="Z3" s="94" t="n"/>
    </row>
    <row r="4" ht="27.75" customHeight="1" s="90">
      <c r="A4" s="96" t="inlineStr">
        <is>
          <t>EVENT INFO (from Client Setup)</t>
        </is>
      </c>
      <c r="B4" s="92" t="n"/>
      <c r="C4" s="92" t="n"/>
      <c r="D4" s="92" t="n"/>
      <c r="E4" s="92" t="n"/>
      <c r="F4" s="92" t="n"/>
      <c r="G4" s="92" t="n"/>
      <c r="H4" s="93" t="n"/>
      <c r="I4" s="94" t="n"/>
      <c r="J4" s="96" t="inlineStr">
        <is>
          <t>DETAILED CLIENT VIEW</t>
        </is>
      </c>
      <c r="K4" s="93" t="n"/>
      <c r="L4" s="94" t="n"/>
      <c r="M4" s="96" t="inlineStr">
        <is>
          <t>SUMMARY VIEW</t>
        </is>
      </c>
      <c r="N4" s="93" t="n"/>
      <c r="O4" s="94" t="n"/>
      <c r="P4" s="94" t="n"/>
      <c r="Q4" s="94" t="n"/>
      <c r="R4" s="94" t="n"/>
      <c r="S4" s="94" t="n"/>
      <c r="T4" s="94" t="n"/>
      <c r="U4" s="94" t="n"/>
      <c r="V4" s="94" t="n"/>
      <c r="W4" s="94" t="n"/>
      <c r="X4" s="94" t="n"/>
      <c r="Y4" s="94" t="n"/>
      <c r="Z4" s="94" t="n"/>
    </row>
    <row r="5" ht="21.75" customHeight="1" s="90">
      <c r="A5" s="127" t="inlineStr">
        <is>
          <t>Client:</t>
        </is>
      </c>
      <c r="B5" s="133">
        <f>'Client Setup'!B5</f>
        <v/>
      </c>
      <c r="C5" s="93" t="n"/>
      <c r="D5" s="99" t="n"/>
      <c r="E5" s="99" t="n"/>
      <c r="F5" s="99" t="n"/>
      <c r="G5" s="99" t="n"/>
      <c r="H5" s="99" t="n"/>
      <c r="I5" s="94" t="n"/>
      <c r="J5" s="127" t="inlineStr">
        <is>
          <t>Itemized — each section is one Canva slide</t>
        </is>
      </c>
      <c r="K5" s="93" t="n"/>
      <c r="L5" s="94" t="n"/>
      <c r="M5" s="127" t="inlineStr">
        <is>
          <t>Category totals for client</t>
        </is>
      </c>
      <c r="N5" s="93" t="n"/>
      <c r="O5" s="94" t="n"/>
      <c r="P5" s="94" t="n"/>
      <c r="Q5" s="94" t="n"/>
      <c r="R5" s="94" t="n"/>
      <c r="S5" s="94" t="n"/>
      <c r="T5" s="94" t="n"/>
      <c r="U5" s="94" t="n"/>
      <c r="V5" s="94" t="n"/>
      <c r="W5" s="94" t="n"/>
      <c r="X5" s="94" t="n"/>
      <c r="Y5" s="94" t="n"/>
      <c r="Z5" s="94" t="n"/>
    </row>
    <row r="6" ht="21.75" customHeight="1" s="90">
      <c r="A6" s="127" t="inlineStr">
        <is>
          <t>Event Date:</t>
        </is>
      </c>
      <c r="B6" s="182">
        <f>'Client Setup'!B6</f>
        <v/>
      </c>
      <c r="C6" s="93" t="n"/>
      <c r="D6" s="99" t="n"/>
      <c r="E6" s="99" t="n"/>
      <c r="F6" s="99" t="n"/>
      <c r="G6" s="99" t="n"/>
      <c r="H6" s="99" t="n"/>
      <c r="I6" s="94" t="n"/>
      <c r="J6" s="94" t="n"/>
      <c r="K6" s="94" t="n"/>
      <c r="L6" s="94" t="n"/>
      <c r="M6" s="94" t="n"/>
      <c r="N6" s="94" t="n"/>
      <c r="O6" s="94" t="n"/>
      <c r="P6" s="94" t="n"/>
      <c r="Q6" s="94" t="n"/>
      <c r="R6" s="94" t="n"/>
      <c r="S6" s="94" t="n"/>
      <c r="T6" s="94" t="n"/>
      <c r="U6" s="94" t="n"/>
      <c r="V6" s="94" t="n"/>
      <c r="W6" s="94" t="n"/>
      <c r="X6" s="94" t="n"/>
      <c r="Y6" s="94" t="n"/>
      <c r="Z6" s="94" t="n"/>
    </row>
    <row r="7" ht="21.75" customHeight="1" s="90">
      <c r="A7" s="127" t="inlineStr">
        <is>
          <t>Guest Count:</t>
        </is>
      </c>
      <c r="B7" s="135">
        <f>'Client Setup'!B7</f>
        <v/>
      </c>
      <c r="C7" s="93" t="n"/>
      <c r="D7" s="99" t="n"/>
      <c r="E7" s="99" t="n"/>
      <c r="F7" s="99" t="n"/>
      <c r="G7" s="99" t="n"/>
      <c r="H7" s="99" t="n"/>
      <c r="I7" s="94" t="n"/>
      <c r="J7" s="130" t="inlineStr">
        <is>
          <t>DECOR &amp; PRODUCTION ESTIMATE</t>
        </is>
      </c>
      <c r="K7" s="93" t="n"/>
      <c r="L7" s="94" t="n"/>
      <c r="M7" s="130" t="inlineStr">
        <is>
          <t>DECOR &amp; PRODUCTION ESTIMATE</t>
        </is>
      </c>
      <c r="N7" s="93" t="n"/>
      <c r="O7" s="94" t="n"/>
      <c r="P7" s="94" t="n"/>
      <c r="Q7" s="94" t="n"/>
      <c r="R7" s="94" t="n"/>
      <c r="S7" s="94" t="n"/>
      <c r="T7" s="94" t="n"/>
      <c r="U7" s="94" t="n"/>
      <c r="V7" s="94" t="n"/>
      <c r="W7" s="94" t="n"/>
      <c r="X7" s="94" t="n"/>
      <c r="Y7" s="94" t="n"/>
      <c r="Z7" s="94" t="n"/>
    </row>
    <row r="8" ht="21.75" customHeight="1" s="90">
      <c r="A8" s="127" t="inlineStr">
        <is>
          <t>Location:</t>
        </is>
      </c>
      <c r="B8" s="133">
        <f>'Client Setup'!B16</f>
        <v/>
      </c>
      <c r="C8" s="93" t="n"/>
      <c r="D8" s="99" t="n"/>
      <c r="E8" s="99" t="n"/>
      <c r="F8" s="99" t="n"/>
      <c r="G8" s="99" t="n"/>
      <c r="H8" s="99" t="n"/>
      <c r="I8" s="94" t="n"/>
      <c r="J8" s="131">
        <f>'Client Setup'!B5</f>
        <v/>
      </c>
      <c r="K8" s="132">
        <f>'Client Setup'!B7&amp;" Guests"</f>
        <v/>
      </c>
      <c r="L8" s="94" t="n"/>
      <c r="M8" s="131">
        <f>'Client Setup'!B5</f>
        <v/>
      </c>
      <c r="N8" s="132">
        <f>'Client Setup'!B7&amp;" Guests"</f>
        <v/>
      </c>
      <c r="O8" s="94" t="n"/>
      <c r="P8" s="94" t="n"/>
      <c r="Q8" s="94" t="n"/>
      <c r="R8" s="94" t="n"/>
      <c r="S8" s="94" t="n"/>
      <c r="T8" s="94" t="n"/>
      <c r="U8" s="94" t="n"/>
      <c r="V8" s="94" t="n"/>
      <c r="W8" s="94" t="n"/>
      <c r="X8" s="94" t="n"/>
      <c r="Y8" s="94" t="n"/>
      <c r="Z8" s="94" t="n"/>
    </row>
    <row r="9" ht="21.75" customHeight="1" s="90">
      <c r="A9" s="127" t="inlineStr">
        <is>
          <t>Venue:</t>
        </is>
      </c>
      <c r="B9" s="98" t="n"/>
      <c r="C9" s="93" t="n"/>
      <c r="D9" s="99" t="n"/>
      <c r="E9" s="201" t="inlineStr">
        <is>
          <t>Event Time:</t>
        </is>
      </c>
      <c r="F9" s="202">
        <f>'Client Setup'!B10</f>
        <v/>
      </c>
      <c r="G9" s="99" t="n"/>
      <c r="H9" s="99" t="n"/>
      <c r="I9" s="94" t="n"/>
      <c r="J9" s="134">
        <f>TEXT('Client Setup'!B6,"MMMM D, YYYY")</f>
        <v/>
      </c>
      <c r="K9" s="99" t="n"/>
      <c r="L9" s="94" t="n"/>
      <c r="M9" s="134">
        <f>TEXT('Client Setup'!B6,"MMMM D, YYYY")</f>
        <v/>
      </c>
      <c r="N9" s="99" t="n"/>
      <c r="O9" s="94" t="n"/>
      <c r="P9" s="94" t="n"/>
      <c r="Q9" s="94" t="n"/>
      <c r="R9" s="94" t="n"/>
      <c r="S9" s="94" t="n"/>
      <c r="T9" s="94" t="n"/>
      <c r="U9" s="94" t="n"/>
      <c r="V9" s="94" t="n"/>
      <c r="W9" s="94" t="n"/>
      <c r="X9" s="94" t="n"/>
      <c r="Y9" s="94" t="n"/>
      <c r="Z9" s="94" t="n"/>
    </row>
    <row r="10" ht="15" customHeight="1" s="90">
      <c r="A10" s="114" t="inlineStr">
        <is>
          <t>Company:</t>
        </is>
      </c>
      <c r="B10" s="138">
        <f>'Client Setup'!B11</f>
        <v/>
      </c>
      <c r="C10" s="105" t="n"/>
      <c r="D10" s="105" t="n"/>
      <c r="E10" s="105" t="n"/>
      <c r="F10" s="105" t="n"/>
      <c r="G10" s="105" t="n"/>
      <c r="H10" s="105" t="n"/>
    </row>
    <row r="11" ht="25.5" customHeight="1" s="90">
      <c r="A11" s="114" t="inlineStr">
        <is>
          <t>Program:</t>
        </is>
      </c>
      <c r="B11" s="138">
        <f>'Client Setup'!B12</f>
        <v/>
      </c>
      <c r="C11" s="105" t="n"/>
      <c r="D11" s="105" t="n"/>
      <c r="E11" s="105" t="n"/>
      <c r="F11" s="105" t="n"/>
      <c r="G11" s="105" t="n"/>
      <c r="H11" s="105" t="n"/>
    </row>
    <row r="12" ht="27.75" customHeight="1" s="90">
      <c r="A12" s="114" t="inlineStr">
        <is>
          <t>Client Hotel:</t>
        </is>
      </c>
      <c r="B12" s="138">
        <f>'Client Setup'!B13</f>
        <v/>
      </c>
      <c r="C12" s="105" t="n"/>
      <c r="D12" s="105" t="n"/>
      <c r="E12" s="105" t="n"/>
      <c r="F12" s="105" t="n"/>
      <c r="G12" s="105" t="n"/>
      <c r="H12" s="105" t="n"/>
    </row>
    <row r="13" ht="27.75" customHeight="1" s="90">
      <c r="A13" s="96" t="inlineStr">
        <is>
          <t>FLORALS</t>
        </is>
      </c>
      <c r="I13" s="94" t="n"/>
      <c r="J13" s="94" t="n"/>
      <c r="K13" s="94" t="n"/>
      <c r="L13" s="94" t="n"/>
      <c r="M13" s="94" t="n"/>
      <c r="N13" s="94" t="n"/>
      <c r="O13" s="94" t="n"/>
      <c r="P13" s="94" t="n"/>
      <c r="Q13" s="94" t="n"/>
      <c r="R13" s="94" t="n"/>
      <c r="S13" s="94" t="n"/>
      <c r="T13" s="94" t="n"/>
      <c r="U13" s="94" t="n"/>
      <c r="V13" s="94" t="n"/>
      <c r="W13" s="94" t="n"/>
      <c r="X13" s="94" t="n"/>
      <c r="Y13" s="94" t="n"/>
      <c r="Z13" s="94" t="n"/>
    </row>
    <row r="14" ht="27.75" customHeight="1" s="90">
      <c r="A14" s="137" t="inlineStr">
        <is>
          <t>Item</t>
        </is>
      </c>
      <c r="B14" s="137" t="inlineStr">
        <is>
          <t>Vendor</t>
        </is>
      </c>
      <c r="C14" s="137" t="inlineStr">
        <is>
          <t>Qty</t>
        </is>
      </c>
      <c r="D14" s="137" t="inlineStr">
        <is>
          <t>Unit Price</t>
        </is>
      </c>
      <c r="E14" s="137" t="inlineStr">
        <is>
          <t>Our Cost</t>
        </is>
      </c>
      <c r="F14" s="137" t="inlineStr">
        <is>
          <t>Client Cost</t>
        </is>
      </c>
      <c r="G14" s="137" t="inlineStr">
        <is>
          <t>Tax Rate</t>
        </is>
      </c>
      <c r="H14" s="137" t="inlineStr">
        <is>
          <t>Notes / Description</t>
        </is>
      </c>
      <c r="I14" s="183" t="inlineStr">
        <is>
          <t>Category</t>
        </is>
      </c>
      <c r="J14" s="136" t="inlineStr">
        <is>
          <t>Item</t>
        </is>
      </c>
      <c r="K14" s="137" t="inlineStr">
        <is>
          <t>Amount</t>
        </is>
      </c>
      <c r="L14" s="94" t="n"/>
      <c r="M14" s="136" t="inlineStr">
        <is>
          <t>Category</t>
        </is>
      </c>
      <c r="N14" s="137" t="inlineStr">
        <is>
          <t>Amount</t>
        </is>
      </c>
      <c r="O14" s="94" t="n"/>
      <c r="P14" s="94" t="n"/>
      <c r="Q14" s="94" t="n"/>
      <c r="R14" s="94" t="n"/>
      <c r="S14" s="94" t="n"/>
      <c r="T14" s="94" t="n"/>
      <c r="U14" s="94" t="n"/>
      <c r="V14" s="94" t="n"/>
      <c r="W14" s="94" t="n"/>
      <c r="X14" s="94" t="n"/>
      <c r="Y14" s="94" t="n"/>
      <c r="Z14" s="94" t="n"/>
    </row>
    <row r="15" ht="27.75" customHeight="1" s="90">
      <c r="A15" s="143" t="inlineStr">
        <is>
          <t>TAXABLE FLORAL PRODUCT</t>
        </is>
      </c>
      <c r="I15" s="94" t="n"/>
      <c r="J15" s="184">
        <f>A13</f>
        <v/>
      </c>
      <c r="L15" s="94" t="n"/>
      <c r="M15" s="134">
        <f>A13</f>
        <v/>
      </c>
      <c r="N15" s="139">
        <f>ROUNDUP(F30/50,0)*50</f>
        <v/>
      </c>
      <c r="O15" s="94" t="n"/>
      <c r="P15" s="94" t="n"/>
      <c r="Q15" s="94" t="n"/>
      <c r="R15" s="94" t="n"/>
      <c r="S15" s="94" t="n"/>
      <c r="T15" s="94" t="n"/>
      <c r="U15" s="94" t="n"/>
      <c r="V15" s="94" t="n"/>
      <c r="W15" s="94" t="n"/>
      <c r="X15" s="94" t="n"/>
      <c r="Y15" s="94" t="n"/>
      <c r="Z15" s="94" t="n"/>
    </row>
    <row r="16" ht="27.75" customHeight="1" s="90">
      <c r="A16" s="185" t="n"/>
      <c r="B16" s="186" t="n"/>
      <c r="C16" s="101" t="n"/>
      <c r="D16" s="129" t="n"/>
      <c r="E16" s="147">
        <f>C16*D16</f>
        <v/>
      </c>
      <c r="F16" s="147">
        <f>IFERROR(E16*(1+VLOOKUP(I16,CategoryTable,2,FALSE)),0)</f>
        <v/>
      </c>
      <c r="G16" s="148">
        <f>'Client Setup'!B19</f>
        <v/>
      </c>
      <c r="H16" s="187" t="n"/>
      <c r="I16" s="188" t="inlineStr">
        <is>
          <t>Décor &amp; Design</t>
        </is>
      </c>
      <c r="J16" s="107">
        <f>IF(A16="","",A16&amp;" x"&amp;C16)</f>
        <v/>
      </c>
      <c r="K16" s="139">
        <f>IF(A16="","",ROUNDUP(F16/10,0)*10)</f>
        <v/>
      </c>
      <c r="L16" s="94" t="n"/>
      <c r="M16" s="134" t="inlineStr">
        <is>
          <t>Seating</t>
        </is>
      </c>
      <c r="N16" s="139">
        <f>ROUNDUP(SUM(F35:F42)/50,0)*50</f>
        <v/>
      </c>
      <c r="O16" s="94" t="n"/>
      <c r="P16" s="94" t="n"/>
      <c r="Q16" s="94" t="n"/>
      <c r="R16" s="94" t="n"/>
      <c r="S16" s="94" t="n"/>
      <c r="T16" s="94" t="n"/>
      <c r="U16" s="94" t="n"/>
      <c r="V16" s="94" t="n"/>
      <c r="W16" s="94" t="n"/>
      <c r="X16" s="94" t="n"/>
      <c r="Y16" s="94" t="n"/>
      <c r="Z16" s="94" t="n"/>
    </row>
    <row r="17" ht="27.75" customHeight="1" s="90">
      <c r="A17" s="185" t="n"/>
      <c r="B17" s="186" t="n"/>
      <c r="C17" s="101" t="n"/>
      <c r="D17" s="129" t="n"/>
      <c r="E17" s="147">
        <f>C17*D17</f>
        <v/>
      </c>
      <c r="F17" s="147">
        <f>IFERROR(E17*(1+VLOOKUP(I17,CategoryTable,2,FALSE)),0)</f>
        <v/>
      </c>
      <c r="G17" s="148">
        <f>'Client Setup'!B19</f>
        <v/>
      </c>
      <c r="H17" s="187" t="n"/>
      <c r="I17" s="188" t="inlineStr">
        <is>
          <t>Décor &amp; Design</t>
        </is>
      </c>
      <c r="J17" s="107">
        <f>IF(A17="","",A17&amp;" x"&amp;C17)</f>
        <v/>
      </c>
      <c r="K17" s="139">
        <f>IF(A17="","",ROUNDUP(F17/10,0)*10)</f>
        <v/>
      </c>
      <c r="L17" s="94" t="n"/>
      <c r="M17" s="134" t="inlineStr">
        <is>
          <t>Lounge Furniture</t>
        </is>
      </c>
      <c r="N17" s="139">
        <f>ROUNDUP(SUM(F44:F51)/50,0)*50</f>
        <v/>
      </c>
      <c r="O17" s="94" t="n"/>
      <c r="P17" s="94" t="n"/>
      <c r="Q17" s="94" t="n"/>
      <c r="R17" s="94" t="n"/>
      <c r="S17" s="94" t="n"/>
      <c r="T17" s="94" t="n"/>
      <c r="U17" s="94" t="n"/>
      <c r="V17" s="94" t="n"/>
      <c r="W17" s="94" t="n"/>
      <c r="X17" s="94" t="n"/>
      <c r="Y17" s="94" t="n"/>
      <c r="Z17" s="94" t="n"/>
    </row>
    <row r="18" ht="27.75" customHeight="1" s="90">
      <c r="A18" s="185" t="n"/>
      <c r="B18" s="186" t="n"/>
      <c r="C18" s="101" t="n"/>
      <c r="D18" s="129" t="n"/>
      <c r="E18" s="147">
        <f>C18*D18</f>
        <v/>
      </c>
      <c r="F18" s="147">
        <f>IFERROR(E18*(1+VLOOKUP(I18,CategoryTable,2,FALSE)),0)</f>
        <v/>
      </c>
      <c r="G18" s="148">
        <f>'Client Setup'!B19</f>
        <v/>
      </c>
      <c r="H18" s="187" t="n"/>
      <c r="I18" s="188" t="inlineStr">
        <is>
          <t>Décor &amp; Design</t>
        </is>
      </c>
      <c r="J18" s="107">
        <f>IF(A18="","",A18&amp;" x"&amp;C18)</f>
        <v/>
      </c>
      <c r="K18" s="139">
        <f>IF(A18="","",ROUNDUP(F18/10,0)*10)</f>
        <v/>
      </c>
      <c r="L18" s="94" t="n"/>
      <c r="M18" s="134" t="inlineStr">
        <is>
          <t>Tables</t>
        </is>
      </c>
      <c r="N18" s="139">
        <f>ROUNDUP(SUM(F53:F60)/50,0)*50</f>
        <v/>
      </c>
      <c r="O18" s="94" t="n"/>
      <c r="P18" s="94" t="n"/>
      <c r="Q18" s="94" t="n"/>
      <c r="R18" s="94" t="n"/>
      <c r="S18" s="94" t="n"/>
      <c r="T18" s="94" t="n"/>
      <c r="U18" s="94" t="n"/>
      <c r="V18" s="94" t="n"/>
      <c r="W18" s="94" t="n"/>
      <c r="X18" s="94" t="n"/>
      <c r="Y18" s="94" t="n"/>
      <c r="Z18" s="94" t="n"/>
    </row>
    <row r="19" ht="27.75" customHeight="1" s="90">
      <c r="A19" s="185" t="n"/>
      <c r="B19" s="186" t="n"/>
      <c r="C19" s="101" t="n"/>
      <c r="D19" s="129" t="n"/>
      <c r="E19" s="147">
        <f>C19*D19</f>
        <v/>
      </c>
      <c r="F19" s="147">
        <f>IFERROR(E19*(1+VLOOKUP(I19,CategoryTable,2,FALSE)),0)</f>
        <v/>
      </c>
      <c r="G19" s="148">
        <f>'Client Setup'!B19</f>
        <v/>
      </c>
      <c r="H19" s="187" t="n"/>
      <c r="I19" s="188" t="inlineStr">
        <is>
          <t>Décor &amp; Design</t>
        </is>
      </c>
      <c r="J19" s="107">
        <f>IF(A19="","",A19&amp;" x"&amp;C19)</f>
        <v/>
      </c>
      <c r="K19" s="139">
        <f>IF(A19="","",ROUNDUP(F19/10,0)*10)</f>
        <v/>
      </c>
      <c r="L19" s="94" t="n"/>
      <c r="M19" s="134" t="inlineStr">
        <is>
          <t>Decor &amp; Accessories</t>
        </is>
      </c>
      <c r="N19" s="139">
        <f>ROUNDUP(SUM(F62:F67)/50,0)*50</f>
        <v/>
      </c>
      <c r="O19" s="94" t="n"/>
      <c r="P19" s="94" t="n"/>
      <c r="Q19" s="94" t="n"/>
      <c r="R19" s="94" t="n"/>
      <c r="S19" s="94" t="n"/>
      <c r="T19" s="94" t="n"/>
      <c r="U19" s="94" t="n"/>
      <c r="V19" s="94" t="n"/>
      <c r="W19" s="94" t="n"/>
      <c r="X19" s="94" t="n"/>
      <c r="Y19" s="94" t="n"/>
      <c r="Z19" s="94" t="n"/>
    </row>
    <row r="20" ht="21.75" customHeight="1" s="90">
      <c r="A20" s="185" t="n"/>
      <c r="B20" s="186" t="n"/>
      <c r="C20" s="101" t="n"/>
      <c r="D20" s="129" t="n"/>
      <c r="E20" s="147">
        <f>C20*D20</f>
        <v/>
      </c>
      <c r="F20" s="147">
        <f>IFERROR(E20*(1+VLOOKUP(I20,CategoryTable,2,FALSE)),0)</f>
        <v/>
      </c>
      <c r="G20" s="148">
        <f>'Client Setup'!B19</f>
        <v/>
      </c>
      <c r="H20" s="187" t="n"/>
      <c r="I20" s="188" t="inlineStr">
        <is>
          <t>Décor &amp; Design</t>
        </is>
      </c>
      <c r="J20" s="107">
        <f>IF(A20="","",A20&amp;" x"&amp;C20)</f>
        <v/>
      </c>
      <c r="K20" s="139">
        <f>IF(A20="","",ROUNDUP(F20/10,0)*10)</f>
        <v/>
      </c>
      <c r="L20" s="94" t="n"/>
      <c r="M20" s="134" t="inlineStr">
        <is>
          <t>Delivery &amp; Fees</t>
        </is>
      </c>
      <c r="N20" s="139">
        <f>ROUNDUP((SUM(F27:F29)+SUM(F69:F74)+SUM(F91:F95))/50,0)*50</f>
        <v/>
      </c>
      <c r="O20" s="94" t="n"/>
      <c r="P20" s="94" t="n"/>
      <c r="Q20" s="94" t="n"/>
      <c r="R20" s="94" t="n"/>
      <c r="S20" s="94" t="n"/>
      <c r="T20" s="94" t="n"/>
      <c r="U20" s="94" t="n"/>
      <c r="V20" s="94" t="n"/>
      <c r="W20" s="94" t="n"/>
      <c r="X20" s="94" t="n"/>
      <c r="Y20" s="94" t="n"/>
      <c r="Z20" s="94" t="n"/>
    </row>
    <row r="21" ht="30" customHeight="1" s="90">
      <c r="A21" s="185" t="n"/>
      <c r="B21" s="186" t="n"/>
      <c r="C21" s="101" t="n"/>
      <c r="D21" s="129" t="n"/>
      <c r="E21" s="147">
        <f>C21*D21</f>
        <v/>
      </c>
      <c r="F21" s="147">
        <f>IFERROR(E21*(1+VLOOKUP(I21,CategoryTable,2,FALSE)),0)</f>
        <v/>
      </c>
      <c r="G21" s="148">
        <f>'Client Setup'!B19</f>
        <v/>
      </c>
      <c r="H21" s="187" t="n"/>
      <c r="I21" s="188" t="inlineStr">
        <is>
          <t>Décor &amp; Design</t>
        </is>
      </c>
      <c r="J21" s="107">
        <f>IF(A21="","",A21&amp;" x"&amp;C21)</f>
        <v/>
      </c>
      <c r="K21" s="139">
        <f>IF(A21="","",ROUNDUP(F21/10,0)*10)</f>
        <v/>
      </c>
      <c r="L21" s="94" t="n"/>
      <c r="M21" s="134">
        <f>A77</f>
        <v/>
      </c>
      <c r="N21" s="139">
        <f>ROUNDUP(SUM(F80:F89)/50,0)*50</f>
        <v/>
      </c>
      <c r="O21" s="94" t="n"/>
      <c r="P21" s="94" t="n"/>
      <c r="Q21" s="94" t="n"/>
      <c r="R21" s="94" t="n"/>
      <c r="S21" s="94" t="n"/>
      <c r="T21" s="94" t="n"/>
      <c r="U21" s="94" t="n"/>
      <c r="V21" s="94" t="n"/>
      <c r="W21" s="94" t="n"/>
      <c r="X21" s="94" t="n"/>
      <c r="Y21" s="94" t="n"/>
      <c r="Z21" s="94" t="n"/>
    </row>
    <row r="22" ht="21.75" customHeight="1" s="90">
      <c r="A22" s="185" t="n"/>
      <c r="B22" s="186" t="n"/>
      <c r="C22" s="101" t="n"/>
      <c r="D22" s="129" t="n"/>
      <c r="E22" s="147">
        <f>C22*D22</f>
        <v/>
      </c>
      <c r="F22" s="147">
        <f>IFERROR(E22*(1+VLOOKUP(I22,CategoryTable,2,FALSE)),0)</f>
        <v/>
      </c>
      <c r="G22" s="148">
        <f>'Client Setup'!B19</f>
        <v/>
      </c>
      <c r="H22" s="187" t="n"/>
      <c r="I22" s="188" t="inlineStr">
        <is>
          <t>Décor &amp; Design</t>
        </is>
      </c>
      <c r="J22" s="107">
        <f>IF(A22="","",A22&amp;" x"&amp;C22)</f>
        <v/>
      </c>
      <c r="K22" s="139">
        <f>IF(A22="","",ROUNDUP(F22/10,0)*10)</f>
        <v/>
      </c>
      <c r="L22" s="94" t="n"/>
      <c r="M22" s="134" t="inlineStr">
        <is>
          <t>Tax</t>
        </is>
      </c>
      <c r="N22" s="139">
        <f>ROUNDUP(F100/50,0)*50</f>
        <v/>
      </c>
      <c r="O22" s="94" t="n"/>
      <c r="P22" s="94" t="n"/>
      <c r="Q22" s="94" t="n"/>
      <c r="R22" s="94" t="n"/>
      <c r="S22" s="94" t="n"/>
      <c r="T22" s="94" t="n"/>
      <c r="U22" s="94" t="n"/>
      <c r="V22" s="94" t="n"/>
      <c r="W22" s="94" t="n"/>
      <c r="X22" s="94" t="n"/>
      <c r="Y22" s="94" t="n"/>
      <c r="Z22" s="94" t="n"/>
    </row>
    <row r="23" ht="21.75" customHeight="1" s="90">
      <c r="A23" s="185" t="n"/>
      <c r="B23" s="186" t="n"/>
      <c r="C23" s="101" t="n"/>
      <c r="D23" s="129" t="n"/>
      <c r="E23" s="147">
        <f>C23*D23</f>
        <v/>
      </c>
      <c r="F23" s="147">
        <f>IFERROR(E23*(1+VLOOKUP(I23,CategoryTable,2,FALSE)),0)</f>
        <v/>
      </c>
      <c r="G23" s="148">
        <f>'Client Setup'!B19</f>
        <v/>
      </c>
      <c r="H23" s="187" t="n"/>
      <c r="I23" s="188" t="inlineStr">
        <is>
          <t>Décor &amp; Design</t>
        </is>
      </c>
      <c r="J23" s="107">
        <f>IF(A23="","",A23&amp;" x"&amp;C23)</f>
        <v/>
      </c>
      <c r="K23" s="139">
        <f>IF(A23="","",ROUNDUP(F23/10,0)*10)</f>
        <v/>
      </c>
      <c r="L23" s="94" t="n"/>
      <c r="M23" s="189" t="n"/>
      <c r="N23" s="189" t="n"/>
      <c r="O23" s="94" t="n"/>
      <c r="P23" s="94" t="n"/>
      <c r="Q23" s="94" t="n"/>
      <c r="R23" s="94" t="n"/>
      <c r="S23" s="94" t="n"/>
      <c r="T23" s="94" t="n"/>
      <c r="U23" s="94" t="n"/>
      <c r="V23" s="94" t="n"/>
      <c r="W23" s="94" t="n"/>
      <c r="X23" s="94" t="n"/>
      <c r="Y23" s="94" t="n"/>
      <c r="Z23" s="94" t="n"/>
    </row>
    <row r="24" ht="21.75" customHeight="1" s="90">
      <c r="A24" s="185" t="n"/>
      <c r="B24" s="186" t="n"/>
      <c r="C24" s="101" t="n"/>
      <c r="D24" s="129" t="n"/>
      <c r="E24" s="147">
        <f>C24*D24</f>
        <v/>
      </c>
      <c r="F24" s="147">
        <f>IFERROR(E24*(1+VLOOKUP(I24,CategoryTable,2,FALSE)),0)</f>
        <v/>
      </c>
      <c r="G24" s="148">
        <f>'Client Setup'!B19</f>
        <v/>
      </c>
      <c r="H24" s="187" t="n"/>
      <c r="I24" s="188" t="inlineStr">
        <is>
          <t>Décor &amp; Design</t>
        </is>
      </c>
      <c r="J24" s="107">
        <f>IF(A24="","",A24&amp;" x"&amp;C24)</f>
        <v/>
      </c>
      <c r="K24" s="139">
        <f>IF(A24="","",ROUNDUP(F24/10,0)*10)</f>
        <v/>
      </c>
      <c r="L24" s="94" t="n"/>
      <c r="M24" s="131" t="inlineStr">
        <is>
          <t>TOTAL ESTIMATE</t>
        </is>
      </c>
      <c r="N24" s="144">
        <f>SUM(N15:N22)</f>
        <v/>
      </c>
      <c r="O24" s="94" t="n"/>
      <c r="P24" s="94" t="n"/>
      <c r="Q24" s="94" t="n"/>
      <c r="R24" s="94" t="n"/>
      <c r="S24" s="94" t="n"/>
      <c r="T24" s="94" t="n"/>
      <c r="U24" s="94" t="n"/>
      <c r="V24" s="94" t="n"/>
      <c r="W24" s="94" t="n"/>
      <c r="X24" s="94" t="n"/>
      <c r="Y24" s="94" t="n"/>
      <c r="Z24" s="94" t="n"/>
    </row>
    <row r="25" ht="21.75" customHeight="1" s="90">
      <c r="A25" s="185" t="n"/>
      <c r="B25" s="186" t="n"/>
      <c r="C25" s="101" t="n"/>
      <c r="D25" s="129" t="n"/>
      <c r="E25" s="147">
        <f>C25*D25</f>
        <v/>
      </c>
      <c r="F25" s="147">
        <f>IFERROR(E25*(1+VLOOKUP(I25,CategoryTable,2,FALSE)),0)</f>
        <v/>
      </c>
      <c r="G25" s="148">
        <f>'Client Setup'!B19</f>
        <v/>
      </c>
      <c r="H25" s="187" t="n"/>
      <c r="I25" s="188" t="inlineStr">
        <is>
          <t>Décor &amp; Design</t>
        </is>
      </c>
      <c r="J25" s="107">
        <f>IF(A25="","",A25&amp;" x"&amp;C25)</f>
        <v/>
      </c>
      <c r="K25" s="139">
        <f>IF(A25="","",ROUNDUP(F25/10,0)*10)</f>
        <v/>
      </c>
      <c r="L25" s="94" t="n"/>
      <c r="M25" s="127" t="inlineStr">
        <is>
          <t>Guest Count</t>
        </is>
      </c>
      <c r="N25" s="150">
        <f>'Client Setup'!B7</f>
        <v/>
      </c>
      <c r="O25" s="94" t="n"/>
      <c r="P25" s="94" t="n"/>
      <c r="Q25" s="94" t="n"/>
      <c r="R25" s="94" t="n"/>
      <c r="S25" s="94" t="n"/>
      <c r="T25" s="94" t="n"/>
      <c r="U25" s="94" t="n"/>
      <c r="V25" s="94" t="n"/>
      <c r="W25" s="94" t="n"/>
      <c r="X25" s="94" t="n"/>
      <c r="Y25" s="94" t="n"/>
      <c r="Z25" s="94" t="n"/>
    </row>
    <row r="26" ht="24" customHeight="1" s="90">
      <c r="A26" s="155" t="inlineStr">
        <is>
          <t>NON-TAXABLE FLORAL FEES</t>
        </is>
      </c>
      <c r="I26" s="94" t="n"/>
      <c r="J26" s="107">
        <f>IF(A27="","",A27)</f>
        <v/>
      </c>
      <c r="K26" s="139">
        <f>IF(A27="","",ROUNDUP(F27/10,0)*10)</f>
        <v/>
      </c>
      <c r="L26" s="94" t="n"/>
      <c r="M26" s="190" t="n"/>
      <c r="N26" s="190" t="n"/>
      <c r="O26" s="94" t="n"/>
      <c r="P26" s="94" t="n"/>
      <c r="Q26" s="94" t="n"/>
      <c r="R26" s="94" t="n"/>
      <c r="S26" s="94" t="n"/>
      <c r="T26" s="94" t="n"/>
      <c r="U26" s="94" t="n"/>
      <c r="V26" s="94" t="n"/>
      <c r="W26" s="94" t="n"/>
      <c r="X26" s="94" t="n"/>
      <c r="Y26" s="94" t="n"/>
      <c r="Z26" s="94" t="n"/>
    </row>
    <row r="27" ht="15" customHeight="1" s="90">
      <c r="A27" s="185" t="n"/>
      <c r="B27" s="186" t="n"/>
      <c r="C27" s="191" t="n"/>
      <c r="D27" s="129" t="n"/>
      <c r="E27" s="147">
        <f>D27</f>
        <v/>
      </c>
      <c r="F27" s="147">
        <f>IFERROR(E27*(1+VLOOKUP(I27,CategoryTable,2,FALSE)),0)</f>
        <v/>
      </c>
      <c r="G27" s="148" t="n">
        <v>0</v>
      </c>
      <c r="H27" s="187" t="n"/>
      <c r="I27" s="188" t="inlineStr">
        <is>
          <t>Delivery &amp; Logistics</t>
        </is>
      </c>
      <c r="J27" s="107">
        <f>IF(A28="","",A28)</f>
        <v/>
      </c>
      <c r="K27" s="139">
        <f>IF(A28="","",ROUNDUP(F28/10,0)*10)</f>
        <v/>
      </c>
      <c r="L27" s="94" t="n"/>
      <c r="M27" s="94" t="n"/>
      <c r="N27" s="94" t="n"/>
      <c r="O27" s="94" t="n"/>
      <c r="P27" s="94" t="n"/>
      <c r="Q27" s="94" t="n"/>
      <c r="R27" s="94" t="n"/>
      <c r="S27" s="94" t="n"/>
      <c r="T27" s="94" t="n"/>
      <c r="U27" s="94" t="n"/>
      <c r="V27" s="94" t="n"/>
      <c r="W27" s="94" t="n"/>
      <c r="X27" s="94" t="n"/>
      <c r="Y27" s="94" t="n"/>
      <c r="Z27" s="94" t="n"/>
    </row>
    <row r="28" ht="21.75" customHeight="1" s="90">
      <c r="A28" s="185" t="n"/>
      <c r="B28" s="186" t="n"/>
      <c r="C28" s="191" t="n"/>
      <c r="D28" s="129" t="n"/>
      <c r="E28" s="147">
        <f>D28</f>
        <v/>
      </c>
      <c r="F28" s="147">
        <f>IFERROR(E28*(1+VLOOKUP(I28,CategoryTable,2,FALSE)),0)</f>
        <v/>
      </c>
      <c r="G28" s="148" t="n">
        <v>0</v>
      </c>
      <c r="H28" s="187" t="n"/>
      <c r="I28" s="188" t="inlineStr">
        <is>
          <t>Delivery &amp; Logistics</t>
        </is>
      </c>
      <c r="J28" s="107">
        <f>IF(A29="","",A29)</f>
        <v/>
      </c>
      <c r="K28" s="139">
        <f>IF(A29="","",ROUNDUP(F29/10,0)*10)</f>
        <v/>
      </c>
      <c r="L28" s="94" t="n"/>
      <c r="M28" s="96" t="inlineStr">
        <is>
          <t>TEAM NOTES</t>
        </is>
      </c>
      <c r="O28" s="94" t="n"/>
      <c r="P28" s="94" t="n"/>
      <c r="Q28" s="94" t="n"/>
      <c r="R28" s="94" t="n"/>
      <c r="S28" s="94" t="n"/>
      <c r="T28" s="94" t="n"/>
      <c r="U28" s="94" t="n"/>
      <c r="V28" s="94" t="n"/>
      <c r="W28" s="94" t="n"/>
      <c r="X28" s="94" t="n"/>
      <c r="Y28" s="94" t="n"/>
      <c r="Z28" s="94" t="n"/>
    </row>
    <row r="29" ht="21.75" customHeight="1" s="90">
      <c r="A29" s="185" t="n"/>
      <c r="B29" s="186" t="n"/>
      <c r="C29" s="191" t="n"/>
      <c r="D29" s="129" t="n"/>
      <c r="E29" s="147">
        <f>D29</f>
        <v/>
      </c>
      <c r="F29" s="147">
        <f>IFERROR(E29*(1+VLOOKUP(I29,CategoryTable,2,FALSE)),0)</f>
        <v/>
      </c>
      <c r="G29" s="148" t="n">
        <v>0</v>
      </c>
      <c r="H29" s="187" t="n"/>
      <c r="I29" s="188" t="inlineStr">
        <is>
          <t>Delivery &amp; Logistics</t>
        </is>
      </c>
      <c r="J29" s="192" t="inlineStr">
        <is>
          <t>Floral Subtotal</t>
        </is>
      </c>
      <c r="K29" s="193">
        <f>SUM(K16:K28)</f>
        <v/>
      </c>
      <c r="L29" s="94" t="n"/>
      <c r="M29" s="153" t="inlineStr">
        <is>
          <t>Floral Vendor:</t>
        </is>
      </c>
      <c r="O29" s="94" t="n"/>
      <c r="P29" s="94" t="n"/>
      <c r="Q29" s="94" t="n"/>
      <c r="R29" s="94" t="n"/>
      <c r="S29" s="94" t="n"/>
      <c r="T29" s="94" t="n"/>
      <c r="U29" s="94" t="n"/>
      <c r="V29" s="94" t="n"/>
      <c r="W29" s="94" t="n"/>
      <c r="X29" s="94" t="n"/>
      <c r="Y29" s="94" t="n"/>
      <c r="Z29" s="94" t="n"/>
    </row>
    <row r="30" ht="21.75" customHeight="1" s="90">
      <c r="A30" s="159" t="inlineStr">
        <is>
          <t>FLORAL SUBTOTAL</t>
        </is>
      </c>
      <c r="B30" s="194" t="n"/>
      <c r="C30" s="194" t="n"/>
      <c r="D30" s="194" t="n"/>
      <c r="E30" s="160">
        <f>SUM(E16:E25)+SUM(E27:E29)</f>
        <v/>
      </c>
      <c r="F30" s="160">
        <f>SUM(F16:F25)+SUM(F27:F29)</f>
        <v/>
      </c>
      <c r="G30" s="194" t="n"/>
      <c r="H30" s="194" t="n"/>
      <c r="I30" s="94" t="n"/>
      <c r="J30" s="195" t="n"/>
      <c r="K30" s="195" t="n"/>
      <c r="L30" s="94" t="n"/>
      <c r="M30" s="154" t="n"/>
      <c r="O30" s="94" t="n"/>
      <c r="P30" s="94" t="n"/>
      <c r="Q30" s="94" t="n"/>
      <c r="R30" s="94" t="n"/>
      <c r="S30" s="94" t="n"/>
      <c r="T30" s="94" t="n"/>
      <c r="U30" s="94" t="n"/>
      <c r="V30" s="94" t="n"/>
      <c r="W30" s="94" t="n"/>
      <c r="X30" s="94" t="n"/>
      <c r="Y30" s="94" t="n"/>
      <c r="Z30" s="94" t="n"/>
    </row>
    <row r="31" ht="21.75" customHeight="1" s="90">
      <c r="A31" s="94" t="n"/>
      <c r="B31" s="94" t="n"/>
      <c r="C31" s="94" t="n"/>
      <c r="D31" s="94" t="n"/>
      <c r="E31" s="94" t="n"/>
      <c r="F31" s="94" t="n"/>
      <c r="G31" s="94" t="n"/>
      <c r="H31" s="94" t="n"/>
      <c r="I31" s="94" t="n"/>
      <c r="J31" s="184">
        <f>A32</f>
        <v/>
      </c>
      <c r="L31" s="94" t="n"/>
      <c r="M31" s="153" t="inlineStr">
        <is>
          <t>Rental Vendor(s):</t>
        </is>
      </c>
      <c r="O31" s="94" t="n"/>
      <c r="P31" s="94" t="n"/>
      <c r="Q31" s="94" t="n"/>
      <c r="R31" s="94" t="n"/>
      <c r="S31" s="94" t="n"/>
      <c r="T31" s="94" t="n"/>
      <c r="U31" s="94" t="n"/>
      <c r="V31" s="94" t="n"/>
      <c r="W31" s="94" t="n"/>
      <c r="X31" s="94" t="n"/>
      <c r="Y31" s="94" t="n"/>
      <c r="Z31" s="94" t="n"/>
    </row>
    <row r="32" ht="21.75" customHeight="1" s="90">
      <c r="A32" s="96" t="inlineStr">
        <is>
          <t>RENTALS &amp; LOUNGE</t>
        </is>
      </c>
      <c r="I32" s="94" t="n"/>
      <c r="J32" s="107">
        <f>IF(A35="","",A35&amp;" x"&amp;C35)</f>
        <v/>
      </c>
      <c r="K32" s="139">
        <f>IF(A35="","",ROUNDUP(F35/10,0)*10)</f>
        <v/>
      </c>
      <c r="L32" s="94" t="n"/>
      <c r="M32" s="154" t="n"/>
      <c r="O32" s="94" t="n"/>
      <c r="P32" s="94" t="n"/>
      <c r="Q32" s="94" t="n"/>
      <c r="R32" s="94" t="n"/>
      <c r="S32" s="94" t="n"/>
      <c r="T32" s="94" t="n"/>
      <c r="U32" s="94" t="n"/>
      <c r="V32" s="94" t="n"/>
      <c r="W32" s="94" t="n"/>
      <c r="X32" s="94" t="n"/>
      <c r="Y32" s="94" t="n"/>
      <c r="Z32" s="94" t="n"/>
    </row>
    <row r="33" ht="21.75" customHeight="1" s="90">
      <c r="A33" s="137" t="inlineStr">
        <is>
          <t>Item</t>
        </is>
      </c>
      <c r="B33" s="137" t="inlineStr">
        <is>
          <t>Vendor</t>
        </is>
      </c>
      <c r="C33" s="137" t="inlineStr">
        <is>
          <t>Qty</t>
        </is>
      </c>
      <c r="D33" s="137" t="inlineStr">
        <is>
          <t>Unit Price</t>
        </is>
      </c>
      <c r="E33" s="137" t="inlineStr">
        <is>
          <t>Our Cost</t>
        </is>
      </c>
      <c r="F33" s="137" t="inlineStr">
        <is>
          <t>Client Cost</t>
        </is>
      </c>
      <c r="G33" s="137" t="inlineStr">
        <is>
          <t>Tax Rate</t>
        </is>
      </c>
      <c r="H33" s="137" t="inlineStr">
        <is>
          <t>Notes / Description</t>
        </is>
      </c>
      <c r="I33" s="94" t="n"/>
      <c r="J33" s="107">
        <f>IF(A36="","",A36&amp;" x"&amp;C36)</f>
        <v/>
      </c>
      <c r="K33" s="139">
        <f>IF(A36="","",ROUNDUP(F36/10,0)*10)</f>
        <v/>
      </c>
      <c r="L33" s="94" t="n"/>
      <c r="M33" s="153" t="inlineStr">
        <is>
          <t>AV Vendor:</t>
        </is>
      </c>
      <c r="O33" s="94" t="n"/>
      <c r="P33" s="94" t="n"/>
      <c r="Q33" s="94" t="n"/>
      <c r="R33" s="94" t="n"/>
      <c r="S33" s="94" t="n"/>
      <c r="T33" s="94" t="n"/>
      <c r="U33" s="94" t="n"/>
      <c r="V33" s="94" t="n"/>
      <c r="W33" s="94" t="n"/>
      <c r="X33" s="94" t="n"/>
      <c r="Y33" s="94" t="n"/>
      <c r="Z33" s="94" t="n"/>
    </row>
    <row r="34" ht="21.75" customHeight="1" s="90">
      <c r="A34" s="143" t="inlineStr">
        <is>
          <t>SEATING  (chairs, barstools, banquettes)</t>
        </is>
      </c>
      <c r="I34" s="94" t="n"/>
      <c r="J34" s="107">
        <f>IF(A37="","",A37&amp;" x"&amp;C37)</f>
        <v/>
      </c>
      <c r="K34" s="139">
        <f>IF(A37="","",ROUNDUP(F37/10,0)*10)</f>
        <v/>
      </c>
      <c r="L34" s="94" t="n"/>
      <c r="M34" s="154" t="n"/>
      <c r="O34" s="94" t="n"/>
      <c r="P34" s="94" t="n"/>
      <c r="Q34" s="94" t="n"/>
      <c r="R34" s="94" t="n"/>
      <c r="S34" s="94" t="n"/>
      <c r="T34" s="94" t="n"/>
      <c r="U34" s="94" t="n"/>
      <c r="V34" s="94" t="n"/>
      <c r="W34" s="94" t="n"/>
      <c r="X34" s="94" t="n"/>
      <c r="Y34" s="94" t="n"/>
      <c r="Z34" s="94" t="n"/>
    </row>
    <row r="35" ht="21.75" customHeight="1" s="90">
      <c r="A35" s="185" t="n"/>
      <c r="B35" s="186" t="n"/>
      <c r="C35" s="101" t="n"/>
      <c r="D35" s="129" t="n"/>
      <c r="E35" s="147">
        <f>C35*D35</f>
        <v/>
      </c>
      <c r="F35" s="147">
        <f>IFERROR(E35*(1+VLOOKUP(I35,CategoryTable,2,FALSE)),0)</f>
        <v/>
      </c>
      <c r="G35" s="148">
        <f>'Client Setup'!B19</f>
        <v/>
      </c>
      <c r="H35" s="187" t="n"/>
      <c r="I35" s="188" t="inlineStr">
        <is>
          <t>Décor &amp; Design</t>
        </is>
      </c>
      <c r="J35" s="107">
        <f>IF(A38="","",A38&amp;" x"&amp;C38)</f>
        <v/>
      </c>
      <c r="K35" s="139">
        <f>IF(A38="","",ROUNDUP(F38/10,0)*10)</f>
        <v/>
      </c>
      <c r="L35" s="94" t="n"/>
      <c r="M35" s="153" t="inlineStr">
        <is>
          <t>Design Concept:</t>
        </is>
      </c>
      <c r="O35" s="94" t="n"/>
      <c r="P35" s="94" t="n"/>
      <c r="Q35" s="94" t="n"/>
      <c r="R35" s="94" t="n"/>
      <c r="S35" s="94" t="n"/>
      <c r="T35" s="94" t="n"/>
      <c r="U35" s="94" t="n"/>
      <c r="V35" s="94" t="n"/>
      <c r="W35" s="94" t="n"/>
      <c r="X35" s="94" t="n"/>
      <c r="Y35" s="94" t="n"/>
      <c r="Z35" s="94" t="n"/>
    </row>
    <row r="36" ht="21.75" customHeight="1" s="90">
      <c r="A36" s="185" t="n"/>
      <c r="B36" s="186" t="n"/>
      <c r="C36" s="101" t="n"/>
      <c r="D36" s="129" t="n"/>
      <c r="E36" s="147">
        <f>C36*D36</f>
        <v/>
      </c>
      <c r="F36" s="147">
        <f>IFERROR(E36*(1+VLOOKUP(I36,CategoryTable,2,FALSE)),0)</f>
        <v/>
      </c>
      <c r="G36" s="148">
        <f>'Client Setup'!B19</f>
        <v/>
      </c>
      <c r="H36" s="187" t="n"/>
      <c r="I36" s="188" t="inlineStr">
        <is>
          <t>Décor &amp; Design</t>
        </is>
      </c>
      <c r="J36" s="107">
        <f>IF(A39="","",A39&amp;" x"&amp;C39)</f>
        <v/>
      </c>
      <c r="K36" s="139">
        <f>IF(A39="","",ROUNDUP(F39/10,0)*10)</f>
        <v/>
      </c>
      <c r="L36" s="94" t="n"/>
      <c r="M36" s="154" t="n"/>
      <c r="O36" s="94" t="n"/>
      <c r="P36" s="94" t="n"/>
      <c r="Q36" s="94" t="n"/>
      <c r="R36" s="94" t="n"/>
      <c r="S36" s="94" t="n"/>
      <c r="T36" s="94" t="n"/>
      <c r="U36" s="94" t="n"/>
      <c r="V36" s="94" t="n"/>
      <c r="W36" s="94" t="n"/>
      <c r="X36" s="94" t="n"/>
      <c r="Y36" s="94" t="n"/>
      <c r="Z36" s="94" t="n"/>
    </row>
    <row r="37" ht="21.75" customHeight="1" s="90">
      <c r="A37" s="185" t="n"/>
      <c r="B37" s="186" t="n"/>
      <c r="C37" s="101" t="n"/>
      <c r="D37" s="129" t="n"/>
      <c r="E37" s="147">
        <f>C37*D37</f>
        <v/>
      </c>
      <c r="F37" s="147">
        <f>IFERROR(E37*(1+VLOOKUP(I37,CategoryTable,2,FALSE)),0)</f>
        <v/>
      </c>
      <c r="G37" s="148">
        <f>'Client Setup'!B19</f>
        <v/>
      </c>
      <c r="H37" s="187" t="n"/>
      <c r="I37" s="188" t="inlineStr">
        <is>
          <t>Décor &amp; Design</t>
        </is>
      </c>
      <c r="J37" s="107">
        <f>IF(A40="","",A40&amp;" x"&amp;C40)</f>
        <v/>
      </c>
      <c r="K37" s="139">
        <f>IF(A40="","",ROUNDUP(F40/10,0)*10)</f>
        <v/>
      </c>
      <c r="L37" s="94" t="n"/>
      <c r="M37" s="154" t="n"/>
      <c r="O37" s="94" t="n"/>
      <c r="P37" s="94" t="n"/>
      <c r="Q37" s="94" t="n"/>
      <c r="R37" s="94" t="n"/>
      <c r="S37" s="94" t="n"/>
      <c r="T37" s="94" t="n"/>
      <c r="U37" s="94" t="n"/>
      <c r="V37" s="94" t="n"/>
      <c r="W37" s="94" t="n"/>
      <c r="X37" s="94" t="n"/>
      <c r="Y37" s="94" t="n"/>
      <c r="Z37" s="94" t="n"/>
    </row>
    <row r="38" ht="21.75" customHeight="1" s="90">
      <c r="A38" s="185" t="n"/>
      <c r="B38" s="186" t="n"/>
      <c r="C38" s="101" t="n"/>
      <c r="D38" s="129" t="n"/>
      <c r="E38" s="147">
        <f>C38*D38</f>
        <v/>
      </c>
      <c r="F38" s="147">
        <f>IFERROR(E38*(1+VLOOKUP(I38,CategoryTable,2,FALSE)),0)</f>
        <v/>
      </c>
      <c r="G38" s="148">
        <f>'Client Setup'!B19</f>
        <v/>
      </c>
      <c r="H38" s="187" t="n"/>
      <c r="I38" s="188" t="inlineStr">
        <is>
          <t>Décor &amp; Design</t>
        </is>
      </c>
      <c r="J38" s="107">
        <f>IF(A41="","",A41&amp;" x"&amp;C41)</f>
        <v/>
      </c>
      <c r="K38" s="139">
        <f>IF(A41="","",ROUNDUP(F41/10,0)*10)</f>
        <v/>
      </c>
      <c r="L38" s="94" t="n"/>
      <c r="M38" s="153" t="inlineStr">
        <is>
          <t>Logistics:</t>
        </is>
      </c>
      <c r="O38" s="94" t="n"/>
      <c r="P38" s="94" t="n"/>
      <c r="Q38" s="94" t="n"/>
      <c r="R38" s="94" t="n"/>
      <c r="S38" s="94" t="n"/>
      <c r="T38" s="94" t="n"/>
      <c r="U38" s="94" t="n"/>
      <c r="V38" s="94" t="n"/>
      <c r="W38" s="94" t="n"/>
      <c r="X38" s="94" t="n"/>
      <c r="Y38" s="94" t="n"/>
      <c r="Z38" s="94" t="n"/>
    </row>
    <row r="39" ht="21.75" customHeight="1" s="90">
      <c r="A39" s="185" t="n"/>
      <c r="B39" s="186" t="n"/>
      <c r="C39" s="101" t="n"/>
      <c r="D39" s="129" t="n"/>
      <c r="E39" s="147">
        <f>C39*D39</f>
        <v/>
      </c>
      <c r="F39" s="147">
        <f>IFERROR(E39*(1+VLOOKUP(I39,CategoryTable,2,FALSE)),0)</f>
        <v/>
      </c>
      <c r="G39" s="148">
        <f>'Client Setup'!B19</f>
        <v/>
      </c>
      <c r="H39" s="187" t="n"/>
      <c r="I39" s="188" t="inlineStr">
        <is>
          <t>Décor &amp; Design</t>
        </is>
      </c>
      <c r="J39" s="107">
        <f>IF(A42="","",A42&amp;" x"&amp;C42)</f>
        <v/>
      </c>
      <c r="K39" s="139">
        <f>IF(A42="","",ROUNDUP(F42/10,0)*10)</f>
        <v/>
      </c>
      <c r="L39" s="94" t="n"/>
      <c r="M39" s="154" t="n"/>
      <c r="O39" s="94" t="n"/>
      <c r="P39" s="94" t="n"/>
      <c r="Q39" s="94" t="n"/>
      <c r="R39" s="94" t="n"/>
      <c r="S39" s="94" t="n"/>
      <c r="T39" s="94" t="n"/>
      <c r="U39" s="94" t="n"/>
      <c r="V39" s="94" t="n"/>
      <c r="W39" s="94" t="n"/>
      <c r="X39" s="94" t="n"/>
      <c r="Y39" s="94" t="n"/>
      <c r="Z39" s="94" t="n"/>
    </row>
    <row r="40" ht="21.75" customHeight="1" s="90">
      <c r="A40" s="185" t="n"/>
      <c r="B40" s="186" t="n"/>
      <c r="C40" s="101" t="n"/>
      <c r="D40" s="129" t="n"/>
      <c r="E40" s="147">
        <f>C40*D40</f>
        <v/>
      </c>
      <c r="F40" s="147">
        <f>IFERROR(E40*(1+VLOOKUP(I40,CategoryTable,2,FALSE)),0)</f>
        <v/>
      </c>
      <c r="G40" s="148">
        <f>'Client Setup'!B19</f>
        <v/>
      </c>
      <c r="H40" s="187" t="n"/>
      <c r="I40" s="188" t="inlineStr">
        <is>
          <t>Décor &amp; Design</t>
        </is>
      </c>
      <c r="J40" s="107">
        <f>IF(A44="","",A44&amp;" x"&amp;C44)</f>
        <v/>
      </c>
      <c r="K40" s="139">
        <f>IF(A44="","",ROUNDUP(F44/10,0)*10)</f>
        <v/>
      </c>
      <c r="L40" s="94" t="n"/>
      <c r="M40" s="153" t="inlineStr">
        <is>
          <t>Additional Notes:</t>
        </is>
      </c>
      <c r="O40" s="94" t="n"/>
      <c r="P40" s="94" t="n"/>
      <c r="Q40" s="94" t="n"/>
      <c r="R40" s="94" t="n"/>
      <c r="S40" s="94" t="n"/>
      <c r="T40" s="94" t="n"/>
      <c r="U40" s="94" t="n"/>
      <c r="V40" s="94" t="n"/>
      <c r="W40" s="94" t="n"/>
      <c r="X40" s="94" t="n"/>
      <c r="Y40" s="94" t="n"/>
      <c r="Z40" s="94" t="n"/>
    </row>
    <row r="41" ht="21.75" customHeight="1" s="90">
      <c r="A41" s="185" t="n"/>
      <c r="B41" s="186" t="n"/>
      <c r="C41" s="101" t="n"/>
      <c r="D41" s="129" t="n"/>
      <c r="E41" s="147">
        <f>C41*D41</f>
        <v/>
      </c>
      <c r="F41" s="147">
        <f>IFERROR(E41*(1+VLOOKUP(I41,CategoryTable,2,FALSE)),0)</f>
        <v/>
      </c>
      <c r="G41" s="148">
        <f>'Client Setup'!B19</f>
        <v/>
      </c>
      <c r="H41" s="187" t="n"/>
      <c r="I41" s="188" t="inlineStr">
        <is>
          <t>Décor &amp; Design</t>
        </is>
      </c>
      <c r="J41" s="107">
        <f>IF(A45="","",A45&amp;" x"&amp;C45)</f>
        <v/>
      </c>
      <c r="K41" s="139">
        <f>IF(A45="","",ROUNDUP(F45/10,0)*10)</f>
        <v/>
      </c>
      <c r="L41" s="94" t="n"/>
      <c r="M41" s="154" t="n"/>
      <c r="O41" s="94" t="n"/>
      <c r="P41" s="94" t="n"/>
      <c r="Q41" s="94" t="n"/>
      <c r="R41" s="94" t="n"/>
      <c r="S41" s="94" t="n"/>
      <c r="T41" s="94" t="n"/>
      <c r="U41" s="94" t="n"/>
      <c r="V41" s="94" t="n"/>
      <c r="W41" s="94" t="n"/>
      <c r="X41" s="94" t="n"/>
      <c r="Y41" s="94" t="n"/>
      <c r="Z41" s="94" t="n"/>
    </row>
    <row r="42" ht="21.75" customHeight="1" s="90">
      <c r="A42" s="185" t="n"/>
      <c r="B42" s="186" t="n"/>
      <c r="C42" s="101" t="n"/>
      <c r="D42" s="129" t="n"/>
      <c r="E42" s="147">
        <f>C42*D42</f>
        <v/>
      </c>
      <c r="F42" s="147">
        <f>IFERROR(E42*(1+VLOOKUP(I42,CategoryTable,2,FALSE)),0)</f>
        <v/>
      </c>
      <c r="G42" s="148">
        <f>'Client Setup'!B19</f>
        <v/>
      </c>
      <c r="H42" s="187" t="n"/>
      <c r="I42" s="188" t="inlineStr">
        <is>
          <t>Décor &amp; Design</t>
        </is>
      </c>
      <c r="J42" s="107">
        <f>IF(A46="","",A46&amp;" x"&amp;C46)</f>
        <v/>
      </c>
      <c r="K42" s="139">
        <f>IF(A46="","",ROUNDUP(F46/10,0)*10)</f>
        <v/>
      </c>
      <c r="L42" s="94" t="n"/>
      <c r="M42" s="154" t="n"/>
      <c r="O42" s="94" t="n"/>
      <c r="P42" s="94" t="n"/>
      <c r="Q42" s="94" t="n"/>
      <c r="R42" s="94" t="n"/>
      <c r="S42" s="94" t="n"/>
      <c r="T42" s="94" t="n"/>
      <c r="U42" s="94" t="n"/>
      <c r="V42" s="94" t="n"/>
      <c r="W42" s="94" t="n"/>
      <c r="X42" s="94" t="n"/>
      <c r="Y42" s="94" t="n"/>
      <c r="Z42" s="94" t="n"/>
    </row>
    <row r="43" ht="21.75" customHeight="1" s="90">
      <c r="A43" s="143" t="inlineStr">
        <is>
          <t>LOUNGE  (sofas, sectionals, club chairs)</t>
        </is>
      </c>
      <c r="I43" s="94" t="n"/>
      <c r="J43" s="107">
        <f>IF(A47="","",A47&amp;" x"&amp;C47)</f>
        <v/>
      </c>
      <c r="K43" s="139">
        <f>IF(A47="","",ROUNDUP(F47/10,0)*10)</f>
        <v/>
      </c>
      <c r="L43" s="94" t="n"/>
      <c r="M43" s="94" t="n"/>
      <c r="N43" s="94" t="n"/>
      <c r="O43" s="94" t="n"/>
      <c r="P43" s="94" t="n"/>
      <c r="Q43" s="94" t="n"/>
      <c r="R43" s="94" t="n"/>
      <c r="S43" s="94" t="n"/>
      <c r="T43" s="94" t="n"/>
      <c r="U43" s="94" t="n"/>
      <c r="V43" s="94" t="n"/>
      <c r="W43" s="94" t="n"/>
      <c r="X43" s="94" t="n"/>
      <c r="Y43" s="94" t="n"/>
      <c r="Z43" s="94" t="n"/>
    </row>
    <row r="44" ht="21.75" customHeight="1" s="90">
      <c r="A44" s="185" t="n"/>
      <c r="B44" s="186" t="n"/>
      <c r="C44" s="101" t="n"/>
      <c r="D44" s="129" t="n"/>
      <c r="E44" s="147">
        <f>C44*D44</f>
        <v/>
      </c>
      <c r="F44" s="147">
        <f>IFERROR(E44*(1+VLOOKUP(I44,CategoryTable,2,FALSE)),0)</f>
        <v/>
      </c>
      <c r="G44" s="148">
        <f>'Client Setup'!B19</f>
        <v/>
      </c>
      <c r="H44" s="187" t="n"/>
      <c r="I44" s="188" t="inlineStr">
        <is>
          <t>Décor &amp; Design</t>
        </is>
      </c>
      <c r="J44" s="107">
        <f>IF(A48="","",A48&amp;" x"&amp;C48)</f>
        <v/>
      </c>
      <c r="K44" s="139">
        <f>IF(A48="","",ROUNDUP(F48/10,0)*10)</f>
        <v/>
      </c>
      <c r="L44" s="94" t="n"/>
      <c r="M44" s="94" t="n"/>
      <c r="N44" s="94" t="n"/>
      <c r="O44" s="94" t="n"/>
      <c r="P44" s="94" t="n"/>
      <c r="Q44" s="94" t="n"/>
      <c r="R44" s="94" t="n"/>
      <c r="S44" s="94" t="n"/>
      <c r="T44" s="94" t="n"/>
      <c r="U44" s="94" t="n"/>
      <c r="V44" s="94" t="n"/>
      <c r="W44" s="94" t="n"/>
      <c r="X44" s="94" t="n"/>
      <c r="Y44" s="94" t="n"/>
      <c r="Z44" s="94" t="n"/>
    </row>
    <row r="45" ht="21.75" customHeight="1" s="90">
      <c r="A45" s="185" t="n"/>
      <c r="B45" s="186" t="n"/>
      <c r="C45" s="101" t="n"/>
      <c r="D45" s="129" t="n"/>
      <c r="E45" s="147">
        <f>C45*D45</f>
        <v/>
      </c>
      <c r="F45" s="147">
        <f>IFERROR(E45*(1+VLOOKUP(I45,CategoryTable,2,FALSE)),0)</f>
        <v/>
      </c>
      <c r="G45" s="148">
        <f>'Client Setup'!B19</f>
        <v/>
      </c>
      <c r="H45" s="187" t="n"/>
      <c r="I45" s="188" t="inlineStr">
        <is>
          <t>Décor &amp; Design</t>
        </is>
      </c>
      <c r="J45" s="107">
        <f>IF(A49="","",A49&amp;" x"&amp;C49)</f>
        <v/>
      </c>
      <c r="K45" s="139">
        <f>IF(A49="","",ROUNDUP(F49/10,0)*10)</f>
        <v/>
      </c>
      <c r="L45" s="94" t="n"/>
      <c r="M45" s="94" t="n"/>
      <c r="N45" s="94" t="n"/>
      <c r="O45" s="94" t="n"/>
      <c r="P45" s="94" t="n"/>
      <c r="Q45" s="94" t="n"/>
      <c r="R45" s="94" t="n"/>
      <c r="S45" s="94" t="n"/>
      <c r="T45" s="94" t="n"/>
      <c r="U45" s="94" t="n"/>
      <c r="V45" s="94" t="n"/>
      <c r="W45" s="94" t="n"/>
      <c r="X45" s="94" t="n"/>
      <c r="Y45" s="94" t="n"/>
      <c r="Z45" s="94" t="n"/>
    </row>
    <row r="46" ht="21.75" customHeight="1" s="90">
      <c r="A46" s="185" t="n"/>
      <c r="B46" s="186" t="n"/>
      <c r="C46" s="101" t="n"/>
      <c r="D46" s="129" t="n"/>
      <c r="E46" s="147">
        <f>C46*D46</f>
        <v/>
      </c>
      <c r="F46" s="147">
        <f>IFERROR(E46*(1+VLOOKUP(I46,CategoryTable,2,FALSE)),0)</f>
        <v/>
      </c>
      <c r="G46" s="148">
        <f>'Client Setup'!B19</f>
        <v/>
      </c>
      <c r="H46" s="187" t="n"/>
      <c r="I46" s="188" t="inlineStr">
        <is>
          <t>Décor &amp; Design</t>
        </is>
      </c>
      <c r="J46" s="107">
        <f>IF(A50="","",A50&amp;" x"&amp;C50)</f>
        <v/>
      </c>
      <c r="K46" s="139">
        <f>IF(A50="","",ROUNDUP(F50/10,0)*10)</f>
        <v/>
      </c>
      <c r="L46" s="94" t="n"/>
      <c r="M46" s="94" t="n"/>
      <c r="N46" s="94" t="n"/>
      <c r="O46" s="94" t="n"/>
      <c r="P46" s="94" t="n"/>
      <c r="Q46" s="94" t="n"/>
      <c r="R46" s="94" t="n"/>
      <c r="S46" s="94" t="n"/>
      <c r="T46" s="94" t="n"/>
      <c r="U46" s="94" t="n"/>
      <c r="V46" s="94" t="n"/>
      <c r="W46" s="94" t="n"/>
      <c r="X46" s="94" t="n"/>
      <c r="Y46" s="94" t="n"/>
      <c r="Z46" s="94" t="n"/>
    </row>
    <row r="47" ht="21.75" customHeight="1" s="90">
      <c r="A47" s="185" t="n"/>
      <c r="B47" s="186" t="n"/>
      <c r="C47" s="101" t="n"/>
      <c r="D47" s="129" t="n"/>
      <c r="E47" s="147">
        <f>C47*D47</f>
        <v/>
      </c>
      <c r="F47" s="147">
        <f>IFERROR(E47*(1+VLOOKUP(I47,CategoryTable,2,FALSE)),0)</f>
        <v/>
      </c>
      <c r="G47" s="148">
        <f>'Client Setup'!B19</f>
        <v/>
      </c>
      <c r="H47" s="187" t="n"/>
      <c r="I47" s="188" t="inlineStr">
        <is>
          <t>Décor &amp; Design</t>
        </is>
      </c>
      <c r="J47" s="107">
        <f>IF(A51="","",A51&amp;" x"&amp;C51)</f>
        <v/>
      </c>
      <c r="K47" s="139">
        <f>IF(A51="","",ROUNDUP(F51/10,0)*10)</f>
        <v/>
      </c>
      <c r="L47" s="94" t="n"/>
      <c r="M47" s="94" t="n"/>
      <c r="N47" s="94" t="n"/>
      <c r="O47" s="94" t="n"/>
      <c r="P47" s="94" t="n"/>
      <c r="Q47" s="94" t="n"/>
      <c r="R47" s="94" t="n"/>
      <c r="S47" s="94" t="n"/>
      <c r="T47" s="94" t="n"/>
      <c r="U47" s="94" t="n"/>
      <c r="V47" s="94" t="n"/>
      <c r="W47" s="94" t="n"/>
      <c r="X47" s="94" t="n"/>
      <c r="Y47" s="94" t="n"/>
      <c r="Z47" s="94" t="n"/>
    </row>
    <row r="48" ht="21.75" customHeight="1" s="90">
      <c r="A48" s="185" t="n"/>
      <c r="B48" s="186" t="n"/>
      <c r="C48" s="101" t="n"/>
      <c r="D48" s="129" t="n"/>
      <c r="E48" s="147">
        <f>C48*D48</f>
        <v/>
      </c>
      <c r="F48" s="147">
        <f>IFERROR(E48*(1+VLOOKUP(I48,CategoryTable,2,FALSE)),0)</f>
        <v/>
      </c>
      <c r="G48" s="148">
        <f>'Client Setup'!B19</f>
        <v/>
      </c>
      <c r="H48" s="187" t="n"/>
      <c r="I48" s="188" t="inlineStr">
        <is>
          <t>Décor &amp; Design</t>
        </is>
      </c>
      <c r="J48" s="107">
        <f>IF(A53="","",A53&amp;" x"&amp;C53)</f>
        <v/>
      </c>
      <c r="K48" s="139">
        <f>IF(A53="","",ROUNDUP(F53/10,0)*10)</f>
        <v/>
      </c>
      <c r="L48" s="94" t="n"/>
      <c r="M48" s="94" t="n"/>
      <c r="N48" s="94" t="n"/>
      <c r="O48" s="94" t="n"/>
      <c r="P48" s="94" t="n"/>
      <c r="Q48" s="94" t="n"/>
      <c r="R48" s="94" t="n"/>
      <c r="S48" s="94" t="n"/>
      <c r="T48" s="94" t="n"/>
      <c r="U48" s="94" t="n"/>
      <c r="V48" s="94" t="n"/>
      <c r="W48" s="94" t="n"/>
      <c r="X48" s="94" t="n"/>
      <c r="Y48" s="94" t="n"/>
      <c r="Z48" s="94" t="n"/>
    </row>
    <row r="49" ht="21.75" customHeight="1" s="90">
      <c r="A49" s="185" t="n"/>
      <c r="B49" s="186" t="n"/>
      <c r="C49" s="101" t="n"/>
      <c r="D49" s="129" t="n"/>
      <c r="E49" s="147">
        <f>C49*D49</f>
        <v/>
      </c>
      <c r="F49" s="147">
        <f>IFERROR(E49*(1+VLOOKUP(I49,CategoryTable,2,FALSE)),0)</f>
        <v/>
      </c>
      <c r="G49" s="148">
        <f>'Client Setup'!B19</f>
        <v/>
      </c>
      <c r="H49" s="187" t="n"/>
      <c r="I49" s="188" t="inlineStr">
        <is>
          <t>Décor &amp; Design</t>
        </is>
      </c>
      <c r="J49" s="107">
        <f>IF(A54="","",A54&amp;" x"&amp;C54)</f>
        <v/>
      </c>
      <c r="K49" s="139">
        <f>IF(A54="","",ROUNDUP(F54/10,0)*10)</f>
        <v/>
      </c>
      <c r="L49" s="94" t="n"/>
      <c r="M49" s="94" t="n"/>
      <c r="N49" s="94" t="n"/>
      <c r="O49" s="94" t="n"/>
      <c r="P49" s="94" t="n"/>
      <c r="Q49" s="94" t="n"/>
      <c r="R49" s="94" t="n"/>
      <c r="S49" s="94" t="n"/>
      <c r="T49" s="94" t="n"/>
      <c r="U49" s="94" t="n"/>
      <c r="V49" s="94" t="n"/>
      <c r="W49" s="94" t="n"/>
      <c r="X49" s="94" t="n"/>
      <c r="Y49" s="94" t="n"/>
      <c r="Z49" s="94" t="n"/>
    </row>
    <row r="50" ht="21.75" customHeight="1" s="90">
      <c r="A50" s="185" t="n"/>
      <c r="B50" s="186" t="n"/>
      <c r="C50" s="101" t="n"/>
      <c r="D50" s="129" t="n"/>
      <c r="E50" s="147">
        <f>C50*D50</f>
        <v/>
      </c>
      <c r="F50" s="147">
        <f>IFERROR(E50*(1+VLOOKUP(I50,CategoryTable,2,FALSE)),0)</f>
        <v/>
      </c>
      <c r="G50" s="148">
        <f>'Client Setup'!B19</f>
        <v/>
      </c>
      <c r="H50" s="187" t="n"/>
      <c r="I50" s="188" t="inlineStr">
        <is>
          <t>Décor &amp; Design</t>
        </is>
      </c>
      <c r="J50" s="107">
        <f>IF(A55="","",A55&amp;" x"&amp;C55)</f>
        <v/>
      </c>
      <c r="K50" s="139">
        <f>IF(A55="","",ROUNDUP(F55/10,0)*10)</f>
        <v/>
      </c>
      <c r="L50" s="94" t="n"/>
      <c r="M50" s="94" t="n"/>
      <c r="N50" s="94" t="n"/>
      <c r="O50" s="94" t="n"/>
      <c r="P50" s="94" t="n"/>
      <c r="Q50" s="94" t="n"/>
      <c r="R50" s="94" t="n"/>
      <c r="S50" s="94" t="n"/>
      <c r="T50" s="94" t="n"/>
      <c r="U50" s="94" t="n"/>
      <c r="V50" s="94" t="n"/>
      <c r="W50" s="94" t="n"/>
      <c r="X50" s="94" t="n"/>
      <c r="Y50" s="94" t="n"/>
      <c r="Z50" s="94" t="n"/>
    </row>
    <row r="51" ht="21.75" customHeight="1" s="90">
      <c r="A51" s="185" t="n"/>
      <c r="B51" s="186" t="n"/>
      <c r="C51" s="101" t="n"/>
      <c r="D51" s="129" t="n"/>
      <c r="E51" s="147">
        <f>C51*D51</f>
        <v/>
      </c>
      <c r="F51" s="147">
        <f>IFERROR(E51*(1+VLOOKUP(I51,CategoryTable,2,FALSE)),0)</f>
        <v/>
      </c>
      <c r="G51" s="148">
        <f>'Client Setup'!B19</f>
        <v/>
      </c>
      <c r="H51" s="187" t="n"/>
      <c r="I51" s="188" t="inlineStr">
        <is>
          <t>Décor &amp; Design</t>
        </is>
      </c>
      <c r="J51" s="107">
        <f>IF(A56="","",A56&amp;" x"&amp;C56)</f>
        <v/>
      </c>
      <c r="K51" s="139">
        <f>IF(A56="","",ROUNDUP(F56/10,0)*10)</f>
        <v/>
      </c>
      <c r="L51" s="94" t="n"/>
      <c r="M51" s="94" t="n"/>
      <c r="N51" s="94" t="n"/>
      <c r="O51" s="94" t="n"/>
      <c r="P51" s="94" t="n"/>
      <c r="Q51" s="94" t="n"/>
      <c r="R51" s="94" t="n"/>
      <c r="S51" s="94" t="n"/>
      <c r="T51" s="94" t="n"/>
      <c r="U51" s="94" t="n"/>
      <c r="V51" s="94" t="n"/>
      <c r="W51" s="94" t="n"/>
      <c r="X51" s="94" t="n"/>
      <c r="Y51" s="94" t="n"/>
      <c r="Z51" s="94" t="n"/>
    </row>
    <row r="52" ht="21.75" customHeight="1" s="90">
      <c r="A52" s="143" t="inlineStr">
        <is>
          <t>TABLES  (cocktail, coffee, side, dining)</t>
        </is>
      </c>
      <c r="I52" s="94" t="n"/>
      <c r="J52" s="107">
        <f>IF(A57="","",A57&amp;" x"&amp;C57)</f>
        <v/>
      </c>
      <c r="K52" s="139">
        <f>IF(A57="","",ROUNDUP(F57/10,0)*10)</f>
        <v/>
      </c>
      <c r="L52" s="94" t="n"/>
      <c r="M52" s="94" t="n"/>
      <c r="N52" s="94" t="n"/>
      <c r="O52" s="94" t="n"/>
      <c r="P52" s="94" t="n"/>
      <c r="Q52" s="94" t="n"/>
      <c r="R52" s="94" t="n"/>
      <c r="S52" s="94" t="n"/>
      <c r="T52" s="94" t="n"/>
      <c r="U52" s="94" t="n"/>
      <c r="V52" s="94" t="n"/>
      <c r="W52" s="94" t="n"/>
      <c r="X52" s="94" t="n"/>
      <c r="Y52" s="94" t="n"/>
      <c r="Z52" s="94" t="n"/>
    </row>
    <row r="53" ht="21.75" customHeight="1" s="90">
      <c r="A53" s="185" t="n"/>
      <c r="B53" s="186" t="n"/>
      <c r="C53" s="101" t="n"/>
      <c r="D53" s="129" t="n"/>
      <c r="E53" s="147">
        <f>C53*D53</f>
        <v/>
      </c>
      <c r="F53" s="147">
        <f>IFERROR(E53*(1+VLOOKUP(I53,CategoryTable,2,FALSE)),0)</f>
        <v/>
      </c>
      <c r="G53" s="148">
        <f>'Client Setup'!B19</f>
        <v/>
      </c>
      <c r="H53" s="187" t="n"/>
      <c r="I53" s="188" t="inlineStr">
        <is>
          <t>Décor &amp; Design</t>
        </is>
      </c>
      <c r="J53" s="107">
        <f>IF(A58="","",A58&amp;" x"&amp;C58)</f>
        <v/>
      </c>
      <c r="K53" s="139">
        <f>IF(A58="","",ROUNDUP(F58/10,0)*10)</f>
        <v/>
      </c>
      <c r="L53" s="94" t="n"/>
      <c r="M53" s="94" t="n"/>
      <c r="N53" s="94" t="n"/>
      <c r="O53" s="94" t="n"/>
      <c r="P53" s="94" t="n"/>
      <c r="Q53" s="94" t="n"/>
      <c r="R53" s="94" t="n"/>
      <c r="S53" s="94" t="n"/>
      <c r="T53" s="94" t="n"/>
      <c r="U53" s="94" t="n"/>
      <c r="V53" s="94" t="n"/>
      <c r="W53" s="94" t="n"/>
      <c r="X53" s="94" t="n"/>
      <c r="Y53" s="94" t="n"/>
      <c r="Z53" s="94" t="n"/>
    </row>
    <row r="54" ht="21.75" customHeight="1" s="90">
      <c r="A54" s="185" t="n"/>
      <c r="B54" s="186" t="n"/>
      <c r="C54" s="101" t="n"/>
      <c r="D54" s="129" t="n"/>
      <c r="E54" s="147">
        <f>C54*D54</f>
        <v/>
      </c>
      <c r="F54" s="147">
        <f>IFERROR(E54*(1+VLOOKUP(I54,CategoryTable,2,FALSE)),0)</f>
        <v/>
      </c>
      <c r="G54" s="148">
        <f>'Client Setup'!B19</f>
        <v/>
      </c>
      <c r="H54" s="187" t="n"/>
      <c r="I54" s="188" t="inlineStr">
        <is>
          <t>Décor &amp; Design</t>
        </is>
      </c>
      <c r="J54" s="107">
        <f>IF(A59="","",A59&amp;" x"&amp;C59)</f>
        <v/>
      </c>
      <c r="K54" s="139">
        <f>IF(A59="","",ROUNDUP(F59/10,0)*10)</f>
        <v/>
      </c>
      <c r="L54" s="94" t="n"/>
      <c r="M54" s="94" t="n"/>
      <c r="N54" s="94" t="n"/>
      <c r="O54" s="94" t="n"/>
      <c r="P54" s="94" t="n"/>
      <c r="Q54" s="94" t="n"/>
      <c r="R54" s="94" t="n"/>
      <c r="S54" s="94" t="n"/>
      <c r="T54" s="94" t="n"/>
      <c r="U54" s="94" t="n"/>
      <c r="V54" s="94" t="n"/>
      <c r="W54" s="94" t="n"/>
      <c r="X54" s="94" t="n"/>
      <c r="Y54" s="94" t="n"/>
      <c r="Z54" s="94" t="n"/>
    </row>
    <row r="55" ht="21.75" customHeight="1" s="90">
      <c r="A55" s="185" t="n"/>
      <c r="B55" s="186" t="n"/>
      <c r="C55" s="101" t="n"/>
      <c r="D55" s="129" t="n"/>
      <c r="E55" s="147">
        <f>C55*D55</f>
        <v/>
      </c>
      <c r="F55" s="147">
        <f>IFERROR(E55*(1+VLOOKUP(I55,CategoryTable,2,FALSE)),0)</f>
        <v/>
      </c>
      <c r="G55" s="148">
        <f>'Client Setup'!B19</f>
        <v/>
      </c>
      <c r="H55" s="187" t="n"/>
      <c r="I55" s="188" t="inlineStr">
        <is>
          <t>Décor &amp; Design</t>
        </is>
      </c>
      <c r="J55" s="107">
        <f>IF(A60="","",A60&amp;" x"&amp;C60)</f>
        <v/>
      </c>
      <c r="K55" s="139">
        <f>IF(A60="","",ROUNDUP(F60/10,0)*10)</f>
        <v/>
      </c>
      <c r="L55" s="94" t="n"/>
      <c r="M55" s="94" t="n"/>
      <c r="N55" s="94" t="n"/>
      <c r="O55" s="94" t="n"/>
      <c r="P55" s="94" t="n"/>
      <c r="Q55" s="94" t="n"/>
      <c r="R55" s="94" t="n"/>
      <c r="S55" s="94" t="n"/>
      <c r="T55" s="94" t="n"/>
      <c r="U55" s="94" t="n"/>
      <c r="V55" s="94" t="n"/>
      <c r="W55" s="94" t="n"/>
      <c r="X55" s="94" t="n"/>
      <c r="Y55" s="94" t="n"/>
      <c r="Z55" s="94" t="n"/>
    </row>
    <row r="56" ht="21.75" customHeight="1" s="90">
      <c r="A56" s="185" t="n"/>
      <c r="B56" s="186" t="n"/>
      <c r="C56" s="101" t="n"/>
      <c r="D56" s="129" t="n"/>
      <c r="E56" s="147">
        <f>C56*D56</f>
        <v/>
      </c>
      <c r="F56" s="147">
        <f>IFERROR(E56*(1+VLOOKUP(I56,CategoryTable,2,FALSE)),0)</f>
        <v/>
      </c>
      <c r="G56" s="148">
        <f>'Client Setup'!B19</f>
        <v/>
      </c>
      <c r="H56" s="187" t="n"/>
      <c r="I56" s="188" t="inlineStr">
        <is>
          <t>Décor &amp; Design</t>
        </is>
      </c>
      <c r="J56" s="107">
        <f>IF(A62="","",A62&amp;" x"&amp;C62)</f>
        <v/>
      </c>
      <c r="K56" s="139">
        <f>IF(A62="","",ROUNDUP(F62/10,0)*10)</f>
        <v/>
      </c>
      <c r="L56" s="94" t="n"/>
      <c r="M56" s="94" t="n"/>
      <c r="N56" s="94" t="n"/>
      <c r="O56" s="94" t="n"/>
      <c r="P56" s="94" t="n"/>
      <c r="Q56" s="94" t="n"/>
      <c r="R56" s="94" t="n"/>
      <c r="S56" s="94" t="n"/>
      <c r="T56" s="94" t="n"/>
      <c r="U56" s="94" t="n"/>
      <c r="V56" s="94" t="n"/>
      <c r="W56" s="94" t="n"/>
      <c r="X56" s="94" t="n"/>
      <c r="Y56" s="94" t="n"/>
      <c r="Z56" s="94" t="n"/>
    </row>
    <row r="57" ht="21.75" customHeight="1" s="90">
      <c r="A57" s="185" t="n"/>
      <c r="B57" s="186" t="n"/>
      <c r="C57" s="101" t="n"/>
      <c r="D57" s="129" t="n"/>
      <c r="E57" s="147">
        <f>C57*D57</f>
        <v/>
      </c>
      <c r="F57" s="147">
        <f>IFERROR(E57*(1+VLOOKUP(I57,CategoryTable,2,FALSE)),0)</f>
        <v/>
      </c>
      <c r="G57" s="148">
        <f>'Client Setup'!B19</f>
        <v/>
      </c>
      <c r="H57" s="187" t="n"/>
      <c r="I57" s="188" t="inlineStr">
        <is>
          <t>Décor &amp; Design</t>
        </is>
      </c>
      <c r="J57" s="107">
        <f>IF(A63="","",A63&amp;" x"&amp;C63)</f>
        <v/>
      </c>
      <c r="K57" s="139">
        <f>IF(A63="","",ROUNDUP(F63/10,0)*10)</f>
        <v/>
      </c>
      <c r="L57" s="94" t="n"/>
      <c r="M57" s="94" t="n"/>
      <c r="N57" s="94" t="n"/>
      <c r="O57" s="94" t="n"/>
      <c r="P57" s="94" t="n"/>
      <c r="Q57" s="94" t="n"/>
      <c r="R57" s="94" t="n"/>
      <c r="S57" s="94" t="n"/>
      <c r="T57" s="94" t="n"/>
      <c r="U57" s="94" t="n"/>
      <c r="V57" s="94" t="n"/>
      <c r="W57" s="94" t="n"/>
      <c r="X57" s="94" t="n"/>
      <c r="Y57" s="94" t="n"/>
      <c r="Z57" s="94" t="n"/>
    </row>
    <row r="58" ht="21.75" customHeight="1" s="90">
      <c r="A58" s="185" t="n"/>
      <c r="B58" s="186" t="n"/>
      <c r="C58" s="101" t="n"/>
      <c r="D58" s="129" t="n"/>
      <c r="E58" s="147">
        <f>C58*D58</f>
        <v/>
      </c>
      <c r="F58" s="147">
        <f>IFERROR(E58*(1+VLOOKUP(I58,CategoryTable,2,FALSE)),0)</f>
        <v/>
      </c>
      <c r="G58" s="148">
        <f>'Client Setup'!B19</f>
        <v/>
      </c>
      <c r="H58" s="187" t="n"/>
      <c r="I58" s="188" t="inlineStr">
        <is>
          <t>Décor &amp; Design</t>
        </is>
      </c>
      <c r="J58" s="107">
        <f>IF(A64="","",A64&amp;" x"&amp;C64)</f>
        <v/>
      </c>
      <c r="K58" s="139">
        <f>IF(A64="","",ROUNDUP(F64/10,0)*10)</f>
        <v/>
      </c>
      <c r="L58" s="94" t="n"/>
      <c r="M58" s="94" t="n"/>
      <c r="N58" s="94" t="n"/>
      <c r="O58" s="94" t="n"/>
      <c r="P58" s="94" t="n"/>
      <c r="Q58" s="94" t="n"/>
      <c r="R58" s="94" t="n"/>
      <c r="S58" s="94" t="n"/>
      <c r="T58" s="94" t="n"/>
      <c r="U58" s="94" t="n"/>
      <c r="V58" s="94" t="n"/>
      <c r="W58" s="94" t="n"/>
      <c r="X58" s="94" t="n"/>
      <c r="Y58" s="94" t="n"/>
      <c r="Z58" s="94" t="n"/>
    </row>
    <row r="59" ht="21.75" customHeight="1" s="90">
      <c r="A59" s="185" t="n"/>
      <c r="B59" s="186" t="n"/>
      <c r="C59" s="101" t="n"/>
      <c r="D59" s="129" t="n"/>
      <c r="E59" s="147">
        <f>C59*D59</f>
        <v/>
      </c>
      <c r="F59" s="147">
        <f>IFERROR(E59*(1+VLOOKUP(I59,CategoryTable,2,FALSE)),0)</f>
        <v/>
      </c>
      <c r="G59" s="148">
        <f>'Client Setup'!B19</f>
        <v/>
      </c>
      <c r="H59" s="187" t="n"/>
      <c r="I59" s="188" t="inlineStr">
        <is>
          <t>Décor &amp; Design</t>
        </is>
      </c>
      <c r="J59" s="107">
        <f>IF(A65="","",A65&amp;" x"&amp;C65)</f>
        <v/>
      </c>
      <c r="K59" s="139">
        <f>IF(A65="","",ROUNDUP(F65/10,0)*10)</f>
        <v/>
      </c>
      <c r="L59" s="94" t="n"/>
      <c r="M59" s="94" t="n"/>
      <c r="N59" s="94" t="n"/>
      <c r="O59" s="94" t="n"/>
      <c r="P59" s="94" t="n"/>
      <c r="Q59" s="94" t="n"/>
      <c r="R59" s="94" t="n"/>
      <c r="S59" s="94" t="n"/>
      <c r="T59" s="94" t="n"/>
      <c r="U59" s="94" t="n"/>
      <c r="V59" s="94" t="n"/>
      <c r="W59" s="94" t="n"/>
      <c r="X59" s="94" t="n"/>
      <c r="Y59" s="94" t="n"/>
      <c r="Z59" s="94" t="n"/>
    </row>
    <row r="60" ht="21.75" customHeight="1" s="90">
      <c r="A60" s="185" t="n"/>
      <c r="B60" s="186" t="n"/>
      <c r="C60" s="101" t="n"/>
      <c r="D60" s="129" t="n"/>
      <c r="E60" s="147">
        <f>C60*D60</f>
        <v/>
      </c>
      <c r="F60" s="147">
        <f>IFERROR(E60*(1+VLOOKUP(I60,CategoryTable,2,FALSE)),0)</f>
        <v/>
      </c>
      <c r="G60" s="148">
        <f>'Client Setup'!B19</f>
        <v/>
      </c>
      <c r="H60" s="187" t="n"/>
      <c r="I60" s="188" t="inlineStr">
        <is>
          <t>Décor &amp; Design</t>
        </is>
      </c>
      <c r="J60" s="107">
        <f>IF(A66="","",A66&amp;" x"&amp;C66)</f>
        <v/>
      </c>
      <c r="K60" s="139">
        <f>IF(A66="","",ROUNDUP(F66/10,0)*10)</f>
        <v/>
      </c>
      <c r="L60" s="94" t="n"/>
      <c r="M60" s="94" t="n"/>
      <c r="N60" s="94" t="n"/>
      <c r="O60" s="94" t="n"/>
      <c r="P60" s="94" t="n"/>
      <c r="Q60" s="94" t="n"/>
      <c r="R60" s="94" t="n"/>
      <c r="S60" s="94" t="n"/>
      <c r="T60" s="94" t="n"/>
      <c r="U60" s="94" t="n"/>
      <c r="V60" s="94" t="n"/>
      <c r="W60" s="94" t="n"/>
      <c r="X60" s="94" t="n"/>
      <c r="Y60" s="94" t="n"/>
      <c r="Z60" s="94" t="n"/>
    </row>
    <row r="61" ht="21.75" customHeight="1" s="90">
      <c r="A61" s="143" t="inlineStr">
        <is>
          <t>RUGS, DECOR &amp; ACCESSORIES</t>
        </is>
      </c>
      <c r="I61" s="94" t="n"/>
      <c r="J61" s="107">
        <f>IF(A67="","",A67&amp;" x"&amp;C67)</f>
        <v/>
      </c>
      <c r="K61" s="139">
        <f>IF(A67="","",ROUNDUP(F67/10,0)*10)</f>
        <v/>
      </c>
      <c r="L61" s="94" t="n"/>
      <c r="M61" s="94" t="n"/>
      <c r="N61" s="94" t="n"/>
      <c r="O61" s="94" t="n"/>
      <c r="P61" s="94" t="n"/>
      <c r="Q61" s="94" t="n"/>
      <c r="R61" s="94" t="n"/>
      <c r="S61" s="94" t="n"/>
      <c r="T61" s="94" t="n"/>
      <c r="U61" s="94" t="n"/>
      <c r="V61" s="94" t="n"/>
      <c r="W61" s="94" t="n"/>
      <c r="X61" s="94" t="n"/>
      <c r="Y61" s="94" t="n"/>
      <c r="Z61" s="94" t="n"/>
    </row>
    <row r="62" ht="21.75" customHeight="1" s="90">
      <c r="A62" s="185" t="n"/>
      <c r="B62" s="186" t="n"/>
      <c r="C62" s="101" t="n"/>
      <c r="D62" s="129" t="n"/>
      <c r="E62" s="147">
        <f>C62*D62</f>
        <v/>
      </c>
      <c r="F62" s="147">
        <f>IFERROR(E62*(1+VLOOKUP(I62,CategoryTable,2,FALSE)),0)</f>
        <v/>
      </c>
      <c r="G62" s="148">
        <f>'Client Setup'!B19</f>
        <v/>
      </c>
      <c r="H62" s="187" t="n"/>
      <c r="I62" s="188" t="inlineStr">
        <is>
          <t>Décor &amp; Design</t>
        </is>
      </c>
      <c r="J62" s="107">
        <f>IF(A69="","",A69)</f>
        <v/>
      </c>
      <c r="K62" s="139">
        <f>IF(A69="","",ROUNDUP(F69/10,0)*10)</f>
        <v/>
      </c>
      <c r="L62" s="94" t="n"/>
      <c r="M62" s="94" t="n"/>
      <c r="N62" s="94" t="n"/>
      <c r="O62" s="94" t="n"/>
      <c r="P62" s="94" t="n"/>
      <c r="Q62" s="94" t="n"/>
      <c r="R62" s="94" t="n"/>
      <c r="S62" s="94" t="n"/>
      <c r="T62" s="94" t="n"/>
      <c r="U62" s="94" t="n"/>
      <c r="V62" s="94" t="n"/>
      <c r="W62" s="94" t="n"/>
      <c r="X62" s="94" t="n"/>
      <c r="Y62" s="94" t="n"/>
      <c r="Z62" s="94" t="n"/>
    </row>
    <row r="63" ht="21.75" customHeight="1" s="90">
      <c r="A63" s="185" t="n"/>
      <c r="B63" s="186" t="n"/>
      <c r="C63" s="101" t="n"/>
      <c r="D63" s="129" t="n"/>
      <c r="E63" s="147">
        <f>C63*D63</f>
        <v/>
      </c>
      <c r="F63" s="147">
        <f>IFERROR(E63*(1+VLOOKUP(I63,CategoryTable,2,FALSE)),0)</f>
        <v/>
      </c>
      <c r="G63" s="148">
        <f>'Client Setup'!B19</f>
        <v/>
      </c>
      <c r="H63" s="187" t="n"/>
      <c r="I63" s="188" t="inlineStr">
        <is>
          <t>Décor &amp; Design</t>
        </is>
      </c>
      <c r="J63" s="107">
        <f>IF(A70="","",A70)</f>
        <v/>
      </c>
      <c r="K63" s="139">
        <f>IF(A70="","",ROUNDUP(F70/10,0)*10)</f>
        <v/>
      </c>
      <c r="L63" s="94" t="n"/>
      <c r="M63" s="94" t="n"/>
      <c r="N63" s="94" t="n"/>
      <c r="O63" s="94" t="n"/>
      <c r="P63" s="94" t="n"/>
      <c r="Q63" s="94" t="n"/>
      <c r="R63" s="94" t="n"/>
      <c r="S63" s="94" t="n"/>
      <c r="T63" s="94" t="n"/>
      <c r="U63" s="94" t="n"/>
      <c r="V63" s="94" t="n"/>
      <c r="W63" s="94" t="n"/>
      <c r="X63" s="94" t="n"/>
      <c r="Y63" s="94" t="n"/>
      <c r="Z63" s="94" t="n"/>
    </row>
    <row r="64" ht="21.75" customHeight="1" s="90">
      <c r="A64" s="185" t="n"/>
      <c r="B64" s="186" t="n"/>
      <c r="C64" s="101" t="n"/>
      <c r="D64" s="129" t="n"/>
      <c r="E64" s="147">
        <f>C64*D64</f>
        <v/>
      </c>
      <c r="F64" s="147">
        <f>IFERROR(E64*(1+VLOOKUP(I64,CategoryTable,2,FALSE)),0)</f>
        <v/>
      </c>
      <c r="G64" s="148">
        <f>'Client Setup'!B19</f>
        <v/>
      </c>
      <c r="H64" s="187" t="n"/>
      <c r="I64" s="188" t="inlineStr">
        <is>
          <t>Décor &amp; Design</t>
        </is>
      </c>
      <c r="J64" s="107">
        <f>IF(A71="","",A71)</f>
        <v/>
      </c>
      <c r="K64" s="139">
        <f>IF(A71="","",ROUNDUP(F71/10,0)*10)</f>
        <v/>
      </c>
      <c r="L64" s="94" t="n"/>
      <c r="M64" s="94" t="n"/>
      <c r="N64" s="94" t="n"/>
      <c r="O64" s="94" t="n"/>
      <c r="P64" s="94" t="n"/>
      <c r="Q64" s="94" t="n"/>
      <c r="R64" s="94" t="n"/>
      <c r="S64" s="94" t="n"/>
      <c r="T64" s="94" t="n"/>
      <c r="U64" s="94" t="n"/>
      <c r="V64" s="94" t="n"/>
      <c r="W64" s="94" t="n"/>
      <c r="X64" s="94" t="n"/>
      <c r="Y64" s="94" t="n"/>
      <c r="Z64" s="94" t="n"/>
    </row>
    <row r="65" ht="24" customHeight="1" s="90">
      <c r="A65" s="185" t="n"/>
      <c r="B65" s="186" t="n"/>
      <c r="C65" s="101" t="n"/>
      <c r="D65" s="129" t="n"/>
      <c r="E65" s="147">
        <f>C65*D65</f>
        <v/>
      </c>
      <c r="F65" s="147">
        <f>IFERROR(E65*(1+VLOOKUP(I65,CategoryTable,2,FALSE)),0)</f>
        <v/>
      </c>
      <c r="G65" s="148">
        <f>'Client Setup'!B19</f>
        <v/>
      </c>
      <c r="H65" s="187" t="n"/>
      <c r="I65" s="188" t="inlineStr">
        <is>
          <t>Décor &amp; Design</t>
        </is>
      </c>
      <c r="J65" s="107">
        <f>IF(A72="","",A72)</f>
        <v/>
      </c>
      <c r="K65" s="139">
        <f>IF(A72="","",ROUNDUP(F72/10,0)*10)</f>
        <v/>
      </c>
      <c r="L65" s="94" t="n"/>
      <c r="M65" s="94" t="n"/>
      <c r="N65" s="94" t="n"/>
      <c r="O65" s="94" t="n"/>
      <c r="P65" s="94" t="n"/>
      <c r="Q65" s="94" t="n"/>
      <c r="R65" s="94" t="n"/>
      <c r="S65" s="94" t="n"/>
      <c r="T65" s="94" t="n"/>
      <c r="U65" s="94" t="n"/>
      <c r="V65" s="94" t="n"/>
      <c r="W65" s="94" t="n"/>
      <c r="X65" s="94" t="n"/>
      <c r="Y65" s="94" t="n"/>
      <c r="Z65" s="94" t="n"/>
    </row>
    <row r="66" ht="15" customHeight="1" s="90">
      <c r="A66" s="185" t="n"/>
      <c r="B66" s="186" t="n"/>
      <c r="C66" s="101" t="n"/>
      <c r="D66" s="129" t="n"/>
      <c r="E66" s="147">
        <f>C66*D66</f>
        <v/>
      </c>
      <c r="F66" s="147">
        <f>IFERROR(E66*(1+VLOOKUP(I66,CategoryTable,2,FALSE)),0)</f>
        <v/>
      </c>
      <c r="G66" s="148">
        <f>'Client Setup'!B19</f>
        <v/>
      </c>
      <c r="H66" s="187" t="n"/>
      <c r="I66" s="188" t="inlineStr">
        <is>
          <t>Décor &amp; Design</t>
        </is>
      </c>
      <c r="J66" s="107">
        <f>IF(A73="","",A73)</f>
        <v/>
      </c>
      <c r="K66" s="139">
        <f>IF(A73="","",ROUNDUP(F73/10,0)*10)</f>
        <v/>
      </c>
      <c r="L66" s="94" t="n"/>
      <c r="M66" s="94" t="n"/>
      <c r="N66" s="94" t="n"/>
      <c r="O66" s="94" t="n"/>
      <c r="P66" s="94" t="n"/>
      <c r="Q66" s="94" t="n"/>
      <c r="R66" s="94" t="n"/>
      <c r="S66" s="94" t="n"/>
      <c r="T66" s="94" t="n"/>
      <c r="U66" s="94" t="n"/>
      <c r="V66" s="94" t="n"/>
      <c r="W66" s="94" t="n"/>
      <c r="X66" s="94" t="n"/>
      <c r="Y66" s="94" t="n"/>
      <c r="Z66" s="94" t="n"/>
    </row>
    <row r="67" ht="21.75" customHeight="1" s="90">
      <c r="A67" s="185" t="n"/>
      <c r="B67" s="186" t="n"/>
      <c r="C67" s="101" t="n"/>
      <c r="D67" s="129" t="n"/>
      <c r="E67" s="147">
        <f>C67*D67</f>
        <v/>
      </c>
      <c r="F67" s="147">
        <f>IFERROR(E67*(1+VLOOKUP(I67,CategoryTable,2,FALSE)),0)</f>
        <v/>
      </c>
      <c r="G67" s="148">
        <f>'Client Setup'!B19</f>
        <v/>
      </c>
      <c r="H67" s="187" t="n"/>
      <c r="I67" s="188" t="inlineStr">
        <is>
          <t>Décor &amp; Design</t>
        </is>
      </c>
      <c r="J67" s="107">
        <f>IF(A74="","",A74)</f>
        <v/>
      </c>
      <c r="K67" s="139">
        <f>IF(A74="","",ROUNDUP(F74/10,0)*10)</f>
        <v/>
      </c>
      <c r="L67" s="94" t="n"/>
      <c r="M67" s="94" t="n"/>
      <c r="N67" s="94" t="n"/>
      <c r="O67" s="94" t="n"/>
      <c r="P67" s="94" t="n"/>
      <c r="Q67" s="94" t="n"/>
      <c r="R67" s="94" t="n"/>
      <c r="S67" s="94" t="n"/>
      <c r="T67" s="94" t="n"/>
      <c r="U67" s="94" t="n"/>
      <c r="V67" s="94" t="n"/>
      <c r="W67" s="94" t="n"/>
      <c r="X67" s="94" t="n"/>
      <c r="Y67" s="94" t="n"/>
      <c r="Z67" s="94" t="n"/>
    </row>
    <row r="68" ht="21.75" customHeight="1" s="90">
      <c r="A68" s="155" t="inlineStr">
        <is>
          <t>NON-TAXABLE RENTAL FEES</t>
        </is>
      </c>
      <c r="I68" s="94" t="n"/>
      <c r="J68" s="192" t="inlineStr">
        <is>
          <t>Rentals &amp; Lounge Subtotal</t>
        </is>
      </c>
      <c r="K68" s="193">
        <f>SUM(K32:K67)</f>
        <v/>
      </c>
      <c r="L68" s="94" t="n"/>
      <c r="M68" s="94" t="n"/>
      <c r="N68" s="94" t="n"/>
      <c r="O68" s="94" t="n"/>
      <c r="P68" s="94" t="n"/>
      <c r="Q68" s="94" t="n"/>
      <c r="R68" s="94" t="n"/>
      <c r="S68" s="94" t="n"/>
      <c r="T68" s="94" t="n"/>
      <c r="U68" s="94" t="n"/>
      <c r="V68" s="94" t="n"/>
      <c r="W68" s="94" t="n"/>
      <c r="X68" s="94" t="n"/>
      <c r="Y68" s="94" t="n"/>
      <c r="Z68" s="94" t="n"/>
    </row>
    <row r="69" ht="21.75" customHeight="1" s="90">
      <c r="A69" s="185" t="n"/>
      <c r="B69" s="186" t="n"/>
      <c r="C69" s="191" t="n"/>
      <c r="D69" s="129" t="n"/>
      <c r="E69" s="147">
        <f>D69</f>
        <v/>
      </c>
      <c r="F69" s="147">
        <f>IFERROR(E69*(1+VLOOKUP(I69,CategoryTable,2,FALSE)),0)</f>
        <v/>
      </c>
      <c r="G69" s="148" t="n">
        <v>0</v>
      </c>
      <c r="H69" s="187" t="n"/>
      <c r="I69" s="188" t="inlineStr">
        <is>
          <t>Delivery &amp; Logistics</t>
        </is>
      </c>
      <c r="J69" s="195" t="n"/>
      <c r="K69" s="195" t="n"/>
      <c r="L69" s="94" t="n"/>
      <c r="M69" s="94" t="n"/>
      <c r="N69" s="94" t="n"/>
      <c r="O69" s="94" t="n"/>
      <c r="P69" s="94" t="n"/>
      <c r="Q69" s="94" t="n"/>
      <c r="R69" s="94" t="n"/>
      <c r="S69" s="94" t="n"/>
      <c r="T69" s="94" t="n"/>
      <c r="U69" s="94" t="n"/>
      <c r="V69" s="94" t="n"/>
      <c r="W69" s="94" t="n"/>
      <c r="X69" s="94" t="n"/>
      <c r="Y69" s="94" t="n"/>
      <c r="Z69" s="94" t="n"/>
    </row>
    <row r="70" ht="21.75" customHeight="1" s="90">
      <c r="A70" s="185" t="n"/>
      <c r="B70" s="186" t="n"/>
      <c r="C70" s="191" t="n"/>
      <c r="D70" s="129" t="n"/>
      <c r="E70" s="147">
        <f>D70</f>
        <v/>
      </c>
      <c r="F70" s="147">
        <f>IFERROR(E70*(1+VLOOKUP(I70,CategoryTable,2,FALSE)),0)</f>
        <v/>
      </c>
      <c r="G70" s="148" t="n">
        <v>0</v>
      </c>
      <c r="H70" s="187" t="n"/>
      <c r="I70" s="188" t="inlineStr">
        <is>
          <t>Delivery &amp; Logistics</t>
        </is>
      </c>
      <c r="J70" s="184">
        <f>A77</f>
        <v/>
      </c>
      <c r="L70" s="94" t="n"/>
      <c r="M70" s="94" t="n"/>
      <c r="N70" s="94" t="n"/>
      <c r="O70" s="94" t="n"/>
      <c r="P70" s="94" t="n"/>
      <c r="Q70" s="94" t="n"/>
      <c r="R70" s="94" t="n"/>
      <c r="S70" s="94" t="n"/>
      <c r="T70" s="94" t="n"/>
      <c r="U70" s="94" t="n"/>
      <c r="V70" s="94" t="n"/>
      <c r="W70" s="94" t="n"/>
      <c r="X70" s="94" t="n"/>
      <c r="Y70" s="94" t="n"/>
      <c r="Z70" s="94" t="n"/>
    </row>
    <row r="71" ht="21.75" customHeight="1" s="90">
      <c r="A71" s="185" t="n"/>
      <c r="B71" s="186" t="n"/>
      <c r="C71" s="191" t="n"/>
      <c r="D71" s="129" t="n"/>
      <c r="E71" s="147">
        <f>D71</f>
        <v/>
      </c>
      <c r="F71" s="147">
        <f>IFERROR(E71*(1+VLOOKUP(I71,CategoryTable,2,FALSE)),0)</f>
        <v/>
      </c>
      <c r="G71" s="148" t="n">
        <v>0</v>
      </c>
      <c r="H71" s="187" t="n"/>
      <c r="I71" s="188" t="inlineStr">
        <is>
          <t>Delivery &amp; Logistics</t>
        </is>
      </c>
      <c r="J71" s="107">
        <f>IF(A80="","",A80&amp;" x"&amp;C80)</f>
        <v/>
      </c>
      <c r="K71" s="139">
        <f>IF(A80="","",ROUNDUP(F80/10,0)*10)</f>
        <v/>
      </c>
      <c r="L71" s="94" t="n"/>
      <c r="M71" s="94" t="n"/>
      <c r="N71" s="94" t="n"/>
      <c r="O71" s="94" t="n"/>
      <c r="P71" s="94" t="n"/>
      <c r="Q71" s="94" t="n"/>
      <c r="R71" s="94" t="n"/>
      <c r="S71" s="94" t="n"/>
      <c r="T71" s="94" t="n"/>
      <c r="U71" s="94" t="n"/>
      <c r="V71" s="94" t="n"/>
      <c r="W71" s="94" t="n"/>
      <c r="X71" s="94" t="n"/>
      <c r="Y71" s="94" t="n"/>
      <c r="Z71" s="94" t="n"/>
    </row>
    <row r="72" ht="21.75" customHeight="1" s="90">
      <c r="A72" s="185" t="n"/>
      <c r="B72" s="186" t="n"/>
      <c r="C72" s="191" t="n"/>
      <c r="D72" s="129" t="n"/>
      <c r="E72" s="147">
        <f>D72</f>
        <v/>
      </c>
      <c r="F72" s="147">
        <f>IFERROR(E72*(1+VLOOKUP(I72,CategoryTable,2,FALSE)),0)</f>
        <v/>
      </c>
      <c r="G72" s="148" t="n">
        <v>0</v>
      </c>
      <c r="H72" s="187" t="n"/>
      <c r="I72" s="188" t="inlineStr">
        <is>
          <t>Delivery &amp; Logistics</t>
        </is>
      </c>
      <c r="J72" s="107">
        <f>IF(A81="","",A81&amp;" x"&amp;C81)</f>
        <v/>
      </c>
      <c r="K72" s="139">
        <f>IF(A81="","",ROUNDUP(F81/10,0)*10)</f>
        <v/>
      </c>
      <c r="L72" s="94" t="n"/>
      <c r="M72" s="94" t="n"/>
      <c r="N72" s="94" t="n"/>
      <c r="O72" s="94" t="n"/>
      <c r="P72" s="94" t="n"/>
      <c r="Q72" s="94" t="n"/>
      <c r="R72" s="94" t="n"/>
      <c r="S72" s="94" t="n"/>
      <c r="T72" s="94" t="n"/>
      <c r="U72" s="94" t="n"/>
      <c r="V72" s="94" t="n"/>
      <c r="W72" s="94" t="n"/>
      <c r="X72" s="94" t="n"/>
      <c r="Y72" s="94" t="n"/>
      <c r="Z72" s="94" t="n"/>
    </row>
    <row r="73" ht="21.75" customHeight="1" s="90">
      <c r="A73" s="185" t="n"/>
      <c r="B73" s="186" t="n"/>
      <c r="C73" s="191" t="n"/>
      <c r="D73" s="129" t="n"/>
      <c r="E73" s="147">
        <f>D73</f>
        <v/>
      </c>
      <c r="F73" s="147">
        <f>IFERROR(E73*(1+VLOOKUP(I73,CategoryTable,2,FALSE)),0)</f>
        <v/>
      </c>
      <c r="G73" s="148" t="n">
        <v>0</v>
      </c>
      <c r="H73" s="187" t="n"/>
      <c r="I73" s="188" t="inlineStr">
        <is>
          <t>Delivery &amp; Logistics</t>
        </is>
      </c>
      <c r="J73" s="107">
        <f>IF(A82="","",A82&amp;" x"&amp;C82)</f>
        <v/>
      </c>
      <c r="K73" s="139">
        <f>IF(A82="","",ROUNDUP(F82/10,0)*10)</f>
        <v/>
      </c>
      <c r="L73" s="94" t="n"/>
      <c r="M73" s="94" t="n"/>
      <c r="N73" s="94" t="n"/>
      <c r="O73" s="94" t="n"/>
      <c r="P73" s="94" t="n"/>
      <c r="Q73" s="94" t="n"/>
      <c r="R73" s="94" t="n"/>
      <c r="S73" s="94" t="n"/>
      <c r="T73" s="94" t="n"/>
      <c r="U73" s="94" t="n"/>
      <c r="V73" s="94" t="n"/>
      <c r="W73" s="94" t="n"/>
      <c r="X73" s="94" t="n"/>
      <c r="Y73" s="94" t="n"/>
      <c r="Z73" s="94" t="n"/>
    </row>
    <row r="74" ht="21.75" customHeight="1" s="90">
      <c r="A74" s="185" t="n"/>
      <c r="B74" s="186" t="n"/>
      <c r="C74" s="191" t="n"/>
      <c r="D74" s="129" t="n"/>
      <c r="E74" s="147">
        <f>D74</f>
        <v/>
      </c>
      <c r="F74" s="147">
        <f>IFERROR(E74*(1+VLOOKUP(I74,CategoryTable,2,FALSE)),0)</f>
        <v/>
      </c>
      <c r="G74" s="148" t="n">
        <v>0</v>
      </c>
      <c r="H74" s="187" t="n"/>
      <c r="I74" s="188" t="inlineStr">
        <is>
          <t>Delivery &amp; Logistics</t>
        </is>
      </c>
      <c r="J74" s="107">
        <f>IF(A83="","",A83&amp;" x"&amp;C83)</f>
        <v/>
      </c>
      <c r="K74" s="139">
        <f>IF(A83="","",ROUNDUP(F83/10,0)*10)</f>
        <v/>
      </c>
      <c r="L74" s="94" t="n"/>
      <c r="M74" s="94" t="n"/>
      <c r="N74" s="94" t="n"/>
      <c r="O74" s="94" t="n"/>
      <c r="P74" s="94" t="n"/>
      <c r="Q74" s="94" t="n"/>
      <c r="R74" s="94" t="n"/>
      <c r="S74" s="94" t="n"/>
      <c r="T74" s="94" t="n"/>
      <c r="U74" s="94" t="n"/>
      <c r="V74" s="94" t="n"/>
      <c r="W74" s="94" t="n"/>
      <c r="X74" s="94" t="n"/>
      <c r="Y74" s="94" t="n"/>
      <c r="Z74" s="94" t="n"/>
    </row>
    <row r="75" ht="21.75" customHeight="1" s="90">
      <c r="A75" s="159" t="inlineStr">
        <is>
          <t>RENTALS &amp; LOUNGE SUBTOTAL</t>
        </is>
      </c>
      <c r="B75" s="194" t="n"/>
      <c r="C75" s="194" t="n"/>
      <c r="D75" s="194" t="n"/>
      <c r="E75" s="160">
        <f>SUM(E35:E42)+SUM(E44:E51)+SUM(E53:E60)+SUM(E62:E67)+SUM(E69:E74)</f>
        <v/>
      </c>
      <c r="F75" s="160">
        <f>SUM(F35:F42)+SUM(F44:F51)+SUM(F53:F60)+SUM(F62:F67)+SUM(F69:F74)</f>
        <v/>
      </c>
      <c r="G75" s="194" t="n"/>
      <c r="H75" s="194" t="n"/>
      <c r="I75" s="94" t="n"/>
      <c r="J75" s="107">
        <f>IF(A84="","",A84&amp;" x"&amp;C84)</f>
        <v/>
      </c>
      <c r="K75" s="139">
        <f>IF(A84="","",ROUNDUP(F84/10,0)*10)</f>
        <v/>
      </c>
      <c r="L75" s="94" t="n"/>
      <c r="M75" s="94" t="n"/>
      <c r="N75" s="94" t="n"/>
      <c r="O75" s="94" t="n"/>
      <c r="P75" s="94" t="n"/>
      <c r="Q75" s="94" t="n"/>
      <c r="R75" s="94" t="n"/>
      <c r="S75" s="94" t="n"/>
      <c r="T75" s="94" t="n"/>
      <c r="U75" s="94" t="n"/>
      <c r="V75" s="94" t="n"/>
      <c r="W75" s="94" t="n"/>
      <c r="X75" s="94" t="n"/>
      <c r="Y75" s="94" t="n"/>
      <c r="Z75" s="94" t="n"/>
    </row>
    <row r="76" ht="21.75" customHeight="1" s="90">
      <c r="A76" s="94" t="n"/>
      <c r="B76" s="94" t="n"/>
      <c r="C76" s="94" t="n"/>
      <c r="D76" s="94" t="n"/>
      <c r="E76" s="94" t="n"/>
      <c r="F76" s="94" t="n"/>
      <c r="G76" s="94" t="n"/>
      <c r="H76" s="94" t="n"/>
      <c r="I76" s="94" t="n"/>
      <c r="J76" s="107">
        <f>IF(A85="","",A85&amp;" x"&amp;C85)</f>
        <v/>
      </c>
      <c r="K76" s="139">
        <f>IF(A85="","",ROUNDUP(F85/10,0)*10)</f>
        <v/>
      </c>
      <c r="L76" s="94" t="n"/>
      <c r="M76" s="94" t="n"/>
      <c r="N76" s="94" t="n"/>
      <c r="O76" s="94" t="n"/>
      <c r="P76" s="94" t="n"/>
      <c r="Q76" s="94" t="n"/>
      <c r="R76" s="94" t="n"/>
      <c r="S76" s="94" t="n"/>
      <c r="T76" s="94" t="n"/>
      <c r="U76" s="94" t="n"/>
      <c r="V76" s="94" t="n"/>
      <c r="W76" s="94" t="n"/>
      <c r="X76" s="94" t="n"/>
      <c r="Y76" s="94" t="n"/>
      <c r="Z76" s="94" t="n"/>
    </row>
    <row r="77" ht="21.75" customHeight="1" s="90">
      <c r="A77" s="96" t="inlineStr">
        <is>
          <t>AV / PRODUCTION</t>
        </is>
      </c>
      <c r="I77" s="94" t="n"/>
      <c r="J77" s="107">
        <f>IF(A86="","",A86&amp;" x"&amp;C86)</f>
        <v/>
      </c>
      <c r="K77" s="139">
        <f>IF(A86="","",ROUNDUP(F86/10,0)*10)</f>
        <v/>
      </c>
      <c r="L77" s="94" t="n"/>
      <c r="M77" s="94" t="n"/>
      <c r="N77" s="94" t="n"/>
      <c r="O77" s="94" t="n"/>
      <c r="P77" s="94" t="n"/>
      <c r="Q77" s="94" t="n"/>
      <c r="R77" s="94" t="n"/>
      <c r="S77" s="94" t="n"/>
      <c r="T77" s="94" t="n"/>
      <c r="U77" s="94" t="n"/>
      <c r="V77" s="94" t="n"/>
      <c r="W77" s="94" t="n"/>
      <c r="X77" s="94" t="n"/>
      <c r="Y77" s="94" t="n"/>
      <c r="Z77" s="94" t="n"/>
    </row>
    <row r="78" ht="21.75" customHeight="1" s="90">
      <c r="A78" s="137" t="inlineStr">
        <is>
          <t>Item</t>
        </is>
      </c>
      <c r="B78" s="137" t="inlineStr">
        <is>
          <t>Vendor</t>
        </is>
      </c>
      <c r="C78" s="137" t="inlineStr">
        <is>
          <t>Qty</t>
        </is>
      </c>
      <c r="D78" s="137" t="inlineStr">
        <is>
          <t>Unit Price</t>
        </is>
      </c>
      <c r="E78" s="137" t="inlineStr">
        <is>
          <t>Our Cost</t>
        </is>
      </c>
      <c r="F78" s="137" t="inlineStr">
        <is>
          <t>Client Cost</t>
        </is>
      </c>
      <c r="G78" s="137" t="inlineStr">
        <is>
          <t>Tax Rate</t>
        </is>
      </c>
      <c r="H78" s="137" t="inlineStr">
        <is>
          <t>Notes / Description</t>
        </is>
      </c>
      <c r="I78" s="94" t="n"/>
      <c r="J78" s="107">
        <f>IF(A87="","",A87&amp;" x"&amp;C87)</f>
        <v/>
      </c>
      <c r="K78" s="139">
        <f>IF(A87="","",ROUNDUP(F87/10,0)*10)</f>
        <v/>
      </c>
      <c r="L78" s="94" t="n"/>
      <c r="M78" s="94" t="n"/>
      <c r="N78" s="94" t="n"/>
      <c r="O78" s="94" t="n"/>
      <c r="P78" s="94" t="n"/>
      <c r="Q78" s="94" t="n"/>
      <c r="R78" s="94" t="n"/>
      <c r="S78" s="94" t="n"/>
      <c r="T78" s="94" t="n"/>
      <c r="U78" s="94" t="n"/>
      <c r="V78" s="94" t="n"/>
      <c r="W78" s="94" t="n"/>
      <c r="X78" s="94" t="n"/>
      <c r="Y78" s="94" t="n"/>
      <c r="Z78" s="94" t="n"/>
    </row>
    <row r="79" ht="21.75" customHeight="1" s="90">
      <c r="A79" s="143" t="inlineStr">
        <is>
          <t>TAXABLE AV &amp; PRODUCTION EQUIPMENT</t>
        </is>
      </c>
      <c r="I79" s="94" t="n"/>
      <c r="J79" s="107">
        <f>IF(A88="","",A88&amp;" x"&amp;C88)</f>
        <v/>
      </c>
      <c r="K79" s="139">
        <f>IF(A88="","",ROUNDUP(F88/10,0)*10)</f>
        <v/>
      </c>
      <c r="L79" s="94" t="n"/>
      <c r="M79" s="94" t="n"/>
      <c r="N79" s="94" t="n"/>
      <c r="O79" s="94" t="n"/>
      <c r="P79" s="94" t="n"/>
      <c r="Q79" s="94" t="n"/>
      <c r="R79" s="94" t="n"/>
      <c r="S79" s="94" t="n"/>
      <c r="T79" s="94" t="n"/>
      <c r="U79" s="94" t="n"/>
      <c r="V79" s="94" t="n"/>
      <c r="W79" s="94" t="n"/>
      <c r="X79" s="94" t="n"/>
      <c r="Y79" s="94" t="n"/>
      <c r="Z79" s="94" t="n"/>
    </row>
    <row r="80" ht="21.75" customHeight="1" s="90">
      <c r="A80" s="185" t="n"/>
      <c r="B80" s="186" t="n"/>
      <c r="C80" s="101" t="n"/>
      <c r="D80" s="129" t="n"/>
      <c r="E80" s="147">
        <f>C80*D80</f>
        <v/>
      </c>
      <c r="F80" s="147">
        <f>IFERROR(E80*(1+VLOOKUP(I80,CategoryTable,2,FALSE)),0)</f>
        <v/>
      </c>
      <c r="G80" s="148">
        <f>'Client Setup'!B19</f>
        <v/>
      </c>
      <c r="H80" s="187" t="n"/>
      <c r="I80" s="188" t="inlineStr">
        <is>
          <t>AV &amp; Production</t>
        </is>
      </c>
      <c r="J80" s="107">
        <f>IF(A89="","",A89&amp;" x"&amp;C89)</f>
        <v/>
      </c>
      <c r="K80" s="139">
        <f>IF(A89="","",ROUNDUP(F89/10,0)*10)</f>
        <v/>
      </c>
      <c r="L80" s="94" t="n"/>
      <c r="M80" s="94" t="n"/>
      <c r="N80" s="94" t="n"/>
      <c r="O80" s="94" t="n"/>
      <c r="P80" s="94" t="n"/>
      <c r="Q80" s="94" t="n"/>
      <c r="R80" s="94" t="n"/>
      <c r="S80" s="94" t="n"/>
      <c r="T80" s="94" t="n"/>
      <c r="U80" s="94" t="n"/>
      <c r="V80" s="94" t="n"/>
      <c r="W80" s="94" t="n"/>
      <c r="X80" s="94" t="n"/>
      <c r="Y80" s="94" t="n"/>
      <c r="Z80" s="94" t="n"/>
    </row>
    <row r="81" ht="21.75" customHeight="1" s="90">
      <c r="A81" s="185" t="n"/>
      <c r="B81" s="186" t="n"/>
      <c r="C81" s="101" t="n"/>
      <c r="D81" s="129" t="n"/>
      <c r="E81" s="147">
        <f>C81*D81</f>
        <v/>
      </c>
      <c r="F81" s="147">
        <f>IFERROR(E81*(1+VLOOKUP(I81,CategoryTable,2,FALSE)),0)</f>
        <v/>
      </c>
      <c r="G81" s="148">
        <f>'Client Setup'!B19</f>
        <v/>
      </c>
      <c r="H81" s="187" t="n"/>
      <c r="I81" s="188" t="inlineStr">
        <is>
          <t>AV &amp; Production</t>
        </is>
      </c>
      <c r="J81" s="107">
        <f>IF(A91="","",A91)</f>
        <v/>
      </c>
      <c r="K81" s="139">
        <f>IF(A91="","",ROUNDUP(F91/10,0)*10)</f>
        <v/>
      </c>
      <c r="L81" s="94" t="n"/>
      <c r="M81" s="94" t="n"/>
      <c r="N81" s="94" t="n"/>
      <c r="O81" s="94" t="n"/>
      <c r="P81" s="94" t="n"/>
      <c r="Q81" s="94" t="n"/>
      <c r="R81" s="94" t="n"/>
      <c r="S81" s="94" t="n"/>
      <c r="T81" s="94" t="n"/>
      <c r="U81" s="94" t="n"/>
      <c r="V81" s="94" t="n"/>
      <c r="W81" s="94" t="n"/>
      <c r="X81" s="94" t="n"/>
      <c r="Y81" s="94" t="n"/>
      <c r="Z81" s="94" t="n"/>
    </row>
    <row r="82" ht="21.75" customHeight="1" s="90">
      <c r="A82" s="185" t="n"/>
      <c r="B82" s="186" t="n"/>
      <c r="C82" s="101" t="n"/>
      <c r="D82" s="129" t="n"/>
      <c r="E82" s="147">
        <f>C82*D82</f>
        <v/>
      </c>
      <c r="F82" s="147">
        <f>IFERROR(E82*(1+VLOOKUP(I82,CategoryTable,2,FALSE)),0)</f>
        <v/>
      </c>
      <c r="G82" s="148">
        <f>'Client Setup'!B19</f>
        <v/>
      </c>
      <c r="H82" s="187" t="n"/>
      <c r="I82" s="188" t="inlineStr">
        <is>
          <t>AV &amp; Production</t>
        </is>
      </c>
      <c r="J82" s="107">
        <f>IF(A92="","",A92)</f>
        <v/>
      </c>
      <c r="K82" s="139">
        <f>IF(A92="","",ROUNDUP(F92/10,0)*10)</f>
        <v/>
      </c>
      <c r="L82" s="94" t="n"/>
      <c r="M82" s="94" t="n"/>
      <c r="N82" s="94" t="n"/>
      <c r="O82" s="94" t="n"/>
      <c r="P82" s="94" t="n"/>
      <c r="Q82" s="94" t="n"/>
      <c r="R82" s="94" t="n"/>
      <c r="S82" s="94" t="n"/>
      <c r="T82" s="94" t="n"/>
      <c r="U82" s="94" t="n"/>
      <c r="V82" s="94" t="n"/>
      <c r="W82" s="94" t="n"/>
      <c r="X82" s="94" t="n"/>
      <c r="Y82" s="94" t="n"/>
      <c r="Z82" s="94" t="n"/>
    </row>
    <row r="83" ht="24" customHeight="1" s="90">
      <c r="A83" s="185" t="n"/>
      <c r="B83" s="186" t="n"/>
      <c r="C83" s="101" t="n"/>
      <c r="D83" s="129" t="n"/>
      <c r="E83" s="147">
        <f>C83*D83</f>
        <v/>
      </c>
      <c r="F83" s="147">
        <f>IFERROR(E83*(1+VLOOKUP(I83,CategoryTable,2,FALSE)),0)</f>
        <v/>
      </c>
      <c r="G83" s="148">
        <f>'Client Setup'!B19</f>
        <v/>
      </c>
      <c r="H83" s="187" t="n"/>
      <c r="I83" s="188" t="inlineStr">
        <is>
          <t>AV &amp; Production</t>
        </is>
      </c>
      <c r="J83" s="107">
        <f>IF(A93="","",A93)</f>
        <v/>
      </c>
      <c r="K83" s="139">
        <f>IF(A93="","",ROUNDUP(F93/10,0)*10)</f>
        <v/>
      </c>
      <c r="L83" s="94" t="n"/>
      <c r="M83" s="94" t="n"/>
      <c r="N83" s="94" t="n"/>
      <c r="O83" s="94" t="n"/>
      <c r="P83" s="94" t="n"/>
      <c r="Q83" s="94" t="n"/>
      <c r="R83" s="94" t="n"/>
      <c r="S83" s="94" t="n"/>
      <c r="T83" s="94" t="n"/>
      <c r="U83" s="94" t="n"/>
      <c r="V83" s="94" t="n"/>
      <c r="W83" s="94" t="n"/>
      <c r="X83" s="94" t="n"/>
      <c r="Y83" s="94" t="n"/>
      <c r="Z83" s="94" t="n"/>
    </row>
    <row r="84" ht="15" customHeight="1" s="90">
      <c r="A84" s="185" t="n"/>
      <c r="B84" s="186" t="n"/>
      <c r="C84" s="101" t="n"/>
      <c r="D84" s="129" t="n"/>
      <c r="E84" s="147">
        <f>C84*D84</f>
        <v/>
      </c>
      <c r="F84" s="147">
        <f>IFERROR(E84*(1+VLOOKUP(I84,CategoryTable,2,FALSE)),0)</f>
        <v/>
      </c>
      <c r="G84" s="148">
        <f>'Client Setup'!B19</f>
        <v/>
      </c>
      <c r="H84" s="187" t="n"/>
      <c r="I84" s="188" t="inlineStr">
        <is>
          <t>AV &amp; Production</t>
        </is>
      </c>
      <c r="J84" s="107">
        <f>IF(A94="","",A94)</f>
        <v/>
      </c>
      <c r="K84" s="139">
        <f>IF(A94="","",ROUNDUP(F94/10,0)*10)</f>
        <v/>
      </c>
      <c r="L84" s="94" t="n"/>
      <c r="M84" s="94" t="n"/>
      <c r="N84" s="94" t="n"/>
      <c r="O84" s="94" t="n"/>
      <c r="P84" s="94" t="n"/>
      <c r="Q84" s="94" t="n"/>
      <c r="R84" s="94" t="n"/>
      <c r="S84" s="94" t="n"/>
      <c r="T84" s="94" t="n"/>
      <c r="U84" s="94" t="n"/>
      <c r="V84" s="94" t="n"/>
      <c r="W84" s="94" t="n"/>
      <c r="X84" s="94" t="n"/>
      <c r="Y84" s="94" t="n"/>
      <c r="Z84" s="94" t="n"/>
    </row>
    <row r="85" ht="21.75" customHeight="1" s="90">
      <c r="A85" s="185" t="n"/>
      <c r="B85" s="186" t="n"/>
      <c r="C85" s="101" t="n"/>
      <c r="D85" s="129" t="n"/>
      <c r="E85" s="147">
        <f>C85*D85</f>
        <v/>
      </c>
      <c r="F85" s="147">
        <f>IFERROR(E85*(1+VLOOKUP(I85,CategoryTable,2,FALSE)),0)</f>
        <v/>
      </c>
      <c r="G85" s="148">
        <f>'Client Setup'!B19</f>
        <v/>
      </c>
      <c r="H85" s="187" t="n"/>
      <c r="I85" s="188" t="inlineStr">
        <is>
          <t>AV &amp; Production</t>
        </is>
      </c>
      <c r="J85" s="107">
        <f>IF(A95="","",A95)</f>
        <v/>
      </c>
      <c r="K85" s="139">
        <f>IF(A95="","",ROUNDUP(F95/10,0)*10)</f>
        <v/>
      </c>
      <c r="L85" s="94" t="n"/>
      <c r="M85" s="94" t="n"/>
      <c r="N85" s="94" t="n"/>
      <c r="O85" s="94" t="n"/>
      <c r="P85" s="94" t="n"/>
      <c r="Q85" s="94" t="n"/>
      <c r="R85" s="94" t="n"/>
      <c r="S85" s="94" t="n"/>
      <c r="T85" s="94" t="n"/>
      <c r="U85" s="94" t="n"/>
      <c r="V85" s="94" t="n"/>
      <c r="W85" s="94" t="n"/>
      <c r="X85" s="94" t="n"/>
      <c r="Y85" s="94" t="n"/>
      <c r="Z85" s="94" t="n"/>
    </row>
    <row r="86" ht="24" customHeight="1" s="90">
      <c r="A86" s="185" t="n"/>
      <c r="B86" s="186" t="n"/>
      <c r="C86" s="101" t="n"/>
      <c r="D86" s="129" t="n"/>
      <c r="E86" s="147">
        <f>C86*D86</f>
        <v/>
      </c>
      <c r="F86" s="147">
        <f>IFERROR(E86*(1+VLOOKUP(I86,CategoryTable,2,FALSE)),0)</f>
        <v/>
      </c>
      <c r="G86" s="148">
        <f>'Client Setup'!B19</f>
        <v/>
      </c>
      <c r="H86" s="187" t="n"/>
      <c r="I86" s="188" t="inlineStr">
        <is>
          <t>AV &amp; Production</t>
        </is>
      </c>
      <c r="J86" s="192" t="inlineStr">
        <is>
          <t>AV / Production Subtotal</t>
        </is>
      </c>
      <c r="K86" s="193">
        <f>SUM(K71:K85)</f>
        <v/>
      </c>
      <c r="L86" s="94" t="n"/>
      <c r="M86" s="94" t="n"/>
      <c r="N86" s="94" t="n"/>
      <c r="O86" s="94" t="n"/>
      <c r="P86" s="94" t="n"/>
      <c r="Q86" s="94" t="n"/>
      <c r="R86" s="94" t="n"/>
      <c r="S86" s="94" t="n"/>
      <c r="T86" s="94" t="n"/>
      <c r="U86" s="94" t="n"/>
      <c r="V86" s="94" t="n"/>
      <c r="W86" s="94" t="n"/>
      <c r="X86" s="94" t="n"/>
      <c r="Y86" s="94" t="n"/>
      <c r="Z86" s="94" t="n"/>
    </row>
    <row r="87" ht="30" customHeight="1" s="90">
      <c r="A87" s="185" t="n"/>
      <c r="B87" s="186" t="n"/>
      <c r="C87" s="101" t="n"/>
      <c r="D87" s="129" t="n"/>
      <c r="E87" s="147">
        <f>C87*D87</f>
        <v/>
      </c>
      <c r="F87" s="147">
        <f>IFERROR(E87*(1+VLOOKUP(I87,CategoryTable,2,FALSE)),0)</f>
        <v/>
      </c>
      <c r="G87" s="148">
        <f>'Client Setup'!B19</f>
        <v/>
      </c>
      <c r="H87" s="187" t="n"/>
      <c r="I87" s="188" t="inlineStr">
        <is>
          <t>AV &amp; Production</t>
        </is>
      </c>
      <c r="J87" s="195" t="n"/>
      <c r="K87" s="195" t="n"/>
      <c r="L87" s="94" t="n"/>
      <c r="M87" s="94" t="n"/>
      <c r="N87" s="94" t="n"/>
      <c r="O87" s="94" t="n"/>
      <c r="P87" s="94" t="n"/>
      <c r="Q87" s="94" t="n"/>
      <c r="R87" s="94" t="n"/>
      <c r="S87" s="94" t="n"/>
      <c r="T87" s="94" t="n"/>
      <c r="U87" s="94" t="n"/>
      <c r="V87" s="94" t="n"/>
      <c r="W87" s="94" t="n"/>
      <c r="X87" s="94" t="n"/>
      <c r="Y87" s="94" t="n"/>
      <c r="Z87" s="94" t="n"/>
    </row>
    <row r="88" ht="24" customHeight="1" s="90">
      <c r="A88" s="185" t="n"/>
      <c r="B88" s="186" t="n"/>
      <c r="C88" s="101" t="n"/>
      <c r="D88" s="129" t="n"/>
      <c r="E88" s="147">
        <f>C88*D88</f>
        <v/>
      </c>
      <c r="F88" s="147">
        <f>IFERROR(E88*(1+VLOOKUP(I88,CategoryTable,2,FALSE)),0)</f>
        <v/>
      </c>
      <c r="G88" s="148">
        <f>'Client Setup'!B19</f>
        <v/>
      </c>
      <c r="H88" s="187" t="n"/>
      <c r="I88" s="188" t="inlineStr">
        <is>
          <t>AV &amp; Production</t>
        </is>
      </c>
      <c r="J88" s="134" t="inlineStr">
        <is>
          <t>Tax</t>
        </is>
      </c>
      <c r="K88" s="139">
        <f>ROUNDUP(F100/10,0)*10</f>
        <v/>
      </c>
      <c r="L88" s="94" t="n"/>
      <c r="M88" s="94" t="n"/>
      <c r="N88" s="94" t="n"/>
      <c r="O88" s="94" t="n"/>
      <c r="P88" s="94" t="n"/>
      <c r="Q88" s="94" t="n"/>
      <c r="R88" s="94" t="n"/>
      <c r="S88" s="94" t="n"/>
      <c r="T88" s="94" t="n"/>
      <c r="U88" s="94" t="n"/>
      <c r="V88" s="94" t="n"/>
      <c r="W88" s="94" t="n"/>
      <c r="X88" s="94" t="n"/>
      <c r="Y88" s="94" t="n"/>
      <c r="Z88" s="94" t="n"/>
    </row>
    <row r="89" ht="24" customHeight="1" s="90">
      <c r="A89" s="185" t="n"/>
      <c r="B89" s="186" t="n"/>
      <c r="C89" s="101" t="n"/>
      <c r="D89" s="129" t="n"/>
      <c r="E89" s="147">
        <f>C89*D89</f>
        <v/>
      </c>
      <c r="F89" s="147">
        <f>IFERROR(E89*(1+VLOOKUP(I89,CategoryTable,2,FALSE)),0)</f>
        <v/>
      </c>
      <c r="G89" s="148">
        <f>'Client Setup'!B19</f>
        <v/>
      </c>
      <c r="H89" s="187" t="n"/>
      <c r="I89" s="188" t="inlineStr">
        <is>
          <t>AV &amp; Production</t>
        </is>
      </c>
      <c r="J89" s="189" t="n"/>
      <c r="K89" s="189" t="n"/>
      <c r="L89" s="94" t="n"/>
      <c r="M89" s="94" t="n"/>
      <c r="N89" s="94" t="n"/>
      <c r="O89" s="94" t="n"/>
      <c r="P89" s="94" t="n"/>
      <c r="Q89" s="94" t="n"/>
      <c r="R89" s="94" t="n"/>
      <c r="S89" s="94" t="n"/>
      <c r="T89" s="94" t="n"/>
      <c r="U89" s="94" t="n"/>
      <c r="V89" s="94" t="n"/>
      <c r="W89" s="94" t="n"/>
      <c r="X89" s="94" t="n"/>
      <c r="Y89" s="94" t="n"/>
      <c r="Z89" s="94" t="n"/>
    </row>
    <row r="90" ht="24" customHeight="1" s="90">
      <c r="A90" s="155" t="inlineStr">
        <is>
          <t>NON-TAXABLE AV FEES &amp; LABOR</t>
        </is>
      </c>
      <c r="I90" s="94" t="n"/>
      <c r="J90" s="131" t="inlineStr">
        <is>
          <t>TOTAL</t>
        </is>
      </c>
      <c r="K90" s="144">
        <f>K29+K68+K86+K88</f>
        <v/>
      </c>
      <c r="L90" s="94" t="n"/>
      <c r="M90" s="94" t="n"/>
      <c r="N90" s="94" t="n"/>
      <c r="O90" s="94" t="n"/>
      <c r="P90" s="94" t="n"/>
      <c r="Q90" s="94" t="n"/>
      <c r="R90" s="94" t="n"/>
      <c r="S90" s="94" t="n"/>
      <c r="T90" s="94" t="n"/>
      <c r="U90" s="94" t="n"/>
      <c r="V90" s="94" t="n"/>
      <c r="W90" s="94" t="n"/>
      <c r="X90" s="94" t="n"/>
      <c r="Y90" s="94" t="n"/>
      <c r="Z90" s="94" t="n"/>
    </row>
    <row r="91" ht="24" customHeight="1" s="90">
      <c r="A91" s="185" t="inlineStr">
        <is>
          <t>AV Tech Labor</t>
        </is>
      </c>
      <c r="B91" s="186" t="n"/>
      <c r="C91" s="191" t="n"/>
      <c r="D91" s="129" t="n"/>
      <c r="E91" s="147">
        <f>D91</f>
        <v/>
      </c>
      <c r="F91" s="147">
        <f>IFERROR(E91*(1+VLOOKUP(I91,CategoryTable,2,FALSE)),0)</f>
        <v/>
      </c>
      <c r="G91" s="148" t="n">
        <v>0</v>
      </c>
      <c r="H91" s="187" t="n"/>
      <c r="I91" s="188" t="inlineStr">
        <is>
          <t>Staffing &amp; Labor</t>
        </is>
      </c>
      <c r="J91" s="94" t="n"/>
      <c r="K91" s="94" t="n"/>
      <c r="L91" s="94" t="n"/>
      <c r="M91" s="94" t="n"/>
      <c r="N91" s="94" t="n"/>
      <c r="O91" s="94" t="n"/>
      <c r="P91" s="94" t="n"/>
      <c r="Q91" s="94" t="n"/>
      <c r="R91" s="94" t="n"/>
      <c r="S91" s="94" t="n"/>
      <c r="T91" s="94" t="n"/>
      <c r="U91" s="94" t="n"/>
      <c r="V91" s="94" t="n"/>
      <c r="W91" s="94" t="n"/>
      <c r="X91" s="94" t="n"/>
      <c r="Y91" s="94" t="n"/>
      <c r="Z91" s="94" t="n"/>
    </row>
    <row r="92" ht="24" customHeight="1" s="90">
      <c r="A92" s="185" t="inlineStr">
        <is>
          <t>Delivery / Setup</t>
        </is>
      </c>
      <c r="B92" s="186" t="n"/>
      <c r="C92" s="191" t="n"/>
      <c r="D92" s="129" t="n"/>
      <c r="E92" s="147">
        <f>D92</f>
        <v/>
      </c>
      <c r="F92" s="147">
        <f>IFERROR(E92*(1+VLOOKUP(I92,CategoryTable,2,FALSE)),0)</f>
        <v/>
      </c>
      <c r="G92" s="148" t="n">
        <v>0</v>
      </c>
      <c r="H92" s="187" t="n"/>
      <c r="I92" s="188" t="inlineStr">
        <is>
          <t>Staffing &amp; Labor</t>
        </is>
      </c>
      <c r="J92" s="94" t="n"/>
      <c r="K92" s="94" t="n"/>
      <c r="L92" s="94" t="n"/>
      <c r="M92" s="94" t="n"/>
      <c r="N92" s="94" t="n"/>
      <c r="O92" s="94" t="n"/>
      <c r="P92" s="94" t="n"/>
      <c r="Q92" s="94" t="n"/>
      <c r="R92" s="94" t="n"/>
      <c r="S92" s="94" t="n"/>
      <c r="T92" s="94" t="n"/>
      <c r="U92" s="94" t="n"/>
      <c r="V92" s="94" t="n"/>
      <c r="W92" s="94" t="n"/>
      <c r="X92" s="94" t="n"/>
      <c r="Y92" s="94" t="n"/>
      <c r="Z92" s="94" t="n"/>
    </row>
    <row r="93" ht="25.5" customHeight="1" s="90">
      <c r="A93" s="185" t="inlineStr">
        <is>
          <t>Strike / Removal</t>
        </is>
      </c>
      <c r="B93" s="186" t="n"/>
      <c r="C93" s="191" t="n"/>
      <c r="D93" s="129" t="n"/>
      <c r="E93" s="147">
        <f>D93</f>
        <v/>
      </c>
      <c r="F93" s="147">
        <f>IFERROR(E93*(1+VLOOKUP(I93,CategoryTable,2,FALSE)),0)</f>
        <v/>
      </c>
      <c r="G93" s="148" t="n">
        <v>0</v>
      </c>
      <c r="H93" s="187" t="n"/>
      <c r="I93" s="188" t="inlineStr">
        <is>
          <t>Staffing &amp; Labor</t>
        </is>
      </c>
      <c r="J93" s="94" t="n"/>
      <c r="K93" s="94" t="n"/>
      <c r="L93" s="94" t="n"/>
      <c r="M93" s="94" t="n"/>
      <c r="N93" s="94" t="n"/>
      <c r="O93" s="94" t="n"/>
      <c r="P93" s="94" t="n"/>
      <c r="Q93" s="94" t="n"/>
      <c r="R93" s="94" t="n"/>
      <c r="S93" s="94" t="n"/>
      <c r="T93" s="94" t="n"/>
      <c r="U93" s="94" t="n"/>
      <c r="V93" s="94" t="n"/>
      <c r="W93" s="94" t="n"/>
      <c r="X93" s="94" t="n"/>
      <c r="Y93" s="94" t="n"/>
      <c r="Z93" s="94" t="n"/>
    </row>
    <row r="94" ht="6" customHeight="1" s="90">
      <c r="A94" s="185" t="n"/>
      <c r="B94" s="186" t="n"/>
      <c r="C94" s="191" t="n"/>
      <c r="D94" s="129" t="n"/>
      <c r="E94" s="147">
        <f>D94</f>
        <v/>
      </c>
      <c r="F94" s="147">
        <f>IFERROR(E94*(1+VLOOKUP(I94,CategoryTable,2,FALSE)),0)</f>
        <v/>
      </c>
      <c r="G94" s="148" t="n">
        <v>0</v>
      </c>
      <c r="H94" s="187" t="n"/>
      <c r="I94" s="188" t="inlineStr">
        <is>
          <t>Staffing &amp; Labor</t>
        </is>
      </c>
      <c r="J94" s="94" t="n"/>
      <c r="K94" s="94" t="n"/>
      <c r="L94" s="94" t="n"/>
      <c r="M94" s="94" t="n"/>
      <c r="N94" s="94" t="n"/>
      <c r="O94" s="94" t="n"/>
      <c r="P94" s="94" t="n"/>
      <c r="Q94" s="94" t="n"/>
      <c r="R94" s="94" t="n"/>
      <c r="S94" s="94" t="n"/>
      <c r="T94" s="94" t="n"/>
      <c r="U94" s="94" t="n"/>
      <c r="V94" s="94" t="n"/>
      <c r="W94" s="94" t="n"/>
      <c r="X94" s="94" t="n"/>
      <c r="Y94" s="94" t="n"/>
      <c r="Z94" s="94" t="n"/>
    </row>
    <row r="95" ht="27.75" customHeight="1" s="90">
      <c r="A95" s="185" t="n"/>
      <c r="B95" s="186" t="n"/>
      <c r="C95" s="191" t="n"/>
      <c r="D95" s="129" t="n"/>
      <c r="E95" s="147">
        <f>D95</f>
        <v/>
      </c>
      <c r="F95" s="147">
        <f>IFERROR(E95*(1+VLOOKUP(I95,CategoryTable,2,FALSE)),0)</f>
        <v/>
      </c>
      <c r="G95" s="148" t="n">
        <v>0</v>
      </c>
      <c r="H95" s="187" t="n"/>
      <c r="I95" s="188" t="inlineStr">
        <is>
          <t>Staffing &amp; Labor</t>
        </is>
      </c>
      <c r="J95" s="94" t="n"/>
      <c r="K95" s="94" t="n"/>
      <c r="L95" s="94" t="n"/>
      <c r="M95" s="94" t="n"/>
      <c r="N95" s="94" t="n"/>
      <c r="O95" s="94" t="n"/>
      <c r="P95" s="94" t="n"/>
      <c r="Q95" s="94" t="n"/>
      <c r="R95" s="94" t="n"/>
      <c r="S95" s="94" t="n"/>
      <c r="T95" s="94" t="n"/>
      <c r="U95" s="94" t="n"/>
      <c r="V95" s="94" t="n"/>
      <c r="W95" s="94" t="n"/>
      <c r="X95" s="94" t="n"/>
      <c r="Y95" s="94" t="n"/>
      <c r="Z95" s="94" t="n"/>
    </row>
    <row r="96" ht="25.5" customHeight="1" s="90">
      <c r="A96" s="159" t="inlineStr">
        <is>
          <t>AV / PRODUCTION SUBTOTAL</t>
        </is>
      </c>
      <c r="B96" s="194" t="n"/>
      <c r="C96" s="194" t="n"/>
      <c r="D96" s="194" t="n"/>
      <c r="E96" s="160">
        <f>SUM(E80:E89)+SUM(E91:E95)</f>
        <v/>
      </c>
      <c r="F96" s="160">
        <f>SUM(F80:F89)+SUM(F91:F95)</f>
        <v/>
      </c>
      <c r="G96" s="194" t="n"/>
      <c r="H96" s="194" t="n"/>
      <c r="I96" s="94" t="n"/>
      <c r="J96" s="94" t="n"/>
      <c r="K96" s="94" t="n"/>
      <c r="L96" s="94" t="n"/>
      <c r="M96" s="94" t="n"/>
      <c r="N96" s="94" t="n"/>
      <c r="O96" s="94" t="n"/>
      <c r="P96" s="94" t="n"/>
      <c r="Q96" s="94" t="n"/>
      <c r="R96" s="94" t="n"/>
      <c r="S96" s="94" t="n"/>
      <c r="T96" s="94" t="n"/>
      <c r="U96" s="94" t="n"/>
      <c r="V96" s="94" t="n"/>
      <c r="W96" s="94" t="n"/>
      <c r="X96" s="94" t="n"/>
      <c r="Y96" s="94" t="n"/>
      <c r="Z96" s="94" t="n"/>
    </row>
    <row r="97" ht="25.5" customHeight="1" s="90">
      <c r="A97" s="94" t="n"/>
      <c r="B97" s="94" t="n"/>
      <c r="C97" s="94" t="n"/>
      <c r="D97" s="94" t="n"/>
      <c r="E97" s="94" t="n"/>
      <c r="F97" s="94" t="n"/>
      <c r="G97" s="94" t="n"/>
      <c r="H97" s="94" t="n"/>
      <c r="I97" s="94" t="n"/>
      <c r="J97" s="94" t="n"/>
      <c r="K97" s="94" t="n"/>
      <c r="L97" s="94" t="n"/>
      <c r="M97" s="94" t="n"/>
      <c r="N97" s="94" t="n"/>
      <c r="O97" s="94" t="n"/>
      <c r="P97" s="94" t="n"/>
      <c r="Q97" s="94" t="n"/>
      <c r="R97" s="94" t="n"/>
      <c r="S97" s="94" t="n"/>
      <c r="T97" s="94" t="n"/>
      <c r="U97" s="94" t="n"/>
      <c r="V97" s="94" t="n"/>
      <c r="W97" s="94" t="n"/>
      <c r="X97" s="94" t="n"/>
      <c r="Y97" s="94" t="n"/>
      <c r="Z97" s="94" t="n"/>
    </row>
    <row r="98" ht="25.5" customHeight="1" s="90">
      <c r="A98" s="96" t="inlineStr">
        <is>
          <t>ESTIMATE SUMMARY</t>
        </is>
      </c>
      <c r="I98" s="94" t="n"/>
      <c r="J98" s="94" t="n"/>
      <c r="K98" s="94" t="n"/>
      <c r="L98" s="94" t="n"/>
      <c r="M98" s="94" t="n"/>
      <c r="N98" s="94" t="n"/>
      <c r="O98" s="94" t="n"/>
      <c r="P98" s="94" t="n"/>
      <c r="Q98" s="94" t="n"/>
      <c r="R98" s="94" t="n"/>
      <c r="S98" s="94" t="n"/>
      <c r="T98" s="94" t="n"/>
      <c r="U98" s="94" t="n"/>
      <c r="V98" s="94" t="n"/>
      <c r="W98" s="94" t="n"/>
      <c r="X98" s="94" t="n"/>
      <c r="Y98" s="94" t="n"/>
      <c r="Z98" s="94" t="n"/>
    </row>
    <row r="99" ht="25.5" customHeight="1" s="90">
      <c r="A99" s="156" t="inlineStr">
        <is>
          <t>Taxable Product Subtotal</t>
        </is>
      </c>
      <c r="B99" s="196" t="n"/>
      <c r="C99" s="196" t="n"/>
      <c r="D99" s="196" t="n"/>
      <c r="E99" s="158">
        <f>SUM(E16:E25)+SUM(E35:E42)+SUM(E44:E51)+SUM(E53:E60)+SUM(E62:E67)+SUM(E80:E89)</f>
        <v/>
      </c>
      <c r="F99" s="158">
        <f>SUM(F16:F25)+SUM(F35:F42)+SUM(F44:F51)+SUM(F53:F60)+SUM(F62:F67)+SUM(F80:F89)</f>
        <v/>
      </c>
      <c r="G99" s="196" t="n"/>
      <c r="H99" s="196" t="n"/>
      <c r="I99" s="94" t="n"/>
      <c r="J99" s="94" t="n"/>
      <c r="K99" s="94" t="n"/>
      <c r="L99" s="94" t="n"/>
      <c r="M99" s="94" t="n"/>
      <c r="N99" s="94" t="n"/>
      <c r="O99" s="94" t="n"/>
      <c r="P99" s="94" t="n"/>
      <c r="Q99" s="94" t="n"/>
      <c r="R99" s="94" t="n"/>
      <c r="S99" s="94" t="n"/>
      <c r="T99" s="94" t="n"/>
      <c r="U99" s="94" t="n"/>
      <c r="V99" s="94" t="n"/>
      <c r="W99" s="94" t="n"/>
      <c r="X99" s="94" t="n"/>
      <c r="Y99" s="94" t="n"/>
      <c r="Z99" s="94" t="n"/>
    </row>
    <row r="100" ht="25.5" customHeight="1" s="90">
      <c r="A100" s="156" t="inlineStr">
        <is>
          <t>Sales Tax</t>
        </is>
      </c>
      <c r="B100" s="196" t="n"/>
      <c r="C100" s="196" t="n"/>
      <c r="D100" s="196" t="n"/>
      <c r="E100" s="158">
        <f>IFERROR(E99*'Client Setup'!B19,0)</f>
        <v/>
      </c>
      <c r="F100" s="158">
        <f>IFERROR(F99*'Client Setup'!B19,0)</f>
        <v/>
      </c>
      <c r="G100" s="196" t="n"/>
      <c r="H100" s="196" t="n"/>
      <c r="I100" s="94" t="n"/>
      <c r="J100" s="94" t="n"/>
      <c r="K100" s="94" t="n"/>
      <c r="L100" s="94" t="n"/>
      <c r="M100" s="94" t="n"/>
      <c r="N100" s="94" t="n"/>
      <c r="O100" s="94" t="n"/>
      <c r="P100" s="94" t="n"/>
      <c r="Q100" s="94" t="n"/>
      <c r="R100" s="94" t="n"/>
      <c r="S100" s="94" t="n"/>
      <c r="T100" s="94" t="n"/>
      <c r="U100" s="94" t="n"/>
      <c r="V100" s="94" t="n"/>
      <c r="W100" s="94" t="n"/>
      <c r="X100" s="94" t="n"/>
      <c r="Y100" s="94" t="n"/>
      <c r="Z100" s="94" t="n"/>
    </row>
    <row r="101" ht="33.75" customHeight="1" s="90">
      <c r="A101" s="156" t="inlineStr">
        <is>
          <t>Non-Taxable Fees Subtotal</t>
        </is>
      </c>
      <c r="B101" s="196" t="n"/>
      <c r="C101" s="196" t="n"/>
      <c r="D101" s="196" t="n"/>
      <c r="E101" s="158">
        <f>SUM(E27:E29)+SUM(E69:E74)+SUM(E91:E95)</f>
        <v/>
      </c>
      <c r="F101" s="158">
        <f>SUM(F27:F29)+SUM(F69:F74)+SUM(F91:F95)</f>
        <v/>
      </c>
      <c r="G101" s="196" t="n"/>
      <c r="H101" s="196" t="n"/>
      <c r="I101" s="94" t="n"/>
      <c r="J101" s="94" t="n"/>
      <c r="K101" s="94" t="n"/>
      <c r="L101" s="94" t="n"/>
      <c r="M101" s="94" t="n"/>
      <c r="N101" s="94" t="n"/>
      <c r="O101" s="94" t="n"/>
      <c r="P101" s="94" t="n"/>
      <c r="Q101" s="94" t="n"/>
      <c r="R101" s="94" t="n"/>
      <c r="S101" s="94" t="n"/>
      <c r="T101" s="94" t="n"/>
      <c r="U101" s="94" t="n"/>
      <c r="V101" s="94" t="n"/>
      <c r="W101" s="94" t="n"/>
      <c r="X101" s="94" t="n"/>
      <c r="Y101" s="94" t="n"/>
      <c r="Z101" s="94" t="n"/>
    </row>
    <row r="102" ht="6" customHeight="1" s="90">
      <c r="A102" s="156" t="inlineStr">
        <is>
          <t>CC Processing Fee</t>
        </is>
      </c>
      <c r="B102" s="196" t="n"/>
      <c r="C102" s="196" t="n"/>
      <c r="D102" s="196" t="n"/>
      <c r="E102" s="158">
        <f>F102</f>
        <v/>
      </c>
      <c r="F102" s="158">
        <f>IFERROR((F99+F100+F101)*'Client Setup'!C35,0)</f>
        <v/>
      </c>
      <c r="G102" s="196" t="n"/>
      <c r="H102" s="196" t="n"/>
      <c r="I102" s="94" t="n"/>
      <c r="J102" s="94" t="n"/>
      <c r="K102" s="94" t="n"/>
      <c r="L102" s="94" t="n"/>
      <c r="M102" s="94" t="n"/>
      <c r="N102" s="94" t="n"/>
      <c r="O102" s="94" t="n"/>
      <c r="P102" s="94" t="n"/>
      <c r="Q102" s="94" t="n"/>
      <c r="R102" s="94" t="n"/>
      <c r="S102" s="94" t="n"/>
      <c r="T102" s="94" t="n"/>
      <c r="U102" s="94" t="n"/>
      <c r="V102" s="94" t="n"/>
      <c r="W102" s="94" t="n"/>
      <c r="X102" s="94" t="n"/>
      <c r="Y102" s="94" t="n"/>
      <c r="Z102" s="94" t="n"/>
    </row>
    <row r="103" ht="27.75" customHeight="1" s="90">
      <c r="A103" s="156" t="inlineStr">
        <is>
          <t>Third-Party Commission</t>
        </is>
      </c>
      <c r="B103" s="196" t="n"/>
      <c r="C103" s="196" t="n"/>
      <c r="D103" s="196" t="n"/>
      <c r="E103" s="158">
        <f>F103</f>
        <v/>
      </c>
      <c r="F103" s="158">
        <f>IFERROR((F99+F100+F101)*'Client Setup'!C36,0)</f>
        <v/>
      </c>
      <c r="G103" s="196" t="n"/>
      <c r="H103" s="196" t="n"/>
      <c r="I103" s="94" t="n"/>
      <c r="J103" s="94" t="n"/>
      <c r="K103" s="94" t="n"/>
      <c r="L103" s="94" t="n"/>
      <c r="M103" s="94" t="n"/>
      <c r="N103" s="94" t="n"/>
      <c r="O103" s="94" t="n"/>
      <c r="P103" s="94" t="n"/>
      <c r="Q103" s="94" t="n"/>
      <c r="R103" s="94" t="n"/>
      <c r="S103" s="94" t="n"/>
      <c r="T103" s="94" t="n"/>
      <c r="U103" s="94" t="n"/>
      <c r="V103" s="94" t="n"/>
      <c r="W103" s="94" t="n"/>
      <c r="X103" s="94" t="n"/>
      <c r="Y103" s="94" t="n"/>
      <c r="Z103" s="94" t="n"/>
    </row>
    <row r="104" ht="30" customHeight="1" s="90">
      <c r="A104" s="162" t="inlineStr">
        <is>
          <t>TOTAL DECOR ESTIMATE</t>
        </is>
      </c>
      <c r="E104" s="163">
        <f>SUM(E99:E103)</f>
        <v/>
      </c>
      <c r="F104" s="163">
        <f>SUM(F99:F103)</f>
        <v/>
      </c>
      <c r="G104" s="197" t="n"/>
      <c r="H104" s="197" t="n"/>
      <c r="I104" s="94" t="n"/>
      <c r="J104" s="94" t="n"/>
      <c r="K104" s="94" t="n"/>
      <c r="L104" s="94" t="n"/>
      <c r="M104" s="94" t="n"/>
      <c r="N104" s="94" t="n"/>
      <c r="O104" s="94" t="n"/>
      <c r="P104" s="94" t="n"/>
      <c r="Q104" s="94" t="n"/>
      <c r="R104" s="94" t="n"/>
      <c r="S104" s="94" t="n"/>
      <c r="T104" s="94" t="n"/>
      <c r="U104" s="94" t="n"/>
      <c r="V104" s="94" t="n"/>
      <c r="W104" s="94" t="n"/>
      <c r="X104" s="94" t="n"/>
      <c r="Y104" s="94" t="n"/>
      <c r="Z104" s="94" t="n"/>
    </row>
    <row r="105" ht="6" customHeight="1" s="90">
      <c r="A105" s="94" t="n"/>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c r="U105" s="94" t="n"/>
      <c r="V105" s="94" t="n"/>
      <c r="W105" s="94" t="n"/>
      <c r="X105" s="94" t="n"/>
      <c r="Y105" s="94" t="n"/>
      <c r="Z105" s="94" t="n"/>
    </row>
    <row r="106" ht="27.75" customHeight="1" s="90">
      <c r="A106" s="96" t="inlineStr">
        <is>
          <t>CLIENT PRICING</t>
        </is>
      </c>
      <c r="I106" s="94" t="n"/>
      <c r="J106" s="94" t="n"/>
      <c r="K106" s="94" t="n"/>
      <c r="L106" s="94" t="n"/>
      <c r="M106" s="94" t="n"/>
      <c r="N106" s="94" t="n"/>
      <c r="O106" s="94" t="n"/>
      <c r="P106" s="94" t="n"/>
      <c r="Q106" s="94" t="n"/>
      <c r="R106" s="94" t="n"/>
      <c r="S106" s="94" t="n"/>
      <c r="T106" s="94" t="n"/>
      <c r="U106" s="94" t="n"/>
      <c r="V106" s="94" t="n"/>
      <c r="W106" s="94" t="n"/>
      <c r="X106" s="94" t="n"/>
      <c r="Y106" s="94" t="n"/>
      <c r="Z106" s="94" t="n"/>
    </row>
    <row r="107" ht="25.5" customHeight="1" s="90">
      <c r="A107" s="97" t="inlineStr">
        <is>
          <t>Total Client Cost</t>
        </is>
      </c>
      <c r="B107" s="166">
        <f>F104</f>
        <v/>
      </c>
      <c r="C107" s="99" t="n"/>
      <c r="D107" s="99" t="n"/>
      <c r="E107" s="99" t="n"/>
      <c r="F107" s="99" t="n"/>
      <c r="G107" s="99" t="n"/>
      <c r="H107" s="99" t="n"/>
      <c r="I107" s="94" t="n"/>
      <c r="J107" s="94" t="n"/>
      <c r="K107" s="94" t="n"/>
      <c r="L107" s="94" t="n"/>
      <c r="M107" s="94" t="n"/>
      <c r="N107" s="94" t="n"/>
      <c r="O107" s="94" t="n"/>
      <c r="P107" s="94" t="n"/>
      <c r="Q107" s="94" t="n"/>
      <c r="R107" s="94" t="n"/>
      <c r="S107" s="94" t="n"/>
      <c r="T107" s="94" t="n"/>
      <c r="U107" s="94" t="n"/>
      <c r="V107" s="94" t="n"/>
      <c r="W107" s="94" t="n"/>
      <c r="X107" s="94" t="n"/>
      <c r="Y107" s="94" t="n"/>
      <c r="Z107" s="94" t="n"/>
    </row>
    <row r="108" ht="25.5" customHeight="1" s="90">
      <c r="A108" s="94" t="n"/>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c r="U108" s="94" t="n"/>
      <c r="V108" s="94" t="n"/>
      <c r="W108" s="94" t="n"/>
      <c r="X108" s="94" t="n"/>
      <c r="Y108" s="94" t="n"/>
      <c r="Z108" s="94" t="n"/>
    </row>
    <row r="109" ht="25.5" customHeight="1" s="90"/>
    <row r="110" ht="25.5" customHeight="1" s="90">
      <c r="A110" s="206" t="inlineStr">
        <is>
          <t>QC TRAVEL EXPENSES</t>
        </is>
      </c>
      <c r="B110" s="206" t="n"/>
      <c r="C110" s="206" t="n"/>
      <c r="D110" s="206" t="n"/>
    </row>
    <row r="111" ht="30" customHeight="1" s="90">
      <c r="A111" s="204" t="inlineStr"/>
      <c r="B111" s="204" t="inlineStr">
        <is>
          <t>Trip 1</t>
        </is>
      </c>
      <c r="C111" s="204" t="inlineStr">
        <is>
          <t>Trip 2</t>
        </is>
      </c>
      <c r="D111" s="204" t="inlineStr">
        <is>
          <t>Trip 3</t>
        </is>
      </c>
    </row>
    <row r="112" ht="15.75" customHeight="1" s="90">
      <c r="A112" s="114" t="inlineStr">
        <is>
          <t>Trip Label</t>
        </is>
      </c>
      <c r="B112" s="104" t="n"/>
      <c r="C112" s="104" t="n"/>
      <c r="D112" s="104" t="n"/>
    </row>
    <row r="113" ht="15.75" customHeight="1" s="90">
      <c r="A113" s="114" t="inlineStr">
        <is>
          <t>Destination</t>
        </is>
      </c>
      <c r="B113" s="104" t="n"/>
      <c r="C113" s="104" t="n"/>
      <c r="D113" s="104" t="n"/>
    </row>
    <row r="114" ht="15.75" customHeight="1" s="90">
      <c r="A114" s="114" t="inlineStr">
        <is>
          <t>Travel Type</t>
        </is>
      </c>
      <c r="B114" s="207">
        <f>IF(B113&lt;&gt;"",VLOOKUP(B113,TravelRates,2,FALSE),"")</f>
        <v/>
      </c>
      <c r="C114" s="207">
        <f>IF(C113&lt;&gt;"",VLOOKUP(C113,TravelRates,2,FALSE),"")</f>
        <v/>
      </c>
      <c r="D114" s="207">
        <f>IF(D113&lt;&gt;"",VLOOKUP(D113,TravelRates,2,FALSE),"")</f>
        <v/>
      </c>
    </row>
    <row r="115" ht="15.75" customHeight="1" s="90">
      <c r="A115" s="114" t="inlineStr">
        <is>
          <t>Staff Traveling</t>
        </is>
      </c>
      <c r="B115" s="104" t="n"/>
      <c r="C115" s="104" t="n"/>
      <c r="D115" s="104" t="n"/>
    </row>
    <row r="116" ht="15.75" customHeight="1" s="90">
      <c r="A116" s="114" t="inlineStr">
        <is>
          <t>Nights</t>
        </is>
      </c>
      <c r="B116" s="104" t="n"/>
      <c r="C116" s="104" t="n"/>
      <c r="D116" s="104" t="n"/>
    </row>
    <row r="117" ht="15.75" customHeight="1" s="90">
      <c r="A117" s="114" t="inlineStr">
        <is>
          <t>On-Site Vehicle</t>
        </is>
      </c>
      <c r="B117" s="104" t="n"/>
      <c r="C117" s="104" t="n"/>
      <c r="D117" s="104" t="n"/>
    </row>
    <row r="118" ht="15.75" customHeight="1" s="90">
      <c r="A118" s="114" t="inlineStr">
        <is>
          <t>Custom Vehicle Cost</t>
        </is>
      </c>
      <c r="B118" s="205" t="n"/>
      <c r="C118" s="205" t="n"/>
      <c r="D118" s="205" t="n"/>
    </row>
    <row r="119" ht="15.75" customHeight="1" s="90"/>
    <row r="120" ht="15.75" customHeight="1" s="90">
      <c r="A120" s="114" t="inlineStr">
        <is>
          <t>Travel Cost</t>
        </is>
      </c>
      <c r="B120" s="208">
        <f>IF(OR(B113="",B115=""),0,IF(B114="Flight",VLOOKUP(B113,TravelRates,4,FALSE)*B115,IF(B114="Drive",VLOOKUP(B113,TravelRates,3,FALSE),0)))</f>
        <v/>
      </c>
      <c r="C120" s="208">
        <f>IF(OR(C113="",C115=""),0,IF(C114="Flight",VLOOKUP(C113,TravelRates,4,FALSE)*C115,IF(C114="Drive",VLOOKUP(C113,TravelRates,3,FALSE),0)))</f>
        <v/>
      </c>
      <c r="D120" s="208">
        <f>IF(OR(D113="",D115=""),0,IF(D114="Flight",VLOOKUP(D113,TravelRates,4,FALSE)*D115,IF(D114="Drive",VLOOKUP(D113,TravelRates,3,FALSE),0)))</f>
        <v/>
      </c>
    </row>
    <row r="121" ht="15.75" customHeight="1" s="90">
      <c r="A121" s="114" t="inlineStr">
        <is>
          <t>Hotel Cost</t>
        </is>
      </c>
      <c r="B121" s="208">
        <f>IF(OR(B113="",B115="",B116=""),0,VLOOKUP(B113,TravelRates,5,FALSE)*B116*B115)</f>
        <v/>
      </c>
      <c r="C121" s="208">
        <f>IF(OR(C113="",C115="",C116=""),0,VLOOKUP(C113,TravelRates,5,FALSE)*C116*C115)</f>
        <v/>
      </c>
      <c r="D121" s="208">
        <f>IF(OR(D113="",D115="",D116=""),0,VLOOKUP(D113,TravelRates,5,FALSE)*D116*D115)</f>
        <v/>
      </c>
    </row>
    <row r="122" ht="15.75" customHeight="1" s="90">
      <c r="A122" s="114" t="inlineStr">
        <is>
          <t>Per Diem Cost</t>
        </is>
      </c>
      <c r="B122" s="208">
        <f>IF(OR(B113="",B115=""),0,VLOOKUP(B113,TravelRates,6,FALSE)*(B116+1)*B115)</f>
        <v/>
      </c>
      <c r="C122" s="208">
        <f>IF(OR(C113="",C115=""),0,VLOOKUP(C113,TravelRates,6,FALSE)*(C116+1)*C115)</f>
        <v/>
      </c>
      <c r="D122" s="208">
        <f>IF(OR(D113="",D115=""),0,VLOOKUP(D113,TravelRates,6,FALSE)*(D116+1)*D115)</f>
        <v/>
      </c>
    </row>
    <row r="123" ht="15.75" customHeight="1" s="90">
      <c r="A123" s="114" t="inlineStr">
        <is>
          <t>Vehicle Cost</t>
        </is>
      </c>
      <c r="B123" s="208">
        <f>IF(OR(B117="",B117="None"),0,IF(B117="Custom",IF(ISNUMBER(B118),B118,0),IFERROR(VLOOKUP(B117,VehicleRates,2,FALSE),0)))</f>
        <v/>
      </c>
      <c r="C123" s="208">
        <f>IF(OR(C117="",C117="None"),0,IF(C117="Custom",IF(ISNUMBER(C118),C118,0),IFERROR(VLOOKUP(C117,VehicleRates,2,FALSE),0)))</f>
        <v/>
      </c>
      <c r="D123" s="208">
        <f>IF(OR(D117="",D117="None"),0,IF(D117="Custom",IF(ISNUMBER(D118),D118,0),IFERROR(VLOOKUP(D117,VehicleRates,2,FALSE),0)))</f>
        <v/>
      </c>
    </row>
    <row r="124" ht="15.75" customHeight="1" s="90">
      <c r="A124" s="209" t="inlineStr">
        <is>
          <t>Trip Total</t>
        </is>
      </c>
      <c r="B124" s="210">
        <f>B120+B121+B122+B123</f>
        <v/>
      </c>
      <c r="C124" s="210">
        <f>C120+C121+C122+C123</f>
        <v/>
      </c>
      <c r="D124" s="210">
        <f>D120+D121+D122+D123</f>
        <v/>
      </c>
    </row>
    <row r="125" ht="15.75" customHeight="1" s="90"/>
    <row r="126" ht="15.75" customHeight="1" s="90">
      <c r="A126" s="117" t="inlineStr">
        <is>
          <t>Total Travel Expenses</t>
        </is>
      </c>
      <c r="B126" s="118" t="n"/>
      <c r="C126" s="118" t="n"/>
      <c r="D126" s="211">
        <f>B124+C124+D124</f>
        <v/>
      </c>
    </row>
    <row r="127" ht="15.75" customHeight="1" s="90">
      <c r="A127" s="212" t="inlineStr">
        <is>
          <t>PROFIT &amp; MARGIN</t>
        </is>
      </c>
      <c r="B127" s="206" t="n"/>
      <c r="C127" s="206" t="n"/>
      <c r="D127" s="206" t="n"/>
      <c r="E127" s="206" t="n"/>
      <c r="I127" s="94" t="n"/>
      <c r="J127" s="94" t="n"/>
      <c r="K127" s="94" t="n"/>
      <c r="L127" s="94" t="n"/>
      <c r="M127" s="94" t="n"/>
      <c r="N127" s="94" t="n"/>
      <c r="O127" s="94" t="n"/>
      <c r="P127" s="94" t="n"/>
      <c r="Q127" s="94" t="n"/>
      <c r="R127" s="94" t="n"/>
      <c r="S127" s="94" t="n"/>
      <c r="T127" s="94" t="n"/>
      <c r="U127" s="94" t="n"/>
      <c r="V127" s="94" t="n"/>
      <c r="W127" s="94" t="n"/>
      <c r="X127" s="94" t="n"/>
      <c r="Y127" s="94" t="n"/>
      <c r="Z127" s="94" t="n"/>
    </row>
    <row r="128" ht="15.75" customHeight="1" s="90">
      <c r="A128" s="213" t="inlineStr">
        <is>
          <t>Third-Party Commission</t>
        </is>
      </c>
      <c r="B128" s="191" t="n"/>
      <c r="C128" s="214">
        <f>'Client Setup'!C36</f>
        <v/>
      </c>
      <c r="D128" s="215">
        <f>F104*C128</f>
        <v/>
      </c>
      <c r="E128" s="191" t="n"/>
      <c r="F128" s="191" t="n"/>
      <c r="G128" s="191" t="n"/>
      <c r="H128" s="191" t="n"/>
      <c r="I128" s="94" t="n"/>
      <c r="J128" s="94" t="n"/>
      <c r="K128" s="94" t="n"/>
      <c r="L128" s="94" t="n"/>
      <c r="M128" s="94" t="n"/>
      <c r="N128" s="94" t="n"/>
      <c r="O128" s="94" t="n"/>
      <c r="P128" s="94" t="n"/>
      <c r="Q128" s="94" t="n"/>
      <c r="R128" s="94" t="n"/>
      <c r="S128" s="94" t="n"/>
      <c r="T128" s="94" t="n"/>
      <c r="U128" s="94" t="n"/>
      <c r="V128" s="94" t="n"/>
      <c r="W128" s="94" t="n"/>
      <c r="X128" s="94" t="n"/>
      <c r="Y128" s="94" t="n"/>
      <c r="Z128" s="94" t="n"/>
    </row>
    <row r="129" ht="15.75" customHeight="1" s="90">
      <c r="A129" s="213" t="inlineStr">
        <is>
          <t>Global DMC Fee (6.5%)</t>
        </is>
      </c>
      <c r="B129" s="191" t="n"/>
      <c r="C129" s="169">
        <f>IF('Client Setup'!C37="Yes",0.065,0)</f>
        <v/>
      </c>
      <c r="D129" s="215">
        <f>IF('Client Setup'!C37="Yes",F104*0.065,0)</f>
        <v/>
      </c>
      <c r="E129" s="191" t="n"/>
      <c r="F129" s="191" t="n"/>
      <c r="G129" s="191" t="n"/>
      <c r="H129" s="191" t="n"/>
      <c r="I129" s="94" t="n"/>
      <c r="J129" s="94" t="n"/>
      <c r="K129" s="94" t="n"/>
      <c r="L129" s="94" t="n"/>
      <c r="M129" s="94" t="n"/>
      <c r="N129" s="94" t="n"/>
      <c r="O129" s="94" t="n"/>
      <c r="P129" s="94" t="n"/>
      <c r="Q129" s="94" t="n"/>
      <c r="R129" s="94" t="n"/>
      <c r="S129" s="94" t="n"/>
      <c r="T129" s="94" t="n"/>
      <c r="U129" s="94" t="n"/>
      <c r="V129" s="94" t="n"/>
      <c r="W129" s="94" t="n"/>
      <c r="X129" s="94" t="n"/>
      <c r="Y129" s="94" t="n"/>
      <c r="Z129" s="94" t="n"/>
    </row>
    <row r="130" ht="15.75" customHeight="1" s="90">
      <c r="A130" s="213" t="inlineStr">
        <is>
          <t>Total Vendor Costs (incl. CC fee)</t>
        </is>
      </c>
      <c r="B130" s="191" t="n"/>
      <c r="C130" s="191" t="n"/>
      <c r="D130" s="215">
        <f>E99+E100+E101+E102</f>
        <v/>
      </c>
      <c r="E130" s="191" t="n"/>
      <c r="F130" s="191" t="n"/>
      <c r="G130" s="191" t="n"/>
      <c r="H130" s="191" t="n"/>
      <c r="I130" s="94" t="n"/>
      <c r="J130" s="94" t="n"/>
      <c r="K130" s="94" t="n"/>
      <c r="L130" s="94" t="n"/>
      <c r="M130" s="94" t="n"/>
      <c r="N130" s="94" t="n"/>
      <c r="O130" s="94" t="n"/>
      <c r="P130" s="94" t="n"/>
      <c r="Q130" s="94" t="n"/>
      <c r="R130" s="94" t="n"/>
      <c r="S130" s="94" t="n"/>
      <c r="T130" s="94" t="n"/>
      <c r="U130" s="94" t="n"/>
      <c r="V130" s="94" t="n"/>
      <c r="W130" s="94" t="n"/>
      <c r="X130" s="94" t="n"/>
      <c r="Y130" s="94" t="n"/>
      <c r="Z130" s="94" t="n"/>
    </row>
    <row r="131" ht="15.75" customHeight="1" s="90">
      <c r="A131" s="216" t="inlineStr">
        <is>
          <t>QC Revenue</t>
        </is>
      </c>
      <c r="B131" s="191" t="n"/>
      <c r="C131" s="191" t="n"/>
      <c r="D131" s="215">
        <f>IFERROR(F104-D128-D129-D130,0)</f>
        <v/>
      </c>
      <c r="E131" s="191" t="n"/>
      <c r="F131" s="191" t="n"/>
      <c r="G131" s="191" t="n"/>
      <c r="H131" s="191" t="n"/>
      <c r="I131" s="94" t="n"/>
      <c r="J131" s="94" t="n"/>
      <c r="K131" s="94" t="n"/>
      <c r="L131" s="94" t="n"/>
      <c r="M131" s="94" t="n"/>
      <c r="N131" s="94" t="n"/>
      <c r="O131" s="94" t="n"/>
      <c r="P131" s="94" t="n"/>
      <c r="Q131" s="94" t="n"/>
      <c r="R131" s="94" t="n"/>
      <c r="S131" s="94" t="n"/>
      <c r="T131" s="94" t="n"/>
      <c r="U131" s="94" t="n"/>
      <c r="V131" s="94" t="n"/>
      <c r="W131" s="94" t="n"/>
      <c r="X131" s="94" t="n"/>
      <c r="Y131" s="94" t="n"/>
      <c r="Z131" s="94" t="n"/>
    </row>
    <row r="132" ht="15.75" customHeight="1" s="90">
      <c r="A132" s="217" t="inlineStr">
        <is>
          <t>QC Margin %</t>
        </is>
      </c>
      <c r="B132" s="194" t="n"/>
      <c r="C132" s="194" t="n"/>
      <c r="D132" s="218">
        <f>IFERROR(IF(F104&gt;0,D131/F104,0),0)</f>
        <v/>
      </c>
      <c r="E132" s="194" t="n"/>
      <c r="F132" s="194" t="n"/>
      <c r="G132" s="194" t="n"/>
      <c r="H132" s="194" t="n"/>
      <c r="I132" s="94" t="n"/>
      <c r="J132" s="94" t="n"/>
      <c r="K132" s="94" t="n"/>
      <c r="L132" s="94" t="n"/>
      <c r="M132" s="94" t="n"/>
      <c r="N132" s="94" t="n"/>
      <c r="O132" s="94" t="n"/>
      <c r="P132" s="94" t="n"/>
      <c r="Q132" s="94" t="n"/>
      <c r="R132" s="94" t="n"/>
      <c r="S132" s="94" t="n"/>
      <c r="T132" s="94" t="n"/>
      <c r="U132" s="94" t="n"/>
      <c r="V132" s="94" t="n"/>
      <c r="W132" s="94" t="n"/>
      <c r="X132" s="94" t="n"/>
      <c r="Y132" s="94" t="n"/>
      <c r="Z132" s="94" t="n"/>
    </row>
    <row r="133" ht="15.75" customHeight="1" s="90">
      <c r="A133" s="103" t="inlineStr">
        <is>
          <t>Margin Health</t>
        </is>
      </c>
      <c r="B133" s="178" t="n"/>
      <c r="C133" s="178" t="n"/>
      <c r="D133" s="207">
        <f>IF(D132&gt;=0.45,"✓ STRONG",IF(D132&gt;=0.35,"→ ON TARGET",IF(D132&gt;=0.25,"⚠ REVIEW","✗ BELOW FLOOR")))</f>
        <v/>
      </c>
      <c r="E133" s="178" t="n"/>
      <c r="F133" s="178" t="n"/>
      <c r="G133" s="178" t="n"/>
      <c r="H133" s="178" t="n"/>
      <c r="I133" s="178" t="n"/>
      <c r="J133" s="94" t="n"/>
      <c r="K133" s="94" t="n"/>
      <c r="L133" s="94" t="n"/>
      <c r="M133" s="94" t="n"/>
      <c r="N133" s="94" t="n"/>
      <c r="O133" s="94" t="n"/>
      <c r="P133" s="94" t="n"/>
      <c r="Q133" s="94" t="n"/>
      <c r="R133" s="94" t="n"/>
      <c r="S133" s="94" t="n"/>
      <c r="T133" s="94" t="n"/>
      <c r="U133" s="94" t="n"/>
      <c r="V133" s="94" t="n"/>
      <c r="W133" s="94" t="n"/>
      <c r="X133" s="94" t="n"/>
      <c r="Y133" s="94" t="n"/>
      <c r="Z133" s="94" t="n"/>
    </row>
    <row r="134" ht="15.75" customHeight="1" s="90">
      <c r="A134" s="94" t="n"/>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c r="U134" s="94" t="n"/>
      <c r="V134" s="94" t="n"/>
      <c r="W134" s="94" t="n"/>
      <c r="X134" s="94" t="n"/>
      <c r="Y134" s="94" t="n"/>
      <c r="Z134" s="94" t="n"/>
    </row>
    <row r="135" ht="15.75" customHeight="1" s="90">
      <c r="A135" s="114" t="inlineStr">
        <is>
          <t>Estimated Team Hours</t>
        </is>
      </c>
      <c r="B135" s="178" t="n"/>
      <c r="C135" s="175" t="n"/>
      <c r="D135" s="208">
        <f>IF(ISNUMBER(C135),C135*90,0)</f>
        <v/>
      </c>
      <c r="E135" s="172" t="inlineStr">
        <is>
          <t>Hours × $90/hr</t>
        </is>
      </c>
      <c r="F135" s="178" t="n"/>
      <c r="G135" s="178" t="n"/>
      <c r="H135" s="178" t="n"/>
      <c r="I135" s="178" t="n"/>
      <c r="J135" s="94" t="n"/>
      <c r="K135" s="94" t="n"/>
      <c r="L135" s="94" t="n"/>
      <c r="M135" s="94" t="n"/>
      <c r="N135" s="94" t="n"/>
      <c r="O135" s="94" t="n"/>
      <c r="P135" s="94" t="n"/>
      <c r="Q135" s="94" t="n"/>
      <c r="R135" s="94" t="n"/>
      <c r="S135" s="94" t="n"/>
      <c r="T135" s="94" t="n"/>
      <c r="U135" s="94" t="n"/>
      <c r="V135" s="94" t="n"/>
      <c r="W135" s="94" t="n"/>
      <c r="X135" s="94" t="n"/>
      <c r="Y135" s="94" t="n"/>
      <c r="Z135" s="94" t="n"/>
    </row>
    <row r="136" ht="15.75" customHeight="1" s="90">
      <c r="A136" s="103" t="inlineStr">
        <is>
          <t>True Net Profit</t>
        </is>
      </c>
      <c r="B136" s="178" t="n"/>
      <c r="C136" s="178" t="n"/>
      <c r="D136" s="208">
        <f>D131-D135-D126</f>
        <v/>
      </c>
      <c r="E136" s="178" t="n"/>
      <c r="F136" s="178" t="n"/>
      <c r="G136" s="178" t="n"/>
      <c r="H136" s="178" t="n"/>
      <c r="I136" s="178" t="n"/>
      <c r="J136" s="94" t="n"/>
      <c r="K136" s="94" t="n"/>
      <c r="L136" s="94" t="n"/>
      <c r="M136" s="94" t="n"/>
      <c r="N136" s="94" t="n"/>
      <c r="O136" s="94" t="n"/>
      <c r="P136" s="94" t="n"/>
      <c r="Q136" s="94" t="n"/>
      <c r="R136" s="94" t="n"/>
      <c r="S136" s="94" t="n"/>
      <c r="T136" s="94" t="n"/>
      <c r="U136" s="94" t="n"/>
      <c r="V136" s="94" t="n"/>
      <c r="W136" s="94" t="n"/>
      <c r="X136" s="94" t="n"/>
      <c r="Y136" s="94" t="n"/>
      <c r="Z136" s="94" t="n"/>
    </row>
    <row r="137" ht="15.75" customHeight="1" s="90">
      <c r="A137" s="114" t="inlineStr">
        <is>
          <t>True Net Margin %</t>
        </is>
      </c>
      <c r="B137" s="180" t="n"/>
      <c r="C137" s="180" t="n"/>
      <c r="D137" s="219">
        <f>IFERROR(IF(F104&gt;0,D136/F104,0),0)</f>
        <v/>
      </c>
      <c r="E137" s="180" t="n"/>
      <c r="F137" s="180" t="n"/>
      <c r="G137" s="180" t="n"/>
      <c r="H137" s="180" t="n"/>
      <c r="I137" s="180" t="n"/>
      <c r="J137" s="94" t="n"/>
      <c r="K137" s="94" t="n"/>
      <c r="L137" s="94" t="n"/>
      <c r="M137" s="94" t="n"/>
      <c r="N137" s="94" t="n"/>
      <c r="O137" s="94" t="n"/>
      <c r="P137" s="94" t="n"/>
      <c r="Q137" s="94" t="n"/>
      <c r="R137" s="94" t="n"/>
      <c r="S137" s="94" t="n"/>
      <c r="T137" s="94" t="n"/>
      <c r="U137" s="94" t="n"/>
      <c r="V137" s="94" t="n"/>
      <c r="W137" s="94" t="n"/>
      <c r="X137" s="94" t="n"/>
      <c r="Y137" s="94" t="n"/>
      <c r="Z137" s="94" t="n"/>
    </row>
    <row r="138" ht="15.75" customHeight="1" s="90">
      <c r="A138" s="103" t="inlineStr">
        <is>
          <t>True Net Health</t>
        </is>
      </c>
      <c r="B138" s="178" t="n"/>
      <c r="C138" s="178" t="n"/>
      <c r="D138" s="207">
        <f>IF(D137&gt;=0.15,"✓ STRONG",IF(D137&gt;=0.07,"→ ON TARGET",IF(D137&gt;=0,"⚠ THIN","✗ LOSING MONEY")))</f>
        <v/>
      </c>
      <c r="E138" s="178" t="n"/>
      <c r="F138" s="178" t="n"/>
      <c r="G138" s="178" t="n"/>
      <c r="H138" s="178" t="n"/>
      <c r="I138" s="178" t="n"/>
      <c r="J138" s="94" t="n"/>
      <c r="K138" s="94" t="n"/>
      <c r="L138" s="94" t="n"/>
      <c r="M138" s="94" t="n"/>
      <c r="N138" s="94" t="n"/>
      <c r="O138" s="94" t="n"/>
      <c r="P138" s="94" t="n"/>
      <c r="Q138" s="94" t="n"/>
      <c r="R138" s="94" t="n"/>
      <c r="S138" s="94" t="n"/>
      <c r="T138" s="94" t="n"/>
      <c r="U138" s="94" t="n"/>
      <c r="V138" s="94" t="n"/>
      <c r="W138" s="94" t="n"/>
      <c r="X138" s="94" t="n"/>
      <c r="Y138" s="94" t="n"/>
      <c r="Z138" s="94" t="n"/>
    </row>
    <row r="139" ht="15.75" customHeight="1" s="90">
      <c r="A139" s="94" t="n"/>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c r="U139" s="94" t="n"/>
      <c r="V139" s="94" t="n"/>
      <c r="W139" s="94" t="n"/>
      <c r="X139" s="94" t="n"/>
      <c r="Y139" s="94" t="n"/>
      <c r="Z139" s="94" t="n"/>
    </row>
    <row r="140" ht="15.75" customHeight="1" s="90">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94" t="n"/>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94" t="n"/>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94" t="n"/>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94" t="n"/>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94" t="n"/>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94" t="n"/>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94" t="n"/>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94" t="n"/>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94" t="n"/>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94" t="n"/>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94" t="n"/>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94" t="n"/>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94" t="n"/>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94" t="n"/>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94" t="n"/>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94" t="n"/>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94" t="n"/>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94" t="n"/>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94" t="n"/>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94" t="n"/>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94" t="n"/>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94" t="n"/>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94" t="n"/>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94" t="n"/>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94" t="n"/>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94" t="n"/>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94" t="n"/>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94" t="n"/>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94" t="n"/>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94" t="n"/>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94" t="n"/>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94" t="n"/>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94" t="n"/>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94" t="n"/>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94" t="n"/>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94" t="n"/>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94" t="n"/>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94" t="n"/>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94" t="n"/>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94" t="n"/>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94" t="n"/>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94" t="n"/>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94" t="n"/>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94" t="n"/>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94" t="n"/>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94" t="n"/>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94" t="n"/>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94" t="n"/>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94" t="n"/>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94" t="n"/>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94" t="n"/>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94" t="n"/>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94" t="n"/>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94" t="n"/>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94" t="n"/>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94" t="n"/>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94" t="n"/>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94" t="n"/>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94" t="n"/>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94" t="n"/>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94" t="n"/>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94" t="n"/>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94" t="n"/>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94" t="n"/>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94" t="n"/>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94" t="n"/>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94" t="n"/>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94" t="n"/>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94" t="n"/>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94" t="n"/>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94" t="n"/>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94" t="n"/>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94" t="n"/>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94" t="n"/>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94" t="n"/>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94" t="n"/>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94" t="n"/>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94" t="n"/>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94" t="n"/>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94" t="n"/>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94" t="n"/>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94" t="n"/>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94" t="n"/>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94" t="n"/>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94" t="n"/>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94" t="n"/>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94" t="n"/>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94" t="n"/>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94" t="n"/>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94" t="n"/>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94" t="n"/>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94" t="n"/>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94" t="n"/>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94" t="n"/>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94" t="n"/>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94" t="n"/>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94" t="n"/>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94" t="n"/>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94" t="n"/>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94" t="n"/>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94" t="n"/>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94" t="n"/>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94" t="n"/>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94" t="n"/>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94" t="n"/>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94" t="n"/>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94" t="n"/>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94" t="n"/>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94" t="n"/>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94" t="n"/>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94" t="n"/>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94" t="n"/>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94" t="n"/>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94" t="n"/>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94" t="n"/>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94" t="n"/>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94" t="n"/>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94" t="n"/>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94" t="n"/>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94" t="n"/>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94" t="n"/>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94" t="n"/>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94" t="n"/>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94" t="n"/>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94" t="n"/>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94" t="n"/>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94" t="n"/>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94" t="n"/>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94" t="n"/>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94" t="n"/>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94" t="n"/>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94" t="n"/>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94" t="n"/>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94" t="n"/>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94" t="n"/>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94" t="n"/>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94" t="n"/>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94" t="n"/>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94" t="n"/>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94" t="n"/>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94" t="n"/>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94" t="n"/>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94" t="n"/>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94" t="n"/>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94" t="n"/>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94" t="n"/>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94" t="n"/>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94" t="n"/>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94" t="n"/>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94" t="n"/>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94" t="n"/>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94" t="n"/>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94" t="n"/>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94" t="n"/>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94" t="n"/>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94" t="n"/>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94" t="n"/>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94" t="n"/>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94" t="n"/>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94" t="n"/>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94" t="n"/>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94" t="n"/>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94" t="n"/>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94" t="n"/>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94" t="n"/>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94" t="n"/>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94" t="n"/>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94" t="n"/>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94" t="n"/>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94" t="n"/>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94" t="n"/>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94" t="n"/>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94" t="n"/>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94" t="n"/>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94" t="n"/>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94" t="n"/>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94" t="n"/>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94" t="n"/>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94" t="n"/>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94" t="n"/>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94" t="n"/>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94" t="n"/>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94" t="n"/>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94" t="n"/>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94" t="n"/>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94" t="n"/>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94" t="n"/>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94" t="n"/>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94" t="n"/>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94" t="n"/>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94" t="n"/>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94" t="n"/>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94" t="n"/>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94" t="n"/>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94" t="n"/>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94" t="n"/>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94" t="n"/>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94" t="n"/>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94" t="n"/>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94" t="n"/>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94" t="n"/>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94" t="n"/>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94" t="n"/>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94" t="n"/>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94" t="n"/>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94" t="n"/>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94" t="n"/>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94" t="n"/>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94" t="n"/>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94" t="n"/>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94" t="n"/>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94" t="n"/>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94" t="n"/>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94" t="n"/>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94" t="n"/>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94" t="n"/>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94" t="n"/>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94" t="n"/>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94" t="n"/>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94" t="n"/>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94" t="n"/>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94" t="n"/>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94" t="n"/>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94" t="n"/>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94" t="n"/>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94" t="n"/>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94" t="n"/>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94" t="n"/>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94" t="n"/>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94" t="n"/>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94" t="n"/>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94" t="n"/>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94" t="n"/>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94" t="n"/>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94" t="n"/>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94" t="n"/>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94" t="n"/>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94" t="n"/>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94" t="n"/>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94" t="n"/>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94" t="n"/>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94" t="n"/>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94" t="n"/>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94" t="n"/>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94" t="n"/>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94" t="n"/>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94" t="n"/>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94" t="n"/>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94" t="n"/>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94" t="n"/>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94" t="n"/>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94" t="n"/>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94" t="n"/>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94" t="n"/>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94" t="n"/>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94" t="n"/>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94" t="n"/>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94" t="n"/>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94" t="n"/>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94" t="n"/>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94" t="n"/>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94" t="n"/>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94" t="n"/>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94" t="n"/>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94" t="n"/>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94" t="n"/>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94" t="n"/>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94" t="n"/>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94" t="n"/>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94" t="n"/>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94" t="n"/>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94" t="n"/>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94" t="n"/>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94" t="n"/>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94" t="n"/>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94" t="n"/>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94" t="n"/>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94" t="n"/>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94" t="n"/>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94" t="n"/>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94" t="n"/>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94" t="n"/>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94" t="n"/>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94" t="n"/>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94" t="n"/>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94" t="n"/>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94" t="n"/>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94" t="n"/>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94" t="n"/>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94" t="n"/>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94" t="n"/>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94" t="n"/>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94" t="n"/>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94" t="n"/>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94" t="n"/>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94" t="n"/>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94" t="n"/>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94" t="n"/>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94" t="n"/>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94" t="n"/>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94" t="n"/>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94" t="n"/>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94" t="n"/>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94" t="n"/>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94" t="n"/>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94" t="n"/>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94" t="n"/>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94" t="n"/>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94" t="n"/>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94" t="n"/>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94" t="n"/>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94" t="n"/>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94" t="n"/>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94" t="n"/>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94" t="n"/>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94" t="n"/>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94" t="n"/>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94" t="n"/>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94" t="n"/>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94" t="n"/>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94" t="n"/>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94" t="n"/>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94" t="n"/>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94" t="n"/>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94" t="n"/>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94" t="n"/>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94" t="n"/>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94" t="n"/>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94" t="n"/>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94" t="n"/>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94" t="n"/>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94" t="n"/>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94" t="n"/>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94" t="n"/>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94" t="n"/>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94" t="n"/>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94" t="n"/>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94" t="n"/>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94" t="n"/>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94" t="n"/>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94" t="n"/>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94" t="n"/>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94" t="n"/>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94" t="n"/>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94" t="n"/>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94" t="n"/>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94" t="n"/>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94" t="n"/>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94" t="n"/>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94" t="n"/>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94" t="n"/>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94" t="n"/>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94" t="n"/>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94" t="n"/>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94" t="n"/>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94" t="n"/>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94" t="n"/>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94" t="n"/>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94" t="n"/>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94" t="n"/>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94" t="n"/>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94" t="n"/>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94" t="n"/>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94" t="n"/>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94" t="n"/>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94" t="n"/>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94" t="n"/>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94" t="n"/>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94" t="n"/>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94" t="n"/>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94" t="n"/>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94" t="n"/>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94" t="n"/>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94" t="n"/>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94" t="n"/>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94" t="n"/>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94" t="n"/>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94" t="n"/>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94" t="n"/>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94" t="n"/>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94" t="n"/>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94" t="n"/>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94" t="n"/>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94" t="n"/>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94" t="n"/>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94" t="n"/>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94" t="n"/>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94" t="n"/>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94" t="n"/>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94" t="n"/>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94" t="n"/>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94" t="n"/>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94" t="n"/>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94" t="n"/>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94" t="n"/>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94" t="n"/>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94" t="n"/>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94" t="n"/>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94" t="n"/>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94" t="n"/>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94" t="n"/>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94" t="n"/>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94" t="n"/>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94" t="n"/>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94" t="n"/>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94" t="n"/>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94" t="n"/>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94" t="n"/>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94" t="n"/>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94" t="n"/>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94" t="n"/>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94" t="n"/>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94" t="n"/>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94" t="n"/>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94" t="n"/>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94" t="n"/>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94" t="n"/>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94" t="n"/>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94" t="n"/>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94" t="n"/>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94" t="n"/>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94" t="n"/>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94" t="n"/>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94" t="n"/>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94" t="n"/>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94" t="n"/>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94" t="n"/>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94" t="n"/>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94" t="n"/>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94" t="n"/>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94" t="n"/>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94" t="n"/>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94" t="n"/>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94" t="n"/>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94" t="n"/>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94" t="n"/>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94" t="n"/>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94" t="n"/>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94" t="n"/>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94" t="n"/>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94" t="n"/>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94" t="n"/>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94" t="n"/>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94" t="n"/>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94" t="n"/>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94" t="n"/>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94" t="n"/>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94" t="n"/>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94" t="n"/>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94" t="n"/>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94" t="n"/>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94" t="n"/>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94" t="n"/>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94" t="n"/>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94" t="n"/>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94" t="n"/>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94" t="n"/>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94" t="n"/>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94" t="n"/>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94" t="n"/>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94" t="n"/>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94" t="n"/>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94" t="n"/>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94" t="n"/>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94" t="n"/>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94" t="n"/>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94" t="n"/>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94" t="n"/>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94" t="n"/>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94" t="n"/>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94" t="n"/>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94" t="n"/>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94" t="n"/>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94" t="n"/>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94" t="n"/>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94" t="n"/>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94" t="n"/>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94" t="n"/>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94" t="n"/>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94" t="n"/>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94" t="n"/>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94" t="n"/>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94" t="n"/>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94" t="n"/>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94" t="n"/>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94" t="n"/>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94" t="n"/>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94" t="n"/>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94" t="n"/>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94" t="n"/>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94" t="n"/>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94" t="n"/>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94" t="n"/>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94" t="n"/>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94" t="n"/>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94" t="n"/>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94" t="n"/>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94" t="n"/>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94" t="n"/>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94" t="n"/>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94" t="n"/>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94" t="n"/>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94" t="n"/>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94" t="n"/>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94" t="n"/>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94" t="n"/>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94" t="n"/>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94" t="n"/>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94" t="n"/>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94" t="n"/>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94" t="n"/>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94" t="n"/>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94" t="n"/>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94" t="n"/>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94" t="n"/>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94" t="n"/>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94" t="n"/>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94" t="n"/>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94" t="n"/>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94" t="n"/>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94" t="n"/>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94" t="n"/>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94" t="n"/>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94" t="n"/>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94" t="n"/>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94" t="n"/>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94" t="n"/>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94" t="n"/>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94" t="n"/>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94" t="n"/>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94" t="n"/>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94" t="n"/>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94" t="n"/>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94" t="n"/>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94" t="n"/>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94" t="n"/>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94" t="n"/>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94" t="n"/>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94" t="n"/>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94" t="n"/>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94" t="n"/>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94" t="n"/>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94" t="n"/>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94" t="n"/>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94" t="n"/>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94" t="n"/>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94" t="n"/>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94" t="n"/>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94" t="n"/>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94" t="n"/>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94" t="n"/>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94" t="n"/>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94" t="n"/>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94" t="n"/>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94" t="n"/>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94" t="n"/>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94" t="n"/>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94" t="n"/>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94" t="n"/>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94" t="n"/>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94" t="n"/>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94" t="n"/>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94" t="n"/>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94" t="n"/>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94" t="n"/>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94" t="n"/>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94" t="n"/>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94" t="n"/>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94" t="n"/>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94" t="n"/>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94" t="n"/>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94" t="n"/>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94" t="n"/>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94" t="n"/>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94" t="n"/>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94" t="n"/>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94" t="n"/>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94" t="n"/>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94" t="n"/>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94" t="n"/>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94" t="n"/>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94" t="n"/>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94" t="n"/>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94" t="n"/>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94" t="n"/>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94" t="n"/>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94" t="n"/>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94" t="n"/>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94" t="n"/>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94" t="n"/>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94" t="n"/>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94" t="n"/>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94" t="n"/>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94" t="n"/>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94" t="n"/>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94" t="n"/>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94" t="n"/>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94" t="n"/>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94" t="n"/>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94" t="n"/>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94" t="n"/>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94" t="n"/>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94" t="n"/>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94" t="n"/>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94" t="n"/>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94" t="n"/>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94" t="n"/>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94" t="n"/>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94" t="n"/>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94" t="n"/>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94" t="n"/>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94" t="n"/>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94" t="n"/>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94" t="n"/>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94" t="n"/>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94" t="n"/>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94" t="n"/>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94" t="n"/>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94" t="n"/>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94" t="n"/>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94" t="n"/>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94" t="n"/>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94" t="n"/>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94" t="n"/>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94" t="n"/>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94" t="n"/>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94" t="n"/>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94" t="n"/>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94" t="n"/>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94" t="n"/>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94" t="n"/>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94" t="n"/>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94" t="n"/>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94" t="n"/>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94" t="n"/>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94" t="n"/>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94" t="n"/>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94" t="n"/>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94" t="n"/>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94" t="n"/>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94" t="n"/>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94" t="n"/>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94" t="n"/>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94" t="n"/>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94" t="n"/>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94" t="n"/>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94" t="n"/>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94" t="n"/>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94" t="n"/>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94" t="n"/>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94" t="n"/>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94" t="n"/>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94" t="n"/>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94" t="n"/>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94" t="n"/>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94" t="n"/>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94" t="n"/>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94" t="n"/>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94" t="n"/>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94" t="n"/>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94" t="n"/>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94" t="n"/>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94" t="n"/>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94" t="n"/>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94" t="n"/>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94" t="n"/>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94" t="n"/>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94" t="n"/>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94" t="n"/>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94" t="n"/>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94" t="n"/>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94" t="n"/>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94" t="n"/>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94" t="n"/>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94" t="n"/>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94" t="n"/>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94" t="n"/>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94" t="n"/>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94" t="n"/>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94" t="n"/>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94" t="n"/>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94" t="n"/>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94" t="n"/>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94" t="n"/>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94" t="n"/>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94" t="n"/>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94" t="n"/>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94" t="n"/>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94" t="n"/>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94" t="n"/>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94" t="n"/>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94" t="n"/>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94" t="n"/>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94" t="n"/>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94" t="n"/>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94" t="n"/>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94" t="n"/>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94" t="n"/>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94" t="n"/>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94" t="n"/>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94" t="n"/>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94" t="n"/>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94" t="n"/>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94" t="n"/>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94" t="n"/>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94" t="n"/>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94" t="n"/>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94" t="n"/>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94" t="n"/>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94" t="n"/>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94" t="n"/>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94" t="n"/>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94" t="n"/>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94" t="n"/>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94" t="n"/>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94" t="n"/>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94" t="n"/>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94" t="n"/>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94" t="n"/>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94" t="n"/>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94" t="n"/>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94" t="n"/>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94" t="n"/>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94" t="n"/>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94" t="n"/>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94" t="n"/>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94" t="n"/>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94" t="n"/>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94" t="n"/>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94" t="n"/>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94" t="n"/>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94" t="n"/>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94" t="n"/>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94" t="n"/>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94" t="n"/>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94" t="n"/>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94" t="n"/>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94" t="n"/>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94" t="n"/>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94" t="n"/>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94" t="n"/>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94" t="n"/>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94" t="n"/>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94" t="n"/>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94" t="n"/>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94" t="n"/>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94" t="n"/>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94" t="n"/>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94" t="n"/>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94" t="n"/>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94" t="n"/>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94" t="n"/>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94" t="n"/>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94" t="n"/>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94" t="n"/>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94" t="n"/>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94" t="n"/>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94" t="n"/>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94" t="n"/>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94" t="n"/>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94" t="n"/>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94" t="n"/>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94" t="n"/>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94" t="n"/>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94" t="n"/>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94" t="n"/>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94" t="n"/>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94" t="n"/>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94" t="n"/>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94" t="n"/>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94" t="n"/>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94" t="n"/>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94" t="n"/>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94" t="n"/>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94" t="n"/>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94" t="n"/>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94" t="n"/>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94" t="n"/>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94" t="n"/>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94" t="n"/>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94" t="n"/>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94" t="n"/>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94" t="n"/>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94" t="n"/>
      <c r="B975" s="94" t="n"/>
      <c r="C975" s="94" t="n"/>
      <c r="D975" s="94" t="n"/>
      <c r="E975" s="94" t="n"/>
      <c r="F975" s="94" t="n"/>
      <c r="G975" s="94" t="n"/>
      <c r="H975" s="94"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94" t="n"/>
      <c r="B976" s="94" t="n"/>
      <c r="C976" s="94" t="n"/>
      <c r="D976" s="94" t="n"/>
      <c r="E976" s="94" t="n"/>
      <c r="F976" s="94" t="n"/>
      <c r="G976" s="94" t="n"/>
      <c r="H976" s="94"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94" t="n"/>
      <c r="B977" s="94" t="n"/>
      <c r="C977" s="94" t="n"/>
      <c r="D977" s="94" t="n"/>
      <c r="E977" s="94" t="n"/>
      <c r="F977" s="94" t="n"/>
      <c r="G977" s="94" t="n"/>
      <c r="H977" s="94"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94" t="n"/>
      <c r="B978" s="94" t="n"/>
      <c r="C978" s="94" t="n"/>
      <c r="D978" s="94" t="n"/>
      <c r="E978" s="94" t="n"/>
      <c r="F978" s="94" t="n"/>
      <c r="G978" s="94" t="n"/>
      <c r="H978" s="94"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94" t="n"/>
      <c r="B979" s="94" t="n"/>
      <c r="C979" s="94" t="n"/>
      <c r="D979" s="94" t="n"/>
      <c r="E979" s="94" t="n"/>
      <c r="F979" s="94" t="n"/>
      <c r="G979" s="94" t="n"/>
      <c r="H979" s="94"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94" t="n"/>
      <c r="B980" s="94" t="n"/>
      <c r="C980" s="94" t="n"/>
      <c r="D980" s="94" t="n"/>
      <c r="E980" s="94" t="n"/>
      <c r="F980" s="94" t="n"/>
      <c r="G980" s="94" t="n"/>
      <c r="H980" s="94"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94" t="n"/>
      <c r="B981" s="94" t="n"/>
      <c r="C981" s="94" t="n"/>
      <c r="D981" s="94" t="n"/>
      <c r="E981" s="94" t="n"/>
      <c r="F981" s="94" t="n"/>
      <c r="G981" s="94" t="n"/>
      <c r="H981" s="94"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94" t="n"/>
      <c r="B982" s="94" t="n"/>
      <c r="C982" s="94" t="n"/>
      <c r="D982" s="94" t="n"/>
      <c r="E982" s="94" t="n"/>
      <c r="F982" s="94" t="n"/>
      <c r="G982" s="94" t="n"/>
      <c r="H982" s="94"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94" t="n"/>
      <c r="B983" s="94" t="n"/>
      <c r="C983" s="94" t="n"/>
      <c r="D983" s="94" t="n"/>
      <c r="E983" s="94" t="n"/>
      <c r="F983" s="94" t="n"/>
      <c r="G983" s="94" t="n"/>
      <c r="H983" s="94"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94" t="n"/>
      <c r="B984" s="94" t="n"/>
      <c r="C984" s="94" t="n"/>
      <c r="D984" s="94" t="n"/>
      <c r="E984" s="94" t="n"/>
      <c r="F984" s="94" t="n"/>
      <c r="G984" s="94" t="n"/>
      <c r="H984" s="94"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94" t="n"/>
      <c r="B985" s="94" t="n"/>
      <c r="C985" s="94" t="n"/>
      <c r="D985" s="94" t="n"/>
      <c r="E985" s="94" t="n"/>
      <c r="F985" s="94" t="n"/>
      <c r="G985" s="94" t="n"/>
      <c r="H985" s="94"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94" t="n"/>
      <c r="B986" s="94" t="n"/>
      <c r="C986" s="94" t="n"/>
      <c r="D986" s="94" t="n"/>
      <c r="E986" s="94" t="n"/>
      <c r="F986" s="94" t="n"/>
      <c r="G986" s="94" t="n"/>
      <c r="H986" s="94"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94" t="n"/>
      <c r="B987" s="94" t="n"/>
      <c r="C987" s="94" t="n"/>
      <c r="D987" s="94" t="n"/>
      <c r="E987" s="94" t="n"/>
      <c r="F987" s="94" t="n"/>
      <c r="G987" s="94" t="n"/>
      <c r="H987" s="94"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94" t="n"/>
      <c r="B988" s="94" t="n"/>
      <c r="C988" s="94" t="n"/>
      <c r="D988" s="94" t="n"/>
      <c r="E988" s="94" t="n"/>
      <c r="F988" s="94" t="n"/>
      <c r="G988" s="94" t="n"/>
      <c r="H988" s="94"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94" t="n"/>
      <c r="B989" s="94" t="n"/>
      <c r="C989" s="94" t="n"/>
      <c r="D989" s="94" t="n"/>
      <c r="E989" s="94" t="n"/>
      <c r="F989" s="94" t="n"/>
      <c r="G989" s="94" t="n"/>
      <c r="H989" s="94"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94" t="n"/>
      <c r="B990" s="94" t="n"/>
      <c r="C990" s="94" t="n"/>
      <c r="D990" s="94" t="n"/>
      <c r="E990" s="94" t="n"/>
      <c r="F990" s="94" t="n"/>
      <c r="G990" s="94" t="n"/>
      <c r="H990" s="94"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94" t="n"/>
      <c r="B991" s="94" t="n"/>
      <c r="C991" s="94" t="n"/>
      <c r="D991" s="94" t="n"/>
      <c r="E991" s="94" t="n"/>
      <c r="F991" s="94" t="n"/>
      <c r="G991" s="94" t="n"/>
      <c r="H991" s="94"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94" t="n"/>
      <c r="B992" s="94" t="n"/>
      <c r="C992" s="94" t="n"/>
      <c r="D992" s="94" t="n"/>
      <c r="E992" s="94" t="n"/>
      <c r="F992" s="94" t="n"/>
      <c r="G992" s="94" t="n"/>
      <c r="H992" s="94"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94" t="n"/>
      <c r="B993" s="94" t="n"/>
      <c r="C993" s="94" t="n"/>
      <c r="D993" s="94" t="n"/>
      <c r="E993" s="94" t="n"/>
      <c r="F993" s="94" t="n"/>
      <c r="G993" s="94" t="n"/>
      <c r="H993" s="94"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94" t="n"/>
      <c r="B994" s="94" t="n"/>
      <c r="C994" s="94" t="n"/>
      <c r="D994" s="94" t="n"/>
      <c r="E994" s="94" t="n"/>
      <c r="F994" s="94" t="n"/>
      <c r="G994" s="94" t="n"/>
      <c r="H994" s="94"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94" t="n"/>
      <c r="B995" s="94" t="n"/>
      <c r="C995" s="94" t="n"/>
      <c r="D995" s="94" t="n"/>
      <c r="E995" s="94" t="n"/>
      <c r="F995" s="94" t="n"/>
      <c r="G995" s="94" t="n"/>
      <c r="H995" s="94"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94" t="n"/>
      <c r="B996" s="94" t="n"/>
      <c r="C996" s="94" t="n"/>
      <c r="D996" s="94" t="n"/>
      <c r="E996" s="94" t="n"/>
      <c r="F996" s="94" t="n"/>
      <c r="G996" s="94" t="n"/>
      <c r="H996" s="94"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94" t="n"/>
      <c r="B997" s="94" t="n"/>
      <c r="C997" s="94" t="n"/>
      <c r="D997" s="94" t="n"/>
      <c r="E997" s="94" t="n"/>
      <c r="F997" s="94" t="n"/>
      <c r="G997" s="94" t="n"/>
      <c r="H997" s="94"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94" t="n"/>
      <c r="B998" s="94" t="n"/>
      <c r="C998" s="94" t="n"/>
      <c r="D998" s="94" t="n"/>
      <c r="E998" s="94" t="n"/>
      <c r="F998" s="94" t="n"/>
      <c r="G998" s="94" t="n"/>
      <c r="H998" s="94"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94" t="n"/>
      <c r="B999" s="94" t="n"/>
      <c r="C999" s="94" t="n"/>
      <c r="D999" s="94" t="n"/>
      <c r="E999" s="94" t="n"/>
      <c r="F999" s="94" t="n"/>
      <c r="G999" s="94" t="n"/>
      <c r="H999" s="94"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94" t="n"/>
      <c r="B1000" s="94" t="n"/>
      <c r="C1000" s="94" t="n"/>
      <c r="D1000" s="94" t="n"/>
      <c r="E1000" s="94" t="n"/>
      <c r="F1000" s="94" t="n"/>
      <c r="G1000" s="94" t="n"/>
      <c r="H1000" s="94"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94" t="n"/>
      <c r="B1001" s="94" t="n"/>
      <c r="C1001" s="94" t="n"/>
      <c r="D1001" s="94" t="n"/>
      <c r="E1001" s="94" t="n"/>
      <c r="F1001" s="94" t="n"/>
      <c r="G1001" s="94" t="n"/>
      <c r="H1001" s="94"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94" t="n"/>
      <c r="B1002" s="94" t="n"/>
      <c r="C1002" s="94" t="n"/>
      <c r="D1002" s="94" t="n"/>
      <c r="E1002" s="94" t="n"/>
      <c r="F1002" s="94" t="n"/>
      <c r="G1002" s="94" t="n"/>
      <c r="H1002" s="94"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94" t="n"/>
      <c r="B1003" s="94" t="n"/>
      <c r="C1003" s="94" t="n"/>
      <c r="D1003" s="94" t="n"/>
      <c r="E1003" s="94" t="n"/>
      <c r="F1003" s="94" t="n"/>
      <c r="G1003" s="94" t="n"/>
      <c r="H1003" s="94"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94" t="n"/>
      <c r="B1004" s="94" t="n"/>
      <c r="C1004" s="94" t="n"/>
      <c r="D1004" s="94" t="n"/>
      <c r="E1004" s="94" t="n"/>
      <c r="F1004" s="94" t="n"/>
      <c r="G1004" s="94" t="n"/>
      <c r="H1004" s="94"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94" t="n"/>
      <c r="B1005" s="94" t="n"/>
      <c r="C1005" s="94" t="n"/>
      <c r="D1005" s="94" t="n"/>
      <c r="E1005" s="94" t="n"/>
      <c r="F1005" s="94" t="n"/>
      <c r="G1005" s="94" t="n"/>
      <c r="H1005" s="94"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94" t="n"/>
      <c r="B1006" s="94" t="n"/>
      <c r="C1006" s="94" t="n"/>
      <c r="D1006" s="94" t="n"/>
      <c r="E1006" s="94" t="n"/>
      <c r="F1006" s="94" t="n"/>
      <c r="G1006" s="94" t="n"/>
      <c r="H1006" s="94"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94" t="n"/>
      <c r="B1007" s="94" t="n"/>
      <c r="C1007" s="94" t="n"/>
      <c r="D1007" s="94" t="n"/>
      <c r="E1007" s="94" t="n"/>
      <c r="F1007" s="94" t="n"/>
      <c r="G1007" s="94" t="n"/>
      <c r="H1007" s="94"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94" t="n"/>
      <c r="B1008" s="94" t="n"/>
      <c r="C1008" s="94" t="n"/>
      <c r="D1008" s="94" t="n"/>
      <c r="E1008" s="94" t="n"/>
      <c r="F1008" s="94" t="n"/>
      <c r="G1008" s="94" t="n"/>
      <c r="H1008" s="94"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94" t="n"/>
      <c r="B1009" s="94" t="n"/>
      <c r="C1009" s="94" t="n"/>
      <c r="D1009" s="94" t="n"/>
      <c r="E1009" s="94" t="n"/>
      <c r="F1009" s="94" t="n"/>
      <c r="G1009" s="94" t="n"/>
      <c r="H1009" s="94"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94" t="n"/>
      <c r="B1010" s="94" t="n"/>
      <c r="C1010" s="94" t="n"/>
      <c r="D1010" s="94" t="n"/>
      <c r="E1010" s="94" t="n"/>
      <c r="F1010" s="94" t="n"/>
      <c r="G1010" s="94" t="n"/>
      <c r="H1010" s="94"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94" t="n"/>
      <c r="B1011" s="94" t="n"/>
      <c r="C1011" s="94" t="n"/>
      <c r="D1011" s="94" t="n"/>
      <c r="E1011" s="94" t="n"/>
      <c r="F1011" s="94" t="n"/>
      <c r="G1011" s="94" t="n"/>
      <c r="H1011" s="94"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94" t="n"/>
      <c r="B1012" s="94" t="n"/>
      <c r="C1012" s="94" t="n"/>
      <c r="D1012" s="94" t="n"/>
      <c r="E1012" s="94" t="n"/>
      <c r="F1012" s="94" t="n"/>
      <c r="G1012" s="94" t="n"/>
      <c r="H1012" s="94"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94" t="n"/>
      <c r="B1013" s="94" t="n"/>
      <c r="C1013" s="94" t="n"/>
      <c r="D1013" s="94" t="n"/>
      <c r="E1013" s="94" t="n"/>
      <c r="F1013" s="94" t="n"/>
      <c r="G1013" s="94" t="n"/>
      <c r="H1013" s="94"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94" t="n"/>
      <c r="B1014" s="94" t="n"/>
      <c r="C1014" s="94" t="n"/>
      <c r="D1014" s="94" t="n"/>
      <c r="E1014" s="94" t="n"/>
      <c r="F1014" s="94" t="n"/>
      <c r="G1014" s="94" t="n"/>
      <c r="H1014" s="94"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94" t="n"/>
      <c r="B1015" s="94" t="n"/>
      <c r="C1015" s="94" t="n"/>
      <c r="D1015" s="94" t="n"/>
      <c r="E1015" s="94" t="n"/>
      <c r="F1015" s="94" t="n"/>
      <c r="G1015" s="94" t="n"/>
      <c r="H1015" s="94"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row r="1016">
      <c r="A1016" s="94" t="n"/>
      <c r="B1016" s="94" t="n"/>
      <c r="C1016" s="94" t="n"/>
      <c r="D1016" s="94" t="n"/>
      <c r="E1016" s="94" t="n"/>
      <c r="F1016" s="94" t="n"/>
      <c r="G1016" s="94" t="n"/>
      <c r="H1016" s="94" t="n"/>
      <c r="I1016" s="94" t="n"/>
      <c r="J1016" s="94" t="n"/>
      <c r="K1016" s="94" t="n"/>
      <c r="L1016" s="94" t="n"/>
      <c r="M1016" s="94" t="n"/>
      <c r="N1016" s="94" t="n"/>
      <c r="O1016" s="94" t="n"/>
      <c r="P1016" s="94" t="n"/>
      <c r="Q1016" s="94" t="n"/>
      <c r="R1016" s="94" t="n"/>
      <c r="S1016" s="94" t="n"/>
      <c r="T1016" s="94" t="n"/>
      <c r="U1016" s="94" t="n"/>
      <c r="V1016" s="94" t="n"/>
      <c r="W1016" s="94" t="n"/>
      <c r="X1016" s="94" t="n"/>
      <c r="Y1016" s="94" t="n"/>
      <c r="Z1016" s="94" t="n"/>
    </row>
    <row r="1017">
      <c r="A1017" s="94" t="n"/>
      <c r="B1017" s="94" t="n"/>
      <c r="C1017" s="94" t="n"/>
      <c r="D1017" s="94" t="n"/>
      <c r="E1017" s="94" t="n"/>
      <c r="F1017" s="94" t="n"/>
      <c r="G1017" s="94" t="n"/>
      <c r="H1017" s="94" t="n"/>
      <c r="I1017" s="94" t="n"/>
      <c r="J1017" s="94" t="n"/>
      <c r="K1017" s="94" t="n"/>
      <c r="L1017" s="94" t="n"/>
      <c r="M1017" s="94" t="n"/>
      <c r="N1017" s="94" t="n"/>
      <c r="O1017" s="94" t="n"/>
      <c r="P1017" s="94" t="n"/>
      <c r="Q1017" s="94" t="n"/>
      <c r="R1017" s="94" t="n"/>
      <c r="S1017" s="94" t="n"/>
      <c r="T1017" s="94" t="n"/>
      <c r="U1017" s="94" t="n"/>
      <c r="V1017" s="94" t="n"/>
      <c r="W1017" s="94" t="n"/>
      <c r="X1017" s="94" t="n"/>
      <c r="Y1017" s="94" t="n"/>
      <c r="Z1017" s="94" t="n"/>
    </row>
    <row r="1018">
      <c r="A1018" s="94" t="n"/>
      <c r="B1018" s="94" t="n"/>
      <c r="C1018" s="94" t="n"/>
      <c r="D1018" s="94" t="n"/>
      <c r="E1018" s="94" t="n"/>
      <c r="F1018" s="94" t="n"/>
      <c r="G1018" s="94" t="n"/>
      <c r="H1018" s="94" t="n"/>
      <c r="I1018" s="94" t="n"/>
      <c r="J1018" s="94" t="n"/>
      <c r="K1018" s="94" t="n"/>
      <c r="L1018" s="94" t="n"/>
      <c r="M1018" s="94" t="n"/>
      <c r="N1018" s="94" t="n"/>
      <c r="O1018" s="94" t="n"/>
      <c r="P1018" s="94" t="n"/>
      <c r="Q1018" s="94" t="n"/>
      <c r="R1018" s="94" t="n"/>
      <c r="S1018" s="94" t="n"/>
      <c r="T1018" s="94" t="n"/>
      <c r="U1018" s="94" t="n"/>
      <c r="V1018" s="94" t="n"/>
      <c r="W1018" s="94" t="n"/>
      <c r="X1018" s="94" t="n"/>
      <c r="Y1018" s="94" t="n"/>
      <c r="Z1018" s="94" t="n"/>
    </row>
    <row r="1019">
      <c r="A1019" s="94" t="n"/>
      <c r="B1019" s="94" t="n"/>
      <c r="C1019" s="94" t="n"/>
      <c r="D1019" s="94" t="n"/>
      <c r="E1019" s="94" t="n"/>
      <c r="F1019" s="94" t="n"/>
      <c r="G1019" s="94" t="n"/>
      <c r="H1019" s="94" t="n"/>
      <c r="I1019" s="94" t="n"/>
      <c r="J1019" s="94" t="n"/>
      <c r="K1019" s="94" t="n"/>
      <c r="L1019" s="94" t="n"/>
      <c r="M1019" s="94" t="n"/>
      <c r="N1019" s="94" t="n"/>
      <c r="O1019" s="94" t="n"/>
      <c r="P1019" s="94" t="n"/>
      <c r="Q1019" s="94" t="n"/>
      <c r="R1019" s="94" t="n"/>
      <c r="S1019" s="94" t="n"/>
      <c r="T1019" s="94" t="n"/>
      <c r="U1019" s="94" t="n"/>
      <c r="V1019" s="94" t="n"/>
      <c r="W1019" s="94" t="n"/>
      <c r="X1019" s="94" t="n"/>
      <c r="Y1019" s="94" t="n"/>
      <c r="Z1019" s="94" t="n"/>
    </row>
    <row r="1020">
      <c r="A1020" s="94" t="n"/>
      <c r="B1020" s="94" t="n"/>
      <c r="C1020" s="94" t="n"/>
      <c r="D1020" s="94" t="n"/>
      <c r="E1020" s="94" t="n"/>
      <c r="F1020" s="94" t="n"/>
      <c r="G1020" s="94" t="n"/>
      <c r="H1020" s="94" t="n"/>
      <c r="I1020" s="94" t="n"/>
      <c r="J1020" s="94" t="n"/>
      <c r="K1020" s="94" t="n"/>
      <c r="L1020" s="94" t="n"/>
      <c r="M1020" s="94" t="n"/>
      <c r="N1020" s="94" t="n"/>
      <c r="O1020" s="94" t="n"/>
      <c r="P1020" s="94" t="n"/>
      <c r="Q1020" s="94" t="n"/>
      <c r="R1020" s="94" t="n"/>
      <c r="S1020" s="94" t="n"/>
      <c r="T1020" s="94" t="n"/>
      <c r="U1020" s="94" t="n"/>
      <c r="V1020" s="94" t="n"/>
      <c r="W1020" s="94" t="n"/>
      <c r="X1020" s="94" t="n"/>
      <c r="Y1020" s="94" t="n"/>
      <c r="Z1020" s="94" t="n"/>
    </row>
    <row r="1021">
      <c r="A1021" s="94" t="n"/>
      <c r="B1021" s="94" t="n"/>
      <c r="C1021" s="94" t="n"/>
      <c r="D1021" s="94" t="n"/>
      <c r="E1021" s="94" t="n"/>
      <c r="F1021" s="94" t="n"/>
      <c r="G1021" s="94" t="n"/>
      <c r="H1021" s="94" t="n"/>
      <c r="I1021" s="94" t="n"/>
      <c r="J1021" s="94" t="n"/>
      <c r="K1021" s="94" t="n"/>
      <c r="L1021" s="94" t="n"/>
      <c r="M1021" s="94" t="n"/>
      <c r="N1021" s="94" t="n"/>
      <c r="O1021" s="94" t="n"/>
      <c r="P1021" s="94" t="n"/>
      <c r="Q1021" s="94" t="n"/>
      <c r="R1021" s="94" t="n"/>
      <c r="S1021" s="94" t="n"/>
      <c r="T1021" s="94" t="n"/>
      <c r="U1021" s="94" t="n"/>
      <c r="V1021" s="94" t="n"/>
      <c r="W1021" s="94" t="n"/>
      <c r="X1021" s="94" t="n"/>
      <c r="Y1021" s="94" t="n"/>
      <c r="Z1021" s="94" t="n"/>
    </row>
  </sheetData>
  <mergeCells count="14">
    <mergeCell ref="A4:H4"/>
    <mergeCell ref="B6:C6"/>
    <mergeCell ref="J4:K4"/>
    <mergeCell ref="M7:N7"/>
    <mergeCell ref="B7:C7"/>
    <mergeCell ref="J5:K5"/>
    <mergeCell ref="B5:C5"/>
    <mergeCell ref="A2:H2"/>
    <mergeCell ref="J7:K7"/>
    <mergeCell ref="M5:N5"/>
    <mergeCell ref="A1:H1"/>
    <mergeCell ref="B9:C9"/>
    <mergeCell ref="B8:C8"/>
    <mergeCell ref="M4:N4"/>
  </mergeCells>
  <dataValidations count="6">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CategoryList</formula1>
    </dataValidation>
    <dataValidation sqref="B113 C113 D113" showDropDown="0" showInputMessage="0" showErrorMessage="0" allowBlank="1" type="list">
      <formula1>DestinationList</formula1>
    </dataValidation>
    <dataValidation sqref="B114 C114 D114" showDropDown="0" showInputMessage="0" showErrorMessage="0" allowBlank="1" type="list">
      <formula1>"Drive,Flight"</formula1>
    </dataValidation>
    <dataValidation sqref="B115 C115 D115" showDropDown="0" showInputMessage="0" showErrorMessage="0" allowBlank="1" type="list">
      <formula1>"1,2,3,4,5"</formula1>
    </dataValidation>
    <dataValidation sqref="B116 C116 D116" showDropDown="0" showInputMessage="0" showErrorMessage="0" allowBlank="1" type="list">
      <formula1>"0,1,2,3,4,5"</formula1>
    </dataValidation>
    <dataValidation sqref="B117 C117 D117" showDropDown="0" showInputMessage="0" showErrorMessage="0" allowBlank="1" type="list">
      <formula1>VehicleList</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Z10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2" customWidth="1" style="89" min="1" max="1"/>
    <col width="16" customWidth="1" style="89" min="2" max="2"/>
    <col width="10" customWidth="1" style="89" min="3" max="3"/>
    <col width="12" customWidth="1" style="89" min="4" max="4"/>
    <col width="14" customWidth="1" style="89" min="5" max="6"/>
    <col width="10" customWidth="1" style="89" min="7" max="7"/>
    <col width="44" customWidth="1" style="89" min="8" max="8"/>
    <col width="3" customWidth="1" style="89" min="9" max="9"/>
    <col width="38" customWidth="1" style="89" min="10" max="10"/>
    <col width="14" customWidth="1" style="89" min="11" max="11"/>
    <col width="3" customWidth="1" style="89" min="12" max="12"/>
    <col width="28" customWidth="1" style="89" min="13" max="13"/>
    <col width="14" customWidth="1" style="89" min="14" max="14"/>
    <col width="8.710000000000001" customWidth="1" style="89" min="15" max="26"/>
  </cols>
  <sheetData>
    <row r="1" ht="63.75" customHeight="1" s="90">
      <c r="A1" s="91" t="n"/>
      <c r="B1" s="92" t="n"/>
      <c r="C1" s="92" t="n"/>
      <c r="D1" s="92" t="n"/>
      <c r="E1" s="92" t="n"/>
      <c r="F1" s="92" t="n"/>
      <c r="G1" s="92" t="n"/>
      <c r="H1" s="93" t="n"/>
      <c r="I1" s="94" t="n"/>
      <c r="J1" s="94" t="n"/>
      <c r="K1" s="94" t="n"/>
      <c r="L1" s="94" t="n"/>
      <c r="M1" s="94" t="n"/>
      <c r="N1" s="94" t="n"/>
      <c r="O1" s="94" t="n"/>
      <c r="P1" s="94" t="n"/>
      <c r="Q1" s="94" t="n"/>
      <c r="R1" s="94" t="n"/>
      <c r="S1" s="94" t="n"/>
      <c r="T1" s="94" t="n"/>
      <c r="U1" s="94" t="n"/>
      <c r="V1" s="94" t="n"/>
      <c r="W1" s="94" t="n"/>
      <c r="X1" s="94" t="n"/>
      <c r="Y1" s="94" t="n"/>
      <c r="Z1" s="94" t="n"/>
    </row>
    <row r="2" ht="21.75" customHeight="1" s="90">
      <c r="A2" s="95" t="inlineStr">
        <is>
          <t>Decor &amp; Production Estimate</t>
        </is>
      </c>
      <c r="B2" s="92" t="n"/>
      <c r="C2" s="92" t="n"/>
      <c r="D2" s="92" t="n"/>
      <c r="E2" s="92" t="n"/>
      <c r="F2" s="92" t="n"/>
      <c r="G2" s="92" t="n"/>
      <c r="H2" s="93" t="n"/>
      <c r="I2" s="94" t="n"/>
      <c r="J2" s="94" t="n"/>
      <c r="K2" s="94" t="n"/>
      <c r="L2" s="94" t="n"/>
      <c r="M2" s="94" t="n"/>
      <c r="N2" s="94" t="n"/>
      <c r="O2" s="94" t="n"/>
      <c r="P2" s="94" t="n"/>
      <c r="Q2" s="94" t="n"/>
      <c r="R2" s="94" t="n"/>
      <c r="S2" s="94" t="n"/>
      <c r="T2" s="94" t="n"/>
      <c r="U2" s="94" t="n"/>
      <c r="V2" s="94" t="n"/>
      <c r="W2" s="94" t="n"/>
      <c r="X2" s="94" t="n"/>
      <c r="Y2" s="94" t="n"/>
      <c r="Z2" s="94" t="n"/>
    </row>
    <row r="3" ht="6" customHeight="1" s="90">
      <c r="A3" s="94" t="n"/>
      <c r="B3" s="94" t="n"/>
      <c r="C3" s="94" t="n"/>
      <c r="D3" s="94" t="n"/>
      <c r="E3" s="94" t="n"/>
      <c r="F3" s="94" t="n"/>
      <c r="G3" s="94" t="n"/>
      <c r="H3" s="94" t="n"/>
      <c r="I3" s="94" t="n"/>
      <c r="J3" s="94" t="n"/>
      <c r="K3" s="94" t="n"/>
      <c r="L3" s="94" t="n"/>
      <c r="M3" s="94" t="n"/>
      <c r="N3" s="94" t="n"/>
      <c r="O3" s="94" t="n"/>
      <c r="P3" s="94" t="n"/>
      <c r="Q3" s="94" t="n"/>
      <c r="R3" s="94" t="n"/>
      <c r="S3" s="94" t="n"/>
      <c r="T3" s="94" t="n"/>
      <c r="U3" s="94" t="n"/>
      <c r="V3" s="94" t="n"/>
      <c r="W3" s="94" t="n"/>
      <c r="X3" s="94" t="n"/>
      <c r="Y3" s="94" t="n"/>
      <c r="Z3" s="94" t="n"/>
    </row>
    <row r="4" ht="27.75" customHeight="1" s="90">
      <c r="A4" s="96" t="inlineStr">
        <is>
          <t>EVENT INFO (from Client Setup)</t>
        </is>
      </c>
      <c r="B4" s="92" t="n"/>
      <c r="C4" s="92" t="n"/>
      <c r="D4" s="92" t="n"/>
      <c r="E4" s="92" t="n"/>
      <c r="F4" s="92" t="n"/>
      <c r="G4" s="92" t="n"/>
      <c r="H4" s="93" t="n"/>
      <c r="I4" s="94" t="n"/>
      <c r="J4" s="96" t="inlineStr">
        <is>
          <t>DETAILED CLIENT VIEW</t>
        </is>
      </c>
      <c r="K4" s="93" t="n"/>
      <c r="L4" s="94" t="n"/>
      <c r="M4" s="96" t="inlineStr">
        <is>
          <t>SUMMARY VIEW</t>
        </is>
      </c>
      <c r="N4" s="93" t="n"/>
      <c r="O4" s="94" t="n"/>
      <c r="P4" s="94" t="n"/>
      <c r="Q4" s="94" t="n"/>
      <c r="R4" s="94" t="n"/>
      <c r="S4" s="94" t="n"/>
      <c r="T4" s="94" t="n"/>
      <c r="U4" s="94" t="n"/>
      <c r="V4" s="94" t="n"/>
      <c r="W4" s="94" t="n"/>
      <c r="X4" s="94" t="n"/>
      <c r="Y4" s="94" t="n"/>
      <c r="Z4" s="94" t="n"/>
    </row>
    <row r="5" ht="21.75" customHeight="1" s="90">
      <c r="A5" s="127" t="inlineStr">
        <is>
          <t>Client:</t>
        </is>
      </c>
      <c r="B5" s="133">
        <f>'Client Setup'!B5</f>
        <v/>
      </c>
      <c r="C5" s="93" t="n"/>
      <c r="D5" s="99" t="n"/>
      <c r="E5" s="99" t="n"/>
      <c r="F5" s="99" t="n"/>
      <c r="G5" s="99" t="n"/>
      <c r="H5" s="99" t="n"/>
      <c r="I5" s="94" t="n"/>
      <c r="J5" s="127" t="inlineStr">
        <is>
          <t>Itemized — each section is one Canva slide</t>
        </is>
      </c>
      <c r="K5" s="93" t="n"/>
      <c r="L5" s="94" t="n"/>
      <c r="M5" s="127" t="inlineStr">
        <is>
          <t>Category totals for client</t>
        </is>
      </c>
      <c r="N5" s="93" t="n"/>
      <c r="O5" s="94" t="n"/>
      <c r="P5" s="94" t="n"/>
      <c r="Q5" s="94" t="n"/>
      <c r="R5" s="94" t="n"/>
      <c r="S5" s="94" t="n"/>
      <c r="T5" s="94" t="n"/>
      <c r="U5" s="94" t="n"/>
      <c r="V5" s="94" t="n"/>
      <c r="W5" s="94" t="n"/>
      <c r="X5" s="94" t="n"/>
      <c r="Y5" s="94" t="n"/>
      <c r="Z5" s="94" t="n"/>
    </row>
    <row r="6" ht="21.75" customHeight="1" s="90">
      <c r="A6" s="127" t="inlineStr">
        <is>
          <t>Event Date:</t>
        </is>
      </c>
      <c r="B6" s="182">
        <f>'Client Setup'!B6</f>
        <v/>
      </c>
      <c r="C6" s="93" t="n"/>
      <c r="D6" s="99" t="n"/>
      <c r="E6" s="99" t="n"/>
      <c r="F6" s="99" t="n"/>
      <c r="G6" s="99" t="n"/>
      <c r="H6" s="99" t="n"/>
      <c r="I6" s="94" t="n"/>
      <c r="J6" s="94" t="n"/>
      <c r="K6" s="94" t="n"/>
      <c r="L6" s="94" t="n"/>
      <c r="M6" s="94" t="n"/>
      <c r="N6" s="94" t="n"/>
      <c r="O6" s="94" t="n"/>
      <c r="P6" s="94" t="n"/>
      <c r="Q6" s="94" t="n"/>
      <c r="R6" s="94" t="n"/>
      <c r="S6" s="94" t="n"/>
      <c r="T6" s="94" t="n"/>
      <c r="U6" s="94" t="n"/>
      <c r="V6" s="94" t="n"/>
      <c r="W6" s="94" t="n"/>
      <c r="X6" s="94" t="n"/>
      <c r="Y6" s="94" t="n"/>
      <c r="Z6" s="94" t="n"/>
    </row>
    <row r="7" ht="21.75" customHeight="1" s="90">
      <c r="A7" s="127" t="inlineStr">
        <is>
          <t>Guest Count:</t>
        </is>
      </c>
      <c r="B7" s="135">
        <f>'Client Setup'!B7</f>
        <v/>
      </c>
      <c r="C7" s="93" t="n"/>
      <c r="D7" s="99" t="n"/>
      <c r="E7" s="99" t="n"/>
      <c r="F7" s="99" t="n"/>
      <c r="G7" s="99" t="n"/>
      <c r="H7" s="99" t="n"/>
      <c r="I7" s="94" t="n"/>
      <c r="J7" s="130" t="inlineStr">
        <is>
          <t>DECOR &amp; PRODUCTION ESTIMATE</t>
        </is>
      </c>
      <c r="K7" s="93" t="n"/>
      <c r="L7" s="94" t="n"/>
      <c r="M7" s="130" t="inlineStr">
        <is>
          <t>DECOR &amp; PRODUCTION ESTIMATE</t>
        </is>
      </c>
      <c r="N7" s="93" t="n"/>
      <c r="O7" s="94" t="n"/>
      <c r="P7" s="94" t="n"/>
      <c r="Q7" s="94" t="n"/>
      <c r="R7" s="94" t="n"/>
      <c r="S7" s="94" t="n"/>
      <c r="T7" s="94" t="n"/>
      <c r="U7" s="94" t="n"/>
      <c r="V7" s="94" t="n"/>
      <c r="W7" s="94" t="n"/>
      <c r="X7" s="94" t="n"/>
      <c r="Y7" s="94" t="n"/>
      <c r="Z7" s="94" t="n"/>
    </row>
    <row r="8" ht="21.75" customHeight="1" s="90">
      <c r="A8" s="127" t="inlineStr">
        <is>
          <t>Location:</t>
        </is>
      </c>
      <c r="B8" s="133">
        <f>'Client Setup'!B16</f>
        <v/>
      </c>
      <c r="C8" s="93" t="n"/>
      <c r="D8" s="99" t="n"/>
      <c r="E8" s="99" t="n"/>
      <c r="F8" s="99" t="n"/>
      <c r="G8" s="99" t="n"/>
      <c r="H8" s="99" t="n"/>
      <c r="I8" s="94" t="n"/>
      <c r="J8" s="131">
        <f>'Client Setup'!B5</f>
        <v/>
      </c>
      <c r="K8" s="132">
        <f>'Client Setup'!B7&amp;" Guests"</f>
        <v/>
      </c>
      <c r="L8" s="94" t="n"/>
      <c r="M8" s="131">
        <f>'Client Setup'!B5</f>
        <v/>
      </c>
      <c r="N8" s="132">
        <f>'Client Setup'!B7&amp;" Guests"</f>
        <v/>
      </c>
      <c r="O8" s="94" t="n"/>
      <c r="P8" s="94" t="n"/>
      <c r="Q8" s="94" t="n"/>
      <c r="R8" s="94" t="n"/>
      <c r="S8" s="94" t="n"/>
      <c r="T8" s="94" t="n"/>
      <c r="U8" s="94" t="n"/>
      <c r="V8" s="94" t="n"/>
      <c r="W8" s="94" t="n"/>
      <c r="X8" s="94" t="n"/>
      <c r="Y8" s="94" t="n"/>
      <c r="Z8" s="94" t="n"/>
    </row>
    <row r="9" ht="21.75" customHeight="1" s="90">
      <c r="A9" s="127" t="inlineStr">
        <is>
          <t>Venue:</t>
        </is>
      </c>
      <c r="B9" s="98" t="inlineStr">
        <is>
          <t>101 Constitution Ave NW, Washington DC</t>
        </is>
      </c>
      <c r="C9" s="93" t="n"/>
      <c r="D9" s="99" t="n"/>
      <c r="E9" s="201" t="inlineStr">
        <is>
          <t>Event Time:</t>
        </is>
      </c>
      <c r="F9" s="202">
        <f>'Client Setup'!B10</f>
        <v/>
      </c>
      <c r="G9" s="99" t="n"/>
      <c r="H9" s="99" t="n"/>
      <c r="I9" s="94" t="n"/>
      <c r="J9" s="134">
        <f>TEXT('Client Setup'!B6,"MMMM D, YYYY")</f>
        <v/>
      </c>
      <c r="K9" s="99" t="n"/>
      <c r="L9" s="94" t="n"/>
      <c r="M9" s="134">
        <f>TEXT('Client Setup'!B6,"MMMM D, YYYY")</f>
        <v/>
      </c>
      <c r="N9" s="99" t="n"/>
      <c r="O9" s="94" t="n"/>
      <c r="P9" s="94" t="n"/>
      <c r="Q9" s="94" t="n"/>
      <c r="R9" s="94" t="n"/>
      <c r="S9" s="94" t="n"/>
      <c r="T9" s="94" t="n"/>
      <c r="U9" s="94" t="n"/>
      <c r="V9" s="94" t="n"/>
      <c r="W9" s="94" t="n"/>
      <c r="X9" s="94" t="n"/>
      <c r="Y9" s="94" t="n"/>
      <c r="Z9" s="94" t="n"/>
    </row>
    <row r="10" ht="15" customHeight="1" s="90">
      <c r="A10" s="114" t="inlineStr">
        <is>
          <t>Company:</t>
        </is>
      </c>
      <c r="B10" s="138">
        <f>'Client Setup'!B11</f>
        <v/>
      </c>
      <c r="C10" s="105" t="n"/>
      <c r="D10" s="105" t="n"/>
      <c r="E10" s="105" t="n"/>
      <c r="F10" s="105" t="n"/>
      <c r="G10" s="105" t="n"/>
      <c r="H10" s="105" t="n"/>
    </row>
    <row r="11" ht="25.5" customHeight="1" s="90">
      <c r="A11" s="114" t="inlineStr">
        <is>
          <t>Program:</t>
        </is>
      </c>
      <c r="B11" s="138">
        <f>'Client Setup'!B12</f>
        <v/>
      </c>
      <c r="C11" s="105" t="n"/>
      <c r="D11" s="105" t="n"/>
      <c r="E11" s="105" t="n"/>
      <c r="F11" s="105" t="n"/>
      <c r="G11" s="105" t="n"/>
      <c r="H11" s="105" t="n"/>
    </row>
    <row r="12" ht="27.75" customHeight="1" s="90">
      <c r="A12" s="114" t="inlineStr">
        <is>
          <t>Client Hotel:</t>
        </is>
      </c>
      <c r="B12" s="138">
        <f>'Client Setup'!B13</f>
        <v/>
      </c>
      <c r="C12" s="105" t="n"/>
      <c r="D12" s="105" t="n"/>
      <c r="E12" s="105" t="n"/>
      <c r="F12" s="105" t="n"/>
      <c r="G12" s="105" t="n"/>
      <c r="H12" s="105" t="n"/>
    </row>
    <row r="13" ht="27.75" customHeight="1" s="90">
      <c r="A13" s="96" t="inlineStr">
        <is>
          <t>FLORALS</t>
        </is>
      </c>
      <c r="I13" s="94" t="n"/>
      <c r="J13" s="94" t="n"/>
      <c r="K13" s="94" t="n"/>
      <c r="L13" s="94" t="n"/>
      <c r="M13" s="94" t="n"/>
      <c r="N13" s="94" t="n"/>
      <c r="O13" s="94" t="n"/>
      <c r="P13" s="94" t="n"/>
      <c r="Q13" s="94" t="n"/>
      <c r="R13" s="94" t="n"/>
      <c r="S13" s="94" t="n"/>
      <c r="T13" s="94" t="n"/>
      <c r="U13" s="94" t="n"/>
      <c r="V13" s="94" t="n"/>
      <c r="W13" s="94" t="n"/>
      <c r="X13" s="94" t="n"/>
      <c r="Y13" s="94" t="n"/>
      <c r="Z13" s="94" t="n"/>
    </row>
    <row r="14" ht="27.75" customHeight="1" s="90">
      <c r="A14" s="137" t="inlineStr">
        <is>
          <t>Item</t>
        </is>
      </c>
      <c r="B14" s="137" t="inlineStr">
        <is>
          <t>Vendor</t>
        </is>
      </c>
      <c r="C14" s="137" t="inlineStr">
        <is>
          <t>Qty</t>
        </is>
      </c>
      <c r="D14" s="137" t="inlineStr">
        <is>
          <t>Unit Price</t>
        </is>
      </c>
      <c r="E14" s="137" t="inlineStr">
        <is>
          <t>Our Cost</t>
        </is>
      </c>
      <c r="F14" s="137" t="inlineStr">
        <is>
          <t>Client Cost</t>
        </is>
      </c>
      <c r="G14" s="137" t="inlineStr">
        <is>
          <t>Tax Rate</t>
        </is>
      </c>
      <c r="H14" s="137" t="inlineStr">
        <is>
          <t>Notes / Description</t>
        </is>
      </c>
      <c r="I14" s="183" t="inlineStr">
        <is>
          <t>Category</t>
        </is>
      </c>
      <c r="J14" s="136" t="inlineStr">
        <is>
          <t>Item</t>
        </is>
      </c>
      <c r="K14" s="137" t="inlineStr">
        <is>
          <t>Amount</t>
        </is>
      </c>
      <c r="L14" s="94" t="n"/>
      <c r="M14" s="136" t="inlineStr">
        <is>
          <t>Category</t>
        </is>
      </c>
      <c r="N14" s="137" t="inlineStr">
        <is>
          <t>Amount</t>
        </is>
      </c>
      <c r="O14" s="94" t="n"/>
      <c r="P14" s="94" t="n"/>
      <c r="Q14" s="94" t="n"/>
      <c r="R14" s="94" t="n"/>
      <c r="S14" s="94" t="n"/>
      <c r="T14" s="94" t="n"/>
      <c r="U14" s="94" t="n"/>
      <c r="V14" s="94" t="n"/>
      <c r="W14" s="94" t="n"/>
      <c r="X14" s="94" t="n"/>
      <c r="Y14" s="94" t="n"/>
      <c r="Z14" s="94" t="n"/>
    </row>
    <row r="15" ht="27.75" customHeight="1" s="90">
      <c r="A15" s="143" t="inlineStr">
        <is>
          <t>TAXABLE FLORAL PRODUCT</t>
        </is>
      </c>
      <c r="I15" s="94" t="n"/>
      <c r="J15" s="184">
        <f>A13</f>
        <v/>
      </c>
      <c r="L15" s="94" t="n"/>
      <c r="M15" s="134">
        <f>A13</f>
        <v/>
      </c>
      <c r="N15" s="139">
        <f>ROUNDUP(F30/50,0)*50</f>
        <v/>
      </c>
      <c r="O15" s="94" t="n"/>
      <c r="P15" s="94" t="n"/>
      <c r="Q15" s="94" t="n"/>
      <c r="R15" s="94" t="n"/>
      <c r="S15" s="94" t="n"/>
      <c r="T15" s="94" t="n"/>
      <c r="U15" s="94" t="n"/>
      <c r="V15" s="94" t="n"/>
      <c r="W15" s="94" t="n"/>
      <c r="X15" s="94" t="n"/>
      <c r="Y15" s="94" t="n"/>
      <c r="Z15" s="94" t="n"/>
    </row>
    <row r="16" ht="27.75" customHeight="1" s="90">
      <c r="A16" s="185" t="inlineStr">
        <is>
          <t>4ft Table Florals</t>
        </is>
      </c>
      <c r="B16" s="186" t="inlineStr">
        <is>
          <t>Flowers at 38</t>
        </is>
      </c>
      <c r="C16" s="101" t="n">
        <v>14</v>
      </c>
      <c r="D16" s="129" t="n">
        <v>90</v>
      </c>
      <c r="E16" s="147">
        <f>C16*D16</f>
        <v/>
      </c>
      <c r="F16" s="147">
        <f>IFERROR(E16*(1+VLOOKUP(I16,CategoryTable,2,FALSE)),0)</f>
        <v/>
      </c>
      <c r="G16" s="148">
        <f>'Client Setup'!B19</f>
        <v/>
      </c>
      <c r="H16" s="187" t="inlineStr">
        <is>
          <t>Trio gold bud vases, cherry blossom, ranunculus, astilbe + 2 votives</t>
        </is>
      </c>
      <c r="I16" s="188" t="inlineStr">
        <is>
          <t>Décor &amp; Design</t>
        </is>
      </c>
      <c r="J16" s="107">
        <f>IF(A16="","",A16&amp;" x"&amp;C16)</f>
        <v/>
      </c>
      <c r="K16" s="139">
        <f>IF(A16="","",ROUNDUP(F16/10,0)*10)</f>
        <v/>
      </c>
      <c r="L16" s="94" t="n"/>
      <c r="M16" s="134" t="inlineStr">
        <is>
          <t>Seating</t>
        </is>
      </c>
      <c r="N16" s="139">
        <f>ROUNDUP(SUM(F35:F42)/50,0)*50</f>
        <v/>
      </c>
      <c r="O16" s="94" t="n"/>
      <c r="P16" s="94" t="n"/>
      <c r="Q16" s="94" t="n"/>
      <c r="R16" s="94" t="n"/>
      <c r="S16" s="94" t="n"/>
      <c r="T16" s="94" t="n"/>
      <c r="U16" s="94" t="n"/>
      <c r="V16" s="94" t="n"/>
      <c r="W16" s="94" t="n"/>
      <c r="X16" s="94" t="n"/>
      <c r="Y16" s="94" t="n"/>
      <c r="Z16" s="94" t="n"/>
    </row>
    <row r="17" ht="27.75" customHeight="1" s="90">
      <c r="A17" s="185" t="inlineStr">
        <is>
          <t>Cocktail Table Florals</t>
        </is>
      </c>
      <c r="B17" s="186" t="inlineStr">
        <is>
          <t>Flowers at 38</t>
        </is>
      </c>
      <c r="C17" s="101" t="n">
        <v>14</v>
      </c>
      <c r="D17" s="129" t="n">
        <v>31</v>
      </c>
      <c r="E17" s="147">
        <f>C17*D17</f>
        <v/>
      </c>
      <c r="F17" s="147">
        <f>IFERROR(E17*(1+VLOOKUP(I17,CategoryTable,2,FALSE)),0)</f>
        <v/>
      </c>
      <c r="G17" s="148">
        <f>'Client Setup'!B19</f>
        <v/>
      </c>
      <c r="H17" s="187" t="inlineStr">
        <is>
          <t>Single bud vase + single ribbed votive</t>
        </is>
      </c>
      <c r="I17" s="188" t="inlineStr">
        <is>
          <t>Décor &amp; Design</t>
        </is>
      </c>
      <c r="J17" s="107">
        <f>IF(A17="","",A17&amp;" x"&amp;C17)</f>
        <v/>
      </c>
      <c r="K17" s="139">
        <f>IF(A17="","",ROUNDUP(F17/10,0)*10)</f>
        <v/>
      </c>
      <c r="L17" s="94" t="n"/>
      <c r="M17" s="134" t="inlineStr">
        <is>
          <t>Lounge Furniture</t>
        </is>
      </c>
      <c r="N17" s="139">
        <f>ROUNDUP(SUM(F44:F51)/50,0)*50</f>
        <v/>
      </c>
      <c r="O17" s="94" t="n"/>
      <c r="P17" s="94" t="n"/>
      <c r="Q17" s="94" t="n"/>
      <c r="R17" s="94" t="n"/>
      <c r="S17" s="94" t="n"/>
      <c r="T17" s="94" t="n"/>
      <c r="U17" s="94" t="n"/>
      <c r="V17" s="94" t="n"/>
      <c r="W17" s="94" t="n"/>
      <c r="X17" s="94" t="n"/>
      <c r="Y17" s="94" t="n"/>
      <c r="Z17" s="94" t="n"/>
    </row>
    <row r="18" ht="27.75" customHeight="1" s="90">
      <c r="A18" s="185" t="inlineStr">
        <is>
          <t>Side Table Florals</t>
        </is>
      </c>
      <c r="B18" s="186" t="inlineStr">
        <is>
          <t>Flowers at 38</t>
        </is>
      </c>
      <c r="C18" s="101" t="n">
        <v>2</v>
      </c>
      <c r="D18" s="129" t="n">
        <v>96</v>
      </c>
      <c r="E18" s="147">
        <f>C18*D18</f>
        <v/>
      </c>
      <c r="F18" s="147">
        <f>IFERROR(E18*(1+VLOOKUP(I18,CategoryTable,2,FALSE)),0)</f>
        <v/>
      </c>
      <c r="G18" s="148">
        <f>'Client Setup'!B19</f>
        <v/>
      </c>
      <c r="H18" s="187" t="inlineStr">
        <is>
          <t>Trio gold bud vases, cherry blossom, ranunculus, astilbe + 4 votives</t>
        </is>
      </c>
      <c r="I18" s="188" t="inlineStr">
        <is>
          <t>Décor &amp; Design</t>
        </is>
      </c>
      <c r="J18" s="107">
        <f>IF(A18="","",A18&amp;" x"&amp;C18)</f>
        <v/>
      </c>
      <c r="K18" s="139">
        <f>IF(A18="","",ROUNDUP(F18/10,0)*10)</f>
        <v/>
      </c>
      <c r="L18" s="94" t="n"/>
      <c r="M18" s="134" t="inlineStr">
        <is>
          <t>Tables</t>
        </is>
      </c>
      <c r="N18" s="139">
        <f>ROUNDUP(SUM(F53:F60)/50,0)*50</f>
        <v/>
      </c>
      <c r="O18" s="94" t="n"/>
      <c r="P18" s="94" t="n"/>
      <c r="Q18" s="94" t="n"/>
      <c r="R18" s="94" t="n"/>
      <c r="S18" s="94" t="n"/>
      <c r="T18" s="94" t="n"/>
      <c r="U18" s="94" t="n"/>
      <c r="V18" s="94" t="n"/>
      <c r="W18" s="94" t="n"/>
      <c r="X18" s="94" t="n"/>
      <c r="Y18" s="94" t="n"/>
      <c r="Z18" s="94" t="n"/>
    </row>
    <row r="19" ht="27.75" customHeight="1" s="90">
      <c r="A19" s="185" t="n"/>
      <c r="B19" s="186" t="n"/>
      <c r="C19" s="101" t="n"/>
      <c r="D19" s="129" t="n"/>
      <c r="E19" s="147">
        <f>C19*D19</f>
        <v/>
      </c>
      <c r="F19" s="147">
        <f>IFERROR(E19*(1+VLOOKUP(I19,CategoryTable,2,FALSE)),0)</f>
        <v/>
      </c>
      <c r="G19" s="148">
        <f>'Client Setup'!B19</f>
        <v/>
      </c>
      <c r="H19" s="187" t="n"/>
      <c r="I19" s="188" t="inlineStr">
        <is>
          <t>Décor &amp; Design</t>
        </is>
      </c>
      <c r="J19" s="107">
        <f>IF(A19="","",A19&amp;" x"&amp;C19)</f>
        <v/>
      </c>
      <c r="K19" s="139">
        <f>IF(A19="","",ROUNDUP(F19/10,0)*10)</f>
        <v/>
      </c>
      <c r="L19" s="94" t="n"/>
      <c r="M19" s="134" t="inlineStr">
        <is>
          <t>Decor &amp; Accessories</t>
        </is>
      </c>
      <c r="N19" s="139">
        <f>ROUNDUP(SUM(F62:F67)/50,0)*50</f>
        <v/>
      </c>
      <c r="O19" s="94" t="n"/>
      <c r="P19" s="94" t="n"/>
      <c r="Q19" s="94" t="n"/>
      <c r="R19" s="94" t="n"/>
      <c r="S19" s="94" t="n"/>
      <c r="T19" s="94" t="n"/>
      <c r="U19" s="94" t="n"/>
      <c r="V19" s="94" t="n"/>
      <c r="W19" s="94" t="n"/>
      <c r="X19" s="94" t="n"/>
      <c r="Y19" s="94" t="n"/>
      <c r="Z19" s="94" t="n"/>
    </row>
    <row r="20" ht="21.75" customHeight="1" s="90">
      <c r="A20" s="185" t="n"/>
      <c r="B20" s="186" t="n"/>
      <c r="C20" s="101" t="n"/>
      <c r="D20" s="129" t="n"/>
      <c r="E20" s="147">
        <f>C20*D20</f>
        <v/>
      </c>
      <c r="F20" s="147">
        <f>IFERROR(E20*(1+VLOOKUP(I20,CategoryTable,2,FALSE)),0)</f>
        <v/>
      </c>
      <c r="G20" s="148">
        <f>'Client Setup'!B19</f>
        <v/>
      </c>
      <c r="H20" s="187" t="n"/>
      <c r="I20" s="188" t="inlineStr">
        <is>
          <t>Décor &amp; Design</t>
        </is>
      </c>
      <c r="J20" s="107">
        <f>IF(A20="","",A20&amp;" x"&amp;C20)</f>
        <v/>
      </c>
      <c r="K20" s="139">
        <f>IF(A20="","",ROUNDUP(F20/10,0)*10)</f>
        <v/>
      </c>
      <c r="L20" s="94" t="n"/>
      <c r="M20" s="134" t="inlineStr">
        <is>
          <t>Delivery &amp; Fees</t>
        </is>
      </c>
      <c r="N20" s="139">
        <f>ROUNDUP((SUM(F27:F29)+SUM(F69:F74)+SUM(F91:F95))/50,0)*50</f>
        <v/>
      </c>
      <c r="O20" s="94" t="n"/>
      <c r="P20" s="94" t="n"/>
      <c r="Q20" s="94" t="n"/>
      <c r="R20" s="94" t="n"/>
      <c r="S20" s="94" t="n"/>
      <c r="T20" s="94" t="n"/>
      <c r="U20" s="94" t="n"/>
      <c r="V20" s="94" t="n"/>
      <c r="W20" s="94" t="n"/>
      <c r="X20" s="94" t="n"/>
      <c r="Y20" s="94" t="n"/>
      <c r="Z20" s="94" t="n"/>
    </row>
    <row r="21" ht="30" customHeight="1" s="90">
      <c r="A21" s="185" t="n"/>
      <c r="B21" s="186" t="n"/>
      <c r="C21" s="101" t="n"/>
      <c r="D21" s="129" t="n"/>
      <c r="E21" s="147">
        <f>C21*D21</f>
        <v/>
      </c>
      <c r="F21" s="147">
        <f>IFERROR(E21*(1+VLOOKUP(I21,CategoryTable,2,FALSE)),0)</f>
        <v/>
      </c>
      <c r="G21" s="148">
        <f>'Client Setup'!B19</f>
        <v/>
      </c>
      <c r="H21" s="187" t="n"/>
      <c r="I21" s="188" t="inlineStr">
        <is>
          <t>Décor &amp; Design</t>
        </is>
      </c>
      <c r="J21" s="107">
        <f>IF(A21="","",A21&amp;" x"&amp;C21)</f>
        <v/>
      </c>
      <c r="K21" s="139">
        <f>IF(A21="","",ROUNDUP(F21/10,0)*10)</f>
        <v/>
      </c>
      <c r="L21" s="94" t="n"/>
      <c r="M21" s="134">
        <f>A77</f>
        <v/>
      </c>
      <c r="N21" s="139">
        <f>ROUNDUP(SUM(F80:F89)/50,0)*50</f>
        <v/>
      </c>
      <c r="O21" s="94" t="n"/>
      <c r="P21" s="94" t="n"/>
      <c r="Q21" s="94" t="n"/>
      <c r="R21" s="94" t="n"/>
      <c r="S21" s="94" t="n"/>
      <c r="T21" s="94" t="n"/>
      <c r="U21" s="94" t="n"/>
      <c r="V21" s="94" t="n"/>
      <c r="W21" s="94" t="n"/>
      <c r="X21" s="94" t="n"/>
      <c r="Y21" s="94" t="n"/>
      <c r="Z21" s="94" t="n"/>
    </row>
    <row r="22" ht="21.75" customHeight="1" s="90">
      <c r="A22" s="185" t="n"/>
      <c r="B22" s="186" t="n"/>
      <c r="C22" s="101" t="n"/>
      <c r="D22" s="129" t="n"/>
      <c r="E22" s="147">
        <f>C22*D22</f>
        <v/>
      </c>
      <c r="F22" s="147">
        <f>IFERROR(E22*(1+VLOOKUP(I22,CategoryTable,2,FALSE)),0)</f>
        <v/>
      </c>
      <c r="G22" s="148">
        <f>'Client Setup'!B19</f>
        <v/>
      </c>
      <c r="H22" s="187" t="n"/>
      <c r="I22" s="188" t="inlineStr">
        <is>
          <t>Décor &amp; Design</t>
        </is>
      </c>
      <c r="J22" s="107">
        <f>IF(A22="","",A22&amp;" x"&amp;C22)</f>
        <v/>
      </c>
      <c r="K22" s="139">
        <f>IF(A22="","",ROUNDUP(F22/10,0)*10)</f>
        <v/>
      </c>
      <c r="L22" s="94" t="n"/>
      <c r="M22" s="134" t="inlineStr">
        <is>
          <t>Tax</t>
        </is>
      </c>
      <c r="N22" s="139">
        <f>ROUNDUP(F100/50,0)*50</f>
        <v/>
      </c>
      <c r="O22" s="94" t="n"/>
      <c r="P22" s="94" t="n"/>
      <c r="Q22" s="94" t="n"/>
      <c r="R22" s="94" t="n"/>
      <c r="S22" s="94" t="n"/>
      <c r="T22" s="94" t="n"/>
      <c r="U22" s="94" t="n"/>
      <c r="V22" s="94" t="n"/>
      <c r="W22" s="94" t="n"/>
      <c r="X22" s="94" t="n"/>
      <c r="Y22" s="94" t="n"/>
      <c r="Z22" s="94" t="n"/>
    </row>
    <row r="23" ht="21.75" customHeight="1" s="90">
      <c r="A23" s="185" t="n"/>
      <c r="B23" s="186" t="n"/>
      <c r="C23" s="101" t="n"/>
      <c r="D23" s="129" t="n"/>
      <c r="E23" s="147">
        <f>C23*D23</f>
        <v/>
      </c>
      <c r="F23" s="147">
        <f>IFERROR(E23*(1+VLOOKUP(I23,CategoryTable,2,FALSE)),0)</f>
        <v/>
      </c>
      <c r="G23" s="148">
        <f>'Client Setup'!B19</f>
        <v/>
      </c>
      <c r="H23" s="187" t="n"/>
      <c r="I23" s="188" t="inlineStr">
        <is>
          <t>Décor &amp; Design</t>
        </is>
      </c>
      <c r="J23" s="107">
        <f>IF(A23="","",A23&amp;" x"&amp;C23)</f>
        <v/>
      </c>
      <c r="K23" s="139">
        <f>IF(A23="","",ROUNDUP(F23/10,0)*10)</f>
        <v/>
      </c>
      <c r="L23" s="94" t="n"/>
      <c r="M23" s="189" t="n"/>
      <c r="N23" s="189" t="n"/>
      <c r="O23" s="94" t="n"/>
      <c r="P23" s="94" t="n"/>
      <c r="Q23" s="94" t="n"/>
      <c r="R23" s="94" t="n"/>
      <c r="S23" s="94" t="n"/>
      <c r="T23" s="94" t="n"/>
      <c r="U23" s="94" t="n"/>
      <c r="V23" s="94" t="n"/>
      <c r="W23" s="94" t="n"/>
      <c r="X23" s="94" t="n"/>
      <c r="Y23" s="94" t="n"/>
      <c r="Z23" s="94" t="n"/>
    </row>
    <row r="24" ht="21.75" customHeight="1" s="90">
      <c r="A24" s="185" t="n"/>
      <c r="B24" s="186" t="n"/>
      <c r="C24" s="101" t="n"/>
      <c r="D24" s="129" t="n"/>
      <c r="E24" s="147">
        <f>C24*D24</f>
        <v/>
      </c>
      <c r="F24" s="147">
        <f>IFERROR(E24*(1+VLOOKUP(I24,CategoryTable,2,FALSE)),0)</f>
        <v/>
      </c>
      <c r="G24" s="148">
        <f>'Client Setup'!B19</f>
        <v/>
      </c>
      <c r="H24" s="187" t="n"/>
      <c r="I24" s="188" t="inlineStr">
        <is>
          <t>Décor &amp; Design</t>
        </is>
      </c>
      <c r="J24" s="107">
        <f>IF(A24="","",A24&amp;" x"&amp;C24)</f>
        <v/>
      </c>
      <c r="K24" s="139">
        <f>IF(A24="","",ROUNDUP(F24/10,0)*10)</f>
        <v/>
      </c>
      <c r="L24" s="94" t="n"/>
      <c r="M24" s="131" t="inlineStr">
        <is>
          <t>TOTAL ESTIMATE</t>
        </is>
      </c>
      <c r="N24" s="144">
        <f>SUM(N15:N22)</f>
        <v/>
      </c>
      <c r="O24" s="94" t="n"/>
      <c r="P24" s="94" t="n"/>
      <c r="Q24" s="94" t="n"/>
      <c r="R24" s="94" t="n"/>
      <c r="S24" s="94" t="n"/>
      <c r="T24" s="94" t="n"/>
      <c r="U24" s="94" t="n"/>
      <c r="V24" s="94" t="n"/>
      <c r="W24" s="94" t="n"/>
      <c r="X24" s="94" t="n"/>
      <c r="Y24" s="94" t="n"/>
      <c r="Z24" s="94" t="n"/>
    </row>
    <row r="25" ht="21.75" customHeight="1" s="90">
      <c r="A25" s="185" t="n"/>
      <c r="B25" s="186" t="n"/>
      <c r="C25" s="101" t="n"/>
      <c r="D25" s="129" t="n"/>
      <c r="E25" s="147">
        <f>C25*D25</f>
        <v/>
      </c>
      <c r="F25" s="147">
        <f>IFERROR(E25*(1+VLOOKUP(I25,CategoryTable,2,FALSE)),0)</f>
        <v/>
      </c>
      <c r="G25" s="148">
        <f>'Client Setup'!B19</f>
        <v/>
      </c>
      <c r="H25" s="187" t="n"/>
      <c r="I25" s="188" t="inlineStr">
        <is>
          <t>Décor &amp; Design</t>
        </is>
      </c>
      <c r="J25" s="107">
        <f>IF(A25="","",A25&amp;" x"&amp;C25)</f>
        <v/>
      </c>
      <c r="K25" s="139">
        <f>IF(A25="","",ROUNDUP(F25/10,0)*10)</f>
        <v/>
      </c>
      <c r="L25" s="94" t="n"/>
      <c r="M25" s="127" t="inlineStr">
        <is>
          <t>Guest Count</t>
        </is>
      </c>
      <c r="N25" s="150">
        <f>'Client Setup'!B7</f>
        <v/>
      </c>
      <c r="O25" s="94" t="n"/>
      <c r="P25" s="94" t="n"/>
      <c r="Q25" s="94" t="n"/>
      <c r="R25" s="94" t="n"/>
      <c r="S25" s="94" t="n"/>
      <c r="T25" s="94" t="n"/>
      <c r="U25" s="94" t="n"/>
      <c r="V25" s="94" t="n"/>
      <c r="W25" s="94" t="n"/>
      <c r="X25" s="94" t="n"/>
      <c r="Y25" s="94" t="n"/>
      <c r="Z25" s="94" t="n"/>
    </row>
    <row r="26" ht="24" customHeight="1" s="90">
      <c r="A26" s="155" t="inlineStr">
        <is>
          <t>NON-TAXABLE FLORAL FEES</t>
        </is>
      </c>
      <c r="I26" s="94" t="n"/>
      <c r="J26" s="107">
        <f>IF(A27="","",A27)</f>
        <v/>
      </c>
      <c r="K26" s="139">
        <f>IF(A27="","",ROUNDUP(F27/10,0)*10)</f>
        <v/>
      </c>
      <c r="L26" s="94" t="n"/>
      <c r="M26" s="190" t="n"/>
      <c r="N26" s="190" t="n"/>
      <c r="O26" s="94" t="n"/>
      <c r="P26" s="94" t="n"/>
      <c r="Q26" s="94" t="n"/>
      <c r="R26" s="94" t="n"/>
      <c r="S26" s="94" t="n"/>
      <c r="T26" s="94" t="n"/>
      <c r="U26" s="94" t="n"/>
      <c r="V26" s="94" t="n"/>
      <c r="W26" s="94" t="n"/>
      <c r="X26" s="94" t="n"/>
      <c r="Y26" s="94" t="n"/>
      <c r="Z26" s="94" t="n"/>
    </row>
    <row r="27" ht="6" customHeight="1" s="90">
      <c r="A27" s="185" t="inlineStr">
        <is>
          <t>Delivery/Setup &amp; Strike</t>
        </is>
      </c>
      <c r="B27" s="186" t="inlineStr">
        <is>
          <t>Flowers at 38</t>
        </is>
      </c>
      <c r="C27" s="191" t="n"/>
      <c r="D27" s="129" t="n">
        <v>188.6</v>
      </c>
      <c r="E27" s="147">
        <f>D27</f>
        <v/>
      </c>
      <c r="F27" s="147">
        <f>IFERROR(E27*(1+VLOOKUP(I27,CategoryTable,2,FALSE)),0)</f>
        <v/>
      </c>
      <c r="G27" s="148" t="n">
        <v>0</v>
      </c>
      <c r="H27" s="187" t="inlineStr">
        <is>
          <t>Tax exempt on vendor invoice — resale on file</t>
        </is>
      </c>
      <c r="I27" s="188" t="inlineStr">
        <is>
          <t>Delivery &amp; Logistics</t>
        </is>
      </c>
      <c r="J27" s="107">
        <f>IF(A28="","",A28)</f>
        <v/>
      </c>
      <c r="K27" s="139">
        <f>IF(A28="","",ROUNDUP(F28/10,0)*10)</f>
        <v/>
      </c>
      <c r="L27" s="94" t="n"/>
      <c r="M27" s="94" t="n"/>
      <c r="N27" s="94" t="n"/>
      <c r="O27" s="94" t="n"/>
      <c r="P27" s="94" t="n"/>
      <c r="Q27" s="94" t="n"/>
      <c r="R27" s="94" t="n"/>
      <c r="S27" s="94" t="n"/>
      <c r="T27" s="94" t="n"/>
      <c r="U27" s="94" t="n"/>
      <c r="V27" s="94" t="n"/>
      <c r="W27" s="94" t="n"/>
      <c r="X27" s="94" t="n"/>
      <c r="Y27" s="94" t="n"/>
      <c r="Z27" s="94" t="n"/>
    </row>
    <row r="28" ht="21.75" customHeight="1" s="90">
      <c r="A28" s="185" t="n"/>
      <c r="B28" s="186" t="n"/>
      <c r="C28" s="191" t="n"/>
      <c r="D28" s="129" t="n"/>
      <c r="E28" s="147">
        <f>D28</f>
        <v/>
      </c>
      <c r="F28" s="147">
        <f>IFERROR(E28*(1+VLOOKUP(I28,CategoryTable,2,FALSE)),0)</f>
        <v/>
      </c>
      <c r="G28" s="148" t="n">
        <v>0</v>
      </c>
      <c r="H28" s="187" t="n"/>
      <c r="I28" s="188" t="inlineStr">
        <is>
          <t>Delivery &amp; Logistics</t>
        </is>
      </c>
      <c r="J28" s="107">
        <f>IF(A29="","",A29)</f>
        <v/>
      </c>
      <c r="K28" s="139">
        <f>IF(A29="","",ROUNDUP(F29/10,0)*10)</f>
        <v/>
      </c>
      <c r="L28" s="94" t="n"/>
      <c r="M28" s="96" t="inlineStr">
        <is>
          <t>TEAM NOTES</t>
        </is>
      </c>
      <c r="O28" s="94" t="n"/>
      <c r="P28" s="94" t="n"/>
      <c r="Q28" s="94" t="n"/>
      <c r="R28" s="94" t="n"/>
      <c r="S28" s="94" t="n"/>
      <c r="T28" s="94" t="n"/>
      <c r="U28" s="94" t="n"/>
      <c r="V28" s="94" t="n"/>
      <c r="W28" s="94" t="n"/>
      <c r="X28" s="94" t="n"/>
      <c r="Y28" s="94" t="n"/>
      <c r="Z28" s="94" t="n"/>
    </row>
    <row r="29" ht="21.75" customHeight="1" s="90">
      <c r="A29" s="185" t="n"/>
      <c r="B29" s="186" t="n"/>
      <c r="C29" s="191" t="n"/>
      <c r="D29" s="129" t="n"/>
      <c r="E29" s="147">
        <f>D29</f>
        <v/>
      </c>
      <c r="F29" s="147">
        <f>IFERROR(E29*(1+VLOOKUP(I29,CategoryTable,2,FALSE)),0)</f>
        <v/>
      </c>
      <c r="G29" s="148" t="n">
        <v>0</v>
      </c>
      <c r="H29" s="187" t="n"/>
      <c r="I29" s="188" t="inlineStr">
        <is>
          <t>Delivery &amp; Logistics</t>
        </is>
      </c>
      <c r="J29" s="192" t="inlineStr">
        <is>
          <t>Floral Subtotal</t>
        </is>
      </c>
      <c r="K29" s="193">
        <f>SUM(K16:K28)</f>
        <v/>
      </c>
      <c r="L29" s="94" t="n"/>
      <c r="M29" s="153" t="inlineStr">
        <is>
          <t>Floral Vendor:</t>
        </is>
      </c>
      <c r="O29" s="94" t="n"/>
      <c r="P29" s="94" t="n"/>
      <c r="Q29" s="94" t="n"/>
      <c r="R29" s="94" t="n"/>
      <c r="S29" s="94" t="n"/>
      <c r="T29" s="94" t="n"/>
      <c r="U29" s="94" t="n"/>
      <c r="V29" s="94" t="n"/>
      <c r="W29" s="94" t="n"/>
      <c r="X29" s="94" t="n"/>
      <c r="Y29" s="94" t="n"/>
      <c r="Z29" s="94" t="n"/>
    </row>
    <row r="30" ht="21.75" customHeight="1" s="90">
      <c r="A30" s="159" t="inlineStr">
        <is>
          <t>FLORAL SUBTOTAL</t>
        </is>
      </c>
      <c r="B30" s="194" t="n"/>
      <c r="C30" s="194" t="n"/>
      <c r="D30" s="194" t="n"/>
      <c r="E30" s="160">
        <f>SUM(E16:E25)+SUM(E27:E29)</f>
        <v/>
      </c>
      <c r="F30" s="160">
        <f>SUM(F16:F25)+SUM(F27:F29)</f>
        <v/>
      </c>
      <c r="G30" s="194" t="n"/>
      <c r="H30" s="194" t="n"/>
      <c r="I30" s="94" t="n"/>
      <c r="J30" s="195" t="n"/>
      <c r="K30" s="195" t="n"/>
      <c r="L30" s="94" t="n"/>
      <c r="M30" s="154" t="n"/>
      <c r="O30" s="94" t="n"/>
      <c r="P30" s="94" t="n"/>
      <c r="Q30" s="94" t="n"/>
      <c r="R30" s="94" t="n"/>
      <c r="S30" s="94" t="n"/>
      <c r="T30" s="94" t="n"/>
      <c r="U30" s="94" t="n"/>
      <c r="V30" s="94" t="n"/>
      <c r="W30" s="94" t="n"/>
      <c r="X30" s="94" t="n"/>
      <c r="Y30" s="94" t="n"/>
      <c r="Z30" s="94" t="n"/>
    </row>
    <row r="31" ht="21.75" customHeight="1" s="90">
      <c r="A31" s="94" t="n"/>
      <c r="B31" s="94" t="n"/>
      <c r="C31" s="94" t="n"/>
      <c r="D31" s="94" t="n"/>
      <c r="E31" s="94" t="n"/>
      <c r="F31" s="94" t="n"/>
      <c r="G31" s="94" t="n"/>
      <c r="H31" s="94" t="n"/>
      <c r="I31" s="94" t="n"/>
      <c r="J31" s="184">
        <f>A32</f>
        <v/>
      </c>
      <c r="L31" s="94" t="n"/>
      <c r="M31" s="153" t="inlineStr">
        <is>
          <t>Rental Vendor(s):</t>
        </is>
      </c>
      <c r="O31" s="94" t="n"/>
      <c r="P31" s="94" t="n"/>
      <c r="Q31" s="94" t="n"/>
      <c r="R31" s="94" t="n"/>
      <c r="S31" s="94" t="n"/>
      <c r="T31" s="94" t="n"/>
      <c r="U31" s="94" t="n"/>
      <c r="V31" s="94" t="n"/>
      <c r="W31" s="94" t="n"/>
      <c r="X31" s="94" t="n"/>
      <c r="Y31" s="94" t="n"/>
      <c r="Z31" s="94" t="n"/>
    </row>
    <row r="32" ht="21.75" customHeight="1" s="90">
      <c r="A32" s="96" t="inlineStr">
        <is>
          <t>RENTALS &amp; LOUNGE</t>
        </is>
      </c>
      <c r="I32" s="94" t="n"/>
      <c r="J32" s="107">
        <f>IF(A35="","",A35&amp;" x"&amp;C35)</f>
        <v/>
      </c>
      <c r="K32" s="139">
        <f>IF(A35="","",ROUNDUP(F35/10,0)*10)</f>
        <v/>
      </c>
      <c r="L32" s="94" t="n"/>
      <c r="M32" s="154" t="n"/>
      <c r="O32" s="94" t="n"/>
      <c r="P32" s="94" t="n"/>
      <c r="Q32" s="94" t="n"/>
      <c r="R32" s="94" t="n"/>
      <c r="S32" s="94" t="n"/>
      <c r="T32" s="94" t="n"/>
      <c r="U32" s="94" t="n"/>
      <c r="V32" s="94" t="n"/>
      <c r="W32" s="94" t="n"/>
      <c r="X32" s="94" t="n"/>
      <c r="Y32" s="94" t="n"/>
      <c r="Z32" s="94" t="n"/>
    </row>
    <row r="33" ht="21.75" customHeight="1" s="90">
      <c r="A33" s="137" t="inlineStr">
        <is>
          <t>Item</t>
        </is>
      </c>
      <c r="B33" s="137" t="inlineStr">
        <is>
          <t>Vendor</t>
        </is>
      </c>
      <c r="C33" s="137" t="inlineStr">
        <is>
          <t>Qty</t>
        </is>
      </c>
      <c r="D33" s="137" t="inlineStr">
        <is>
          <t>Unit Price</t>
        </is>
      </c>
      <c r="E33" s="137" t="inlineStr">
        <is>
          <t>Our Cost</t>
        </is>
      </c>
      <c r="F33" s="137" t="inlineStr">
        <is>
          <t>Client Cost</t>
        </is>
      </c>
      <c r="G33" s="137" t="inlineStr">
        <is>
          <t>Tax Rate</t>
        </is>
      </c>
      <c r="H33" s="137" t="inlineStr">
        <is>
          <t>Notes / Description</t>
        </is>
      </c>
      <c r="I33" s="94" t="n"/>
      <c r="J33" s="107">
        <f>IF(A36="","",A36&amp;" x"&amp;C36)</f>
        <v/>
      </c>
      <c r="K33" s="139">
        <f>IF(A36="","",ROUNDUP(F36/10,0)*10)</f>
        <v/>
      </c>
      <c r="L33" s="94" t="n"/>
      <c r="M33" s="153" t="inlineStr">
        <is>
          <t>AV Vendor:</t>
        </is>
      </c>
      <c r="O33" s="94" t="n"/>
      <c r="P33" s="94" t="n"/>
      <c r="Q33" s="94" t="n"/>
      <c r="R33" s="94" t="n"/>
      <c r="S33" s="94" t="n"/>
      <c r="T33" s="94" t="n"/>
      <c r="U33" s="94" t="n"/>
      <c r="V33" s="94" t="n"/>
      <c r="W33" s="94" t="n"/>
      <c r="X33" s="94" t="n"/>
      <c r="Y33" s="94" t="n"/>
      <c r="Z33" s="94" t="n"/>
    </row>
    <row r="34" ht="21.75" customHeight="1" s="90">
      <c r="A34" s="143" t="inlineStr">
        <is>
          <t>SEATING  (chairs, barstools, banquettes)</t>
        </is>
      </c>
      <c r="I34" s="94" t="n"/>
      <c r="J34" s="107">
        <f>IF(A37="","",A37&amp;" x"&amp;C37)</f>
        <v/>
      </c>
      <c r="K34" s="139">
        <f>IF(A37="","",ROUNDUP(F37/10,0)*10)</f>
        <v/>
      </c>
      <c r="L34" s="94" t="n"/>
      <c r="M34" s="154" t="n"/>
      <c r="O34" s="94" t="n"/>
      <c r="P34" s="94" t="n"/>
      <c r="Q34" s="94" t="n"/>
      <c r="R34" s="94" t="n"/>
      <c r="S34" s="94" t="n"/>
      <c r="T34" s="94" t="n"/>
      <c r="U34" s="94" t="n"/>
      <c r="V34" s="94" t="n"/>
      <c r="W34" s="94" t="n"/>
      <c r="X34" s="94" t="n"/>
      <c r="Y34" s="94" t="n"/>
      <c r="Z34" s="94" t="n"/>
    </row>
    <row r="35" ht="21.75" customHeight="1" s="90">
      <c r="A35" s="185" t="inlineStr">
        <is>
          <t>Paris Oval Back Chair</t>
        </is>
      </c>
      <c r="B35" s="186" t="inlineStr">
        <is>
          <t>White Glove</t>
        </is>
      </c>
      <c r="C35" s="101" t="n">
        <v>84</v>
      </c>
      <c r="D35" s="129" t="n">
        <v>21</v>
      </c>
      <c r="E35" s="147">
        <f>C35*D35</f>
        <v/>
      </c>
      <c r="F35" s="147">
        <f>IFERROR(E35*(1+VLOOKUP(I35,CategoryTable,2,FALSE)),0)</f>
        <v/>
      </c>
      <c r="G35" s="148">
        <f>'Client Setup'!B19</f>
        <v/>
      </c>
      <c r="H35" s="187" t="n"/>
      <c r="I35" s="188" t="inlineStr">
        <is>
          <t>Décor &amp; Design</t>
        </is>
      </c>
      <c r="J35" s="107">
        <f>IF(A38="","",A38&amp;" x"&amp;C38)</f>
        <v/>
      </c>
      <c r="K35" s="139">
        <f>IF(A38="","",ROUNDUP(F38/10,0)*10)</f>
        <v/>
      </c>
      <c r="L35" s="94" t="n"/>
      <c r="M35" s="153" t="inlineStr">
        <is>
          <t>Design Concept:</t>
        </is>
      </c>
      <c r="O35" s="94" t="n"/>
      <c r="P35" s="94" t="n"/>
      <c r="Q35" s="94" t="n"/>
      <c r="R35" s="94" t="n"/>
      <c r="S35" s="94" t="n"/>
      <c r="T35" s="94" t="n"/>
      <c r="U35" s="94" t="n"/>
      <c r="V35" s="94" t="n"/>
      <c r="W35" s="94" t="n"/>
      <c r="X35" s="94" t="n"/>
      <c r="Y35" s="94" t="n"/>
      <c r="Z35" s="94" t="n"/>
    </row>
    <row r="36" ht="21.75" customHeight="1" s="90">
      <c r="A36" s="185" t="inlineStr">
        <is>
          <t>Ritz Mauve Circular Banquette</t>
        </is>
      </c>
      <c r="B36" s="186" t="inlineStr">
        <is>
          <t>White Glove</t>
        </is>
      </c>
      <c r="C36" s="101" t="n">
        <v>2</v>
      </c>
      <c r="D36" s="129" t="n">
        <v>395</v>
      </c>
      <c r="E36" s="147">
        <f>C36*D36</f>
        <v/>
      </c>
      <c r="F36" s="147">
        <f>IFERROR(E36*(1+VLOOKUP(I36,CategoryTable,2,FALSE)),0)</f>
        <v/>
      </c>
      <c r="G36" s="148">
        <f>'Client Setup'!B19</f>
        <v/>
      </c>
      <c r="H36" s="187" t="n"/>
      <c r="I36" s="188" t="inlineStr">
        <is>
          <t>Décor &amp; Design</t>
        </is>
      </c>
      <c r="J36" s="107">
        <f>IF(A39="","",A39&amp;" x"&amp;C39)</f>
        <v/>
      </c>
      <c r="K36" s="139">
        <f>IF(A39="","",ROUNDUP(F39/10,0)*10)</f>
        <v/>
      </c>
      <c r="L36" s="94" t="n"/>
      <c r="M36" s="154" t="n"/>
      <c r="O36" s="94" t="n"/>
      <c r="P36" s="94" t="n"/>
      <c r="Q36" s="94" t="n"/>
      <c r="R36" s="94" t="n"/>
      <c r="S36" s="94" t="n"/>
      <c r="T36" s="94" t="n"/>
      <c r="U36" s="94" t="n"/>
      <c r="V36" s="94" t="n"/>
      <c r="W36" s="94" t="n"/>
      <c r="X36" s="94" t="n"/>
      <c r="Y36" s="94" t="n"/>
      <c r="Z36" s="94" t="n"/>
    </row>
    <row r="37" ht="21.75" customHeight="1" s="90">
      <c r="A37" s="185" t="n"/>
      <c r="B37" s="186" t="n"/>
      <c r="C37" s="101" t="n"/>
      <c r="D37" s="129" t="n"/>
      <c r="E37" s="147">
        <f>C37*D37</f>
        <v/>
      </c>
      <c r="F37" s="147">
        <f>IFERROR(E37*(1+VLOOKUP(I37,CategoryTable,2,FALSE)),0)</f>
        <v/>
      </c>
      <c r="G37" s="148">
        <f>'Client Setup'!B19</f>
        <v/>
      </c>
      <c r="H37" s="187" t="n"/>
      <c r="I37" s="188" t="inlineStr">
        <is>
          <t>Décor &amp; Design</t>
        </is>
      </c>
      <c r="J37" s="107">
        <f>IF(A40="","",A40&amp;" x"&amp;C40)</f>
        <v/>
      </c>
      <c r="K37" s="139">
        <f>IF(A40="","",ROUNDUP(F40/10,0)*10)</f>
        <v/>
      </c>
      <c r="L37" s="94" t="n"/>
      <c r="M37" s="154" t="n"/>
      <c r="O37" s="94" t="n"/>
      <c r="P37" s="94" t="n"/>
      <c r="Q37" s="94" t="n"/>
      <c r="R37" s="94" t="n"/>
      <c r="S37" s="94" t="n"/>
      <c r="T37" s="94" t="n"/>
      <c r="U37" s="94" t="n"/>
      <c r="V37" s="94" t="n"/>
      <c r="W37" s="94" t="n"/>
      <c r="X37" s="94" t="n"/>
      <c r="Y37" s="94" t="n"/>
      <c r="Z37" s="94" t="n"/>
    </row>
    <row r="38" ht="21.75" customHeight="1" s="90">
      <c r="A38" s="185" t="n"/>
      <c r="B38" s="186" t="n"/>
      <c r="C38" s="101" t="n"/>
      <c r="D38" s="129" t="n"/>
      <c r="E38" s="147">
        <f>C38*D38</f>
        <v/>
      </c>
      <c r="F38" s="147">
        <f>IFERROR(E38*(1+VLOOKUP(I38,CategoryTable,2,FALSE)),0)</f>
        <v/>
      </c>
      <c r="G38" s="148">
        <f>'Client Setup'!B19</f>
        <v/>
      </c>
      <c r="H38" s="187" t="n"/>
      <c r="I38" s="188" t="inlineStr">
        <is>
          <t>Décor &amp; Design</t>
        </is>
      </c>
      <c r="J38" s="107">
        <f>IF(A41="","",A41&amp;" x"&amp;C41)</f>
        <v/>
      </c>
      <c r="K38" s="139">
        <f>IF(A41="","",ROUNDUP(F41/10,0)*10)</f>
        <v/>
      </c>
      <c r="L38" s="94" t="n"/>
      <c r="M38" s="153" t="inlineStr">
        <is>
          <t>Logistics:</t>
        </is>
      </c>
      <c r="O38" s="94" t="n"/>
      <c r="P38" s="94" t="n"/>
      <c r="Q38" s="94" t="n"/>
      <c r="R38" s="94" t="n"/>
      <c r="S38" s="94" t="n"/>
      <c r="T38" s="94" t="n"/>
      <c r="U38" s="94" t="n"/>
      <c r="V38" s="94" t="n"/>
      <c r="W38" s="94" t="n"/>
      <c r="X38" s="94" t="n"/>
      <c r="Y38" s="94" t="n"/>
      <c r="Z38" s="94" t="n"/>
    </row>
    <row r="39" ht="21.75" customHeight="1" s="90">
      <c r="A39" s="185" t="n"/>
      <c r="B39" s="186" t="n"/>
      <c r="C39" s="101" t="n"/>
      <c r="D39" s="129" t="n"/>
      <c r="E39" s="147">
        <f>C39*D39</f>
        <v/>
      </c>
      <c r="F39" s="147">
        <f>IFERROR(E39*(1+VLOOKUP(I39,CategoryTable,2,FALSE)),0)</f>
        <v/>
      </c>
      <c r="G39" s="148">
        <f>'Client Setup'!B19</f>
        <v/>
      </c>
      <c r="H39" s="187" t="n"/>
      <c r="I39" s="188" t="inlineStr">
        <is>
          <t>Décor &amp; Design</t>
        </is>
      </c>
      <c r="J39" s="107">
        <f>IF(A42="","",A42&amp;" x"&amp;C42)</f>
        <v/>
      </c>
      <c r="K39" s="139">
        <f>IF(A42="","",ROUNDUP(F42/10,0)*10)</f>
        <v/>
      </c>
      <c r="L39" s="94" t="n"/>
      <c r="M39" s="154" t="n"/>
      <c r="O39" s="94" t="n"/>
      <c r="P39" s="94" t="n"/>
      <c r="Q39" s="94" t="n"/>
      <c r="R39" s="94" t="n"/>
      <c r="S39" s="94" t="n"/>
      <c r="T39" s="94" t="n"/>
      <c r="U39" s="94" t="n"/>
      <c r="V39" s="94" t="n"/>
      <c r="W39" s="94" t="n"/>
      <c r="X39" s="94" t="n"/>
      <c r="Y39" s="94" t="n"/>
      <c r="Z39" s="94" t="n"/>
    </row>
    <row r="40" ht="21.75" customHeight="1" s="90">
      <c r="A40" s="185" t="n"/>
      <c r="B40" s="186" t="n"/>
      <c r="C40" s="101" t="n"/>
      <c r="D40" s="129" t="n"/>
      <c r="E40" s="147">
        <f>C40*D40</f>
        <v/>
      </c>
      <c r="F40" s="147">
        <f>IFERROR(E40*(1+VLOOKUP(I40,CategoryTable,2,FALSE)),0)</f>
        <v/>
      </c>
      <c r="G40" s="148">
        <f>'Client Setup'!B19</f>
        <v/>
      </c>
      <c r="H40" s="187" t="n"/>
      <c r="I40" s="188" t="inlineStr">
        <is>
          <t>Décor &amp; Design</t>
        </is>
      </c>
      <c r="J40" s="107">
        <f>IF(A44="","",A44&amp;" x"&amp;C44)</f>
        <v/>
      </c>
      <c r="K40" s="139">
        <f>IF(A44="","",ROUNDUP(F44/10,0)*10)</f>
        <v/>
      </c>
      <c r="L40" s="94" t="n"/>
      <c r="M40" s="153" t="inlineStr">
        <is>
          <t>Additional Notes:</t>
        </is>
      </c>
      <c r="O40" s="94" t="n"/>
      <c r="P40" s="94" t="n"/>
      <c r="Q40" s="94" t="n"/>
      <c r="R40" s="94" t="n"/>
      <c r="S40" s="94" t="n"/>
      <c r="T40" s="94" t="n"/>
      <c r="U40" s="94" t="n"/>
      <c r="V40" s="94" t="n"/>
      <c r="W40" s="94" t="n"/>
      <c r="X40" s="94" t="n"/>
      <c r="Y40" s="94" t="n"/>
      <c r="Z40" s="94" t="n"/>
    </row>
    <row r="41" ht="21.75" customHeight="1" s="90">
      <c r="A41" s="185" t="n"/>
      <c r="B41" s="186" t="n"/>
      <c r="C41" s="101" t="n"/>
      <c r="D41" s="129" t="n"/>
      <c r="E41" s="147">
        <f>C41*D41</f>
        <v/>
      </c>
      <c r="F41" s="147">
        <f>IFERROR(E41*(1+VLOOKUP(I41,CategoryTable,2,FALSE)),0)</f>
        <v/>
      </c>
      <c r="G41" s="148">
        <f>'Client Setup'!B19</f>
        <v/>
      </c>
      <c r="H41" s="187" t="n"/>
      <c r="I41" s="188" t="inlineStr">
        <is>
          <t>Décor &amp; Design</t>
        </is>
      </c>
      <c r="J41" s="107">
        <f>IF(A45="","",A45&amp;" x"&amp;C45)</f>
        <v/>
      </c>
      <c r="K41" s="139">
        <f>IF(A45="","",ROUNDUP(F45/10,0)*10)</f>
        <v/>
      </c>
      <c r="L41" s="94" t="n"/>
      <c r="M41" s="154" t="n"/>
      <c r="O41" s="94" t="n"/>
      <c r="P41" s="94" t="n"/>
      <c r="Q41" s="94" t="n"/>
      <c r="R41" s="94" t="n"/>
      <c r="S41" s="94" t="n"/>
      <c r="T41" s="94" t="n"/>
      <c r="U41" s="94" t="n"/>
      <c r="V41" s="94" t="n"/>
      <c r="W41" s="94" t="n"/>
      <c r="X41" s="94" t="n"/>
      <c r="Y41" s="94" t="n"/>
      <c r="Z41" s="94" t="n"/>
    </row>
    <row r="42" ht="21.75" customHeight="1" s="90">
      <c r="A42" s="185" t="n"/>
      <c r="B42" s="186" t="n"/>
      <c r="C42" s="101" t="n"/>
      <c r="D42" s="129" t="n"/>
      <c r="E42" s="147">
        <f>C42*D42</f>
        <v/>
      </c>
      <c r="F42" s="147">
        <f>IFERROR(E42*(1+VLOOKUP(I42,CategoryTable,2,FALSE)),0)</f>
        <v/>
      </c>
      <c r="G42" s="148">
        <f>'Client Setup'!B19</f>
        <v/>
      </c>
      <c r="H42" s="187" t="n"/>
      <c r="I42" s="188" t="inlineStr">
        <is>
          <t>Décor &amp; Design</t>
        </is>
      </c>
      <c r="J42" s="107">
        <f>IF(A46="","",A46&amp;" x"&amp;C46)</f>
        <v/>
      </c>
      <c r="K42" s="139">
        <f>IF(A46="","",ROUNDUP(F46/10,0)*10)</f>
        <v/>
      </c>
      <c r="L42" s="94" t="n"/>
      <c r="M42" s="154" t="n"/>
      <c r="O42" s="94" t="n"/>
      <c r="P42" s="94" t="n"/>
      <c r="Q42" s="94" t="n"/>
      <c r="R42" s="94" t="n"/>
      <c r="S42" s="94" t="n"/>
      <c r="T42" s="94" t="n"/>
      <c r="U42" s="94" t="n"/>
      <c r="V42" s="94" t="n"/>
      <c r="W42" s="94" t="n"/>
      <c r="X42" s="94" t="n"/>
      <c r="Y42" s="94" t="n"/>
      <c r="Z42" s="94" t="n"/>
    </row>
    <row r="43" ht="21.75" customHeight="1" s="90">
      <c r="A43" s="143" t="inlineStr">
        <is>
          <t>LOUNGE  (sofas, sectionals, club chairs)</t>
        </is>
      </c>
      <c r="I43" s="94" t="n"/>
      <c r="J43" s="107">
        <f>IF(A47="","",A47&amp;" x"&amp;C47)</f>
        <v/>
      </c>
      <c r="K43" s="139">
        <f>IF(A47="","",ROUNDUP(F47/10,0)*10)</f>
        <v/>
      </c>
      <c r="L43" s="94" t="n"/>
      <c r="M43" s="94" t="n"/>
      <c r="N43" s="94" t="n"/>
      <c r="O43" s="94" t="n"/>
      <c r="P43" s="94" t="n"/>
      <c r="Q43" s="94" t="n"/>
      <c r="R43" s="94" t="n"/>
      <c r="S43" s="94" t="n"/>
      <c r="T43" s="94" t="n"/>
      <c r="U43" s="94" t="n"/>
      <c r="V43" s="94" t="n"/>
      <c r="W43" s="94" t="n"/>
      <c r="X43" s="94" t="n"/>
      <c r="Y43" s="94" t="n"/>
      <c r="Z43" s="94" t="n"/>
    </row>
    <row r="44" ht="21.75" customHeight="1" s="90">
      <c r="A44" s="185" t="inlineStr">
        <is>
          <t>Gillian Club Chair</t>
        </is>
      </c>
      <c r="B44" s="186" t="inlineStr">
        <is>
          <t>White Glove</t>
        </is>
      </c>
      <c r="C44" s="101" t="n">
        <v>4</v>
      </c>
      <c r="D44" s="129" t="n">
        <v>165</v>
      </c>
      <c r="E44" s="147">
        <f>C44*D44</f>
        <v/>
      </c>
      <c r="F44" s="147">
        <f>IFERROR(E44*(1+VLOOKUP(I44,CategoryTable,2,FALSE)),0)</f>
        <v/>
      </c>
      <c r="G44" s="148">
        <f>'Client Setup'!B19</f>
        <v/>
      </c>
      <c r="H44" s="187" t="n"/>
      <c r="I44" s="188" t="inlineStr">
        <is>
          <t>Décor &amp; Design</t>
        </is>
      </c>
      <c r="J44" s="107">
        <f>IF(A48="","",A48&amp;" x"&amp;C48)</f>
        <v/>
      </c>
      <c r="K44" s="139">
        <f>IF(A48="","",ROUNDUP(F48/10,0)*10)</f>
        <v/>
      </c>
      <c r="L44" s="94" t="n"/>
      <c r="M44" s="94" t="n"/>
      <c r="N44" s="94" t="n"/>
      <c r="O44" s="94" t="n"/>
      <c r="P44" s="94" t="n"/>
      <c r="Q44" s="94" t="n"/>
      <c r="R44" s="94" t="n"/>
      <c r="S44" s="94" t="n"/>
      <c r="T44" s="94" t="n"/>
      <c r="U44" s="94" t="n"/>
      <c r="V44" s="94" t="n"/>
      <c r="W44" s="94" t="n"/>
      <c r="X44" s="94" t="n"/>
      <c r="Y44" s="94" t="n"/>
      <c r="Z44" s="94" t="n"/>
    </row>
    <row r="45" ht="21.75" customHeight="1" s="90">
      <c r="A45" s="185" t="inlineStr">
        <is>
          <t>Drift LEFT ARM Section</t>
        </is>
      </c>
      <c r="B45" s="186" t="inlineStr">
        <is>
          <t>White Glove</t>
        </is>
      </c>
      <c r="C45" s="101" t="n">
        <v>2</v>
      </c>
      <c r="D45" s="129" t="n">
        <v>237.5</v>
      </c>
      <c r="E45" s="147">
        <f>C45*D45</f>
        <v/>
      </c>
      <c r="F45" s="147">
        <f>IFERROR(E45*(1+VLOOKUP(I45,CategoryTable,2,FALSE)),0)</f>
        <v/>
      </c>
      <c r="G45" s="148">
        <f>'Client Setup'!B19</f>
        <v/>
      </c>
      <c r="H45" s="187" t="inlineStr">
        <is>
          <t>Creating (2) 3-piece sectionals</t>
        </is>
      </c>
      <c r="I45" s="188" t="inlineStr">
        <is>
          <t>Décor &amp; Design</t>
        </is>
      </c>
      <c r="J45" s="107">
        <f>IF(A49="","",A49&amp;" x"&amp;C49)</f>
        <v/>
      </c>
      <c r="K45" s="139">
        <f>IF(A49="","",ROUNDUP(F49/10,0)*10)</f>
        <v/>
      </c>
      <c r="L45" s="94" t="n"/>
      <c r="M45" s="94" t="n"/>
      <c r="N45" s="94" t="n"/>
      <c r="O45" s="94" t="n"/>
      <c r="P45" s="94" t="n"/>
      <c r="Q45" s="94" t="n"/>
      <c r="R45" s="94" t="n"/>
      <c r="S45" s="94" t="n"/>
      <c r="T45" s="94" t="n"/>
      <c r="U45" s="94" t="n"/>
      <c r="V45" s="94" t="n"/>
      <c r="W45" s="94" t="n"/>
      <c r="X45" s="94" t="n"/>
      <c r="Y45" s="94" t="n"/>
      <c r="Z45" s="94" t="n"/>
    </row>
    <row r="46" ht="21.75" customHeight="1" s="90">
      <c r="A46" s="185" t="inlineStr">
        <is>
          <t>Drift CENTER Section</t>
        </is>
      </c>
      <c r="B46" s="186" t="inlineStr">
        <is>
          <t>White Glove</t>
        </is>
      </c>
      <c r="C46" s="101" t="n">
        <v>2</v>
      </c>
      <c r="D46" s="129" t="n">
        <v>237.5</v>
      </c>
      <c r="E46" s="147">
        <f>C46*D46</f>
        <v/>
      </c>
      <c r="F46" s="147">
        <f>IFERROR(E46*(1+VLOOKUP(I46,CategoryTable,2,FALSE)),0)</f>
        <v/>
      </c>
      <c r="G46" s="148">
        <f>'Client Setup'!B19</f>
        <v/>
      </c>
      <c r="H46" s="187" t="inlineStr">
        <is>
          <t>Creating (2) 3-piece sectionals</t>
        </is>
      </c>
      <c r="I46" s="188" t="inlineStr">
        <is>
          <t>Décor &amp; Design</t>
        </is>
      </c>
      <c r="J46" s="107">
        <f>IF(A50="","",A50&amp;" x"&amp;C50)</f>
        <v/>
      </c>
      <c r="K46" s="139">
        <f>IF(A50="","",ROUNDUP(F50/10,0)*10)</f>
        <v/>
      </c>
      <c r="L46" s="94" t="n"/>
      <c r="M46" s="94" t="n"/>
      <c r="N46" s="94" t="n"/>
      <c r="O46" s="94" t="n"/>
      <c r="P46" s="94" t="n"/>
      <c r="Q46" s="94" t="n"/>
      <c r="R46" s="94" t="n"/>
      <c r="S46" s="94" t="n"/>
      <c r="T46" s="94" t="n"/>
      <c r="U46" s="94" t="n"/>
      <c r="V46" s="94" t="n"/>
      <c r="W46" s="94" t="n"/>
      <c r="X46" s="94" t="n"/>
      <c r="Y46" s="94" t="n"/>
      <c r="Z46" s="94" t="n"/>
    </row>
    <row r="47" ht="21.75" customHeight="1" s="90">
      <c r="A47" s="185" t="inlineStr">
        <is>
          <t>Drift RIGHT ARM Section</t>
        </is>
      </c>
      <c r="B47" s="186" t="inlineStr">
        <is>
          <t>White Glove</t>
        </is>
      </c>
      <c r="C47" s="101" t="n">
        <v>2</v>
      </c>
      <c r="D47" s="129" t="n">
        <v>237.5</v>
      </c>
      <c r="E47" s="147">
        <f>C47*D47</f>
        <v/>
      </c>
      <c r="F47" s="147">
        <f>IFERROR(E47*(1+VLOOKUP(I47,CategoryTable,2,FALSE)),0)</f>
        <v/>
      </c>
      <c r="G47" s="148">
        <f>'Client Setup'!B19</f>
        <v/>
      </c>
      <c r="H47" s="187" t="inlineStr">
        <is>
          <t>Creating (2) 3-piece sectionals</t>
        </is>
      </c>
      <c r="I47" s="188" t="inlineStr">
        <is>
          <t>Décor &amp; Design</t>
        </is>
      </c>
      <c r="J47" s="107">
        <f>IF(A51="","",A51&amp;" x"&amp;C51)</f>
        <v/>
      </c>
      <c r="K47" s="139">
        <f>IF(A51="","",ROUNDUP(F51/10,0)*10)</f>
        <v/>
      </c>
      <c r="L47" s="94" t="n"/>
      <c r="M47" s="94" t="n"/>
      <c r="N47" s="94" t="n"/>
      <c r="O47" s="94" t="n"/>
      <c r="P47" s="94" t="n"/>
      <c r="Q47" s="94" t="n"/>
      <c r="R47" s="94" t="n"/>
      <c r="S47" s="94" t="n"/>
      <c r="T47" s="94" t="n"/>
      <c r="U47" s="94" t="n"/>
      <c r="V47" s="94" t="n"/>
      <c r="W47" s="94" t="n"/>
      <c r="X47" s="94" t="n"/>
      <c r="Y47" s="94" t="n"/>
      <c r="Z47" s="94" t="n"/>
    </row>
    <row r="48" ht="21.75" customHeight="1" s="90">
      <c r="A48" s="185" t="n"/>
      <c r="B48" s="186" t="n"/>
      <c r="C48" s="101" t="n"/>
      <c r="D48" s="129" t="n"/>
      <c r="E48" s="147">
        <f>C48*D48</f>
        <v/>
      </c>
      <c r="F48" s="147">
        <f>IFERROR(E48*(1+VLOOKUP(I48,CategoryTable,2,FALSE)),0)</f>
        <v/>
      </c>
      <c r="G48" s="148">
        <f>'Client Setup'!B19</f>
        <v/>
      </c>
      <c r="H48" s="187" t="n"/>
      <c r="I48" s="188" t="inlineStr">
        <is>
          <t>Décor &amp; Design</t>
        </is>
      </c>
      <c r="J48" s="107">
        <f>IF(A53="","",A53&amp;" x"&amp;C53)</f>
        <v/>
      </c>
      <c r="K48" s="139">
        <f>IF(A53="","",ROUNDUP(F53/10,0)*10)</f>
        <v/>
      </c>
      <c r="L48" s="94" t="n"/>
      <c r="M48" s="94" t="n"/>
      <c r="N48" s="94" t="n"/>
      <c r="O48" s="94" t="n"/>
      <c r="P48" s="94" t="n"/>
      <c r="Q48" s="94" t="n"/>
      <c r="R48" s="94" t="n"/>
      <c r="S48" s="94" t="n"/>
      <c r="T48" s="94" t="n"/>
      <c r="U48" s="94" t="n"/>
      <c r="V48" s="94" t="n"/>
      <c r="W48" s="94" t="n"/>
      <c r="X48" s="94" t="n"/>
      <c r="Y48" s="94" t="n"/>
      <c r="Z48" s="94" t="n"/>
    </row>
    <row r="49" ht="21.75" customHeight="1" s="90">
      <c r="A49" s="185" t="n"/>
      <c r="B49" s="186" t="n"/>
      <c r="C49" s="101" t="n"/>
      <c r="D49" s="129" t="n"/>
      <c r="E49" s="147">
        <f>C49*D49</f>
        <v/>
      </c>
      <c r="F49" s="147">
        <f>IFERROR(E49*(1+VLOOKUP(I49,CategoryTable,2,FALSE)),0)</f>
        <v/>
      </c>
      <c r="G49" s="148">
        <f>'Client Setup'!B19</f>
        <v/>
      </c>
      <c r="H49" s="187" t="n"/>
      <c r="I49" s="188" t="inlineStr">
        <is>
          <t>Décor &amp; Design</t>
        </is>
      </c>
      <c r="J49" s="107">
        <f>IF(A54="","",A54&amp;" x"&amp;C54)</f>
        <v/>
      </c>
      <c r="K49" s="139">
        <f>IF(A54="","",ROUNDUP(F54/10,0)*10)</f>
        <v/>
      </c>
      <c r="L49" s="94" t="n"/>
      <c r="M49" s="94" t="n"/>
      <c r="N49" s="94" t="n"/>
      <c r="O49" s="94" t="n"/>
      <c r="P49" s="94" t="n"/>
      <c r="Q49" s="94" t="n"/>
      <c r="R49" s="94" t="n"/>
      <c r="S49" s="94" t="n"/>
      <c r="T49" s="94" t="n"/>
      <c r="U49" s="94" t="n"/>
      <c r="V49" s="94" t="n"/>
      <c r="W49" s="94" t="n"/>
      <c r="X49" s="94" t="n"/>
      <c r="Y49" s="94" t="n"/>
      <c r="Z49" s="94" t="n"/>
    </row>
    <row r="50" ht="21.75" customHeight="1" s="90">
      <c r="A50" s="185" t="n"/>
      <c r="B50" s="186" t="n"/>
      <c r="C50" s="101" t="n"/>
      <c r="D50" s="129" t="n"/>
      <c r="E50" s="147">
        <f>C50*D50</f>
        <v/>
      </c>
      <c r="F50" s="147">
        <f>IFERROR(E50*(1+VLOOKUP(I50,CategoryTable,2,FALSE)),0)</f>
        <v/>
      </c>
      <c r="G50" s="148">
        <f>'Client Setup'!B19</f>
        <v/>
      </c>
      <c r="H50" s="187" t="n"/>
      <c r="I50" s="188" t="inlineStr">
        <is>
          <t>Décor &amp; Design</t>
        </is>
      </c>
      <c r="J50" s="107">
        <f>IF(A55="","",A55&amp;" x"&amp;C55)</f>
        <v/>
      </c>
      <c r="K50" s="139">
        <f>IF(A55="","",ROUNDUP(F55/10,0)*10)</f>
        <v/>
      </c>
      <c r="L50" s="94" t="n"/>
      <c r="M50" s="94" t="n"/>
      <c r="N50" s="94" t="n"/>
      <c r="O50" s="94" t="n"/>
      <c r="P50" s="94" t="n"/>
      <c r="Q50" s="94" t="n"/>
      <c r="R50" s="94" t="n"/>
      <c r="S50" s="94" t="n"/>
      <c r="T50" s="94" t="n"/>
      <c r="U50" s="94" t="n"/>
      <c r="V50" s="94" t="n"/>
      <c r="W50" s="94" t="n"/>
      <c r="X50" s="94" t="n"/>
      <c r="Y50" s="94" t="n"/>
      <c r="Z50" s="94" t="n"/>
    </row>
    <row r="51" ht="21.75" customHeight="1" s="90">
      <c r="A51" s="185" t="n"/>
      <c r="B51" s="186" t="n"/>
      <c r="C51" s="101" t="n"/>
      <c r="D51" s="129" t="n"/>
      <c r="E51" s="147">
        <f>C51*D51</f>
        <v/>
      </c>
      <c r="F51" s="147">
        <f>IFERROR(E51*(1+VLOOKUP(I51,CategoryTable,2,FALSE)),0)</f>
        <v/>
      </c>
      <c r="G51" s="148">
        <f>'Client Setup'!B19</f>
        <v/>
      </c>
      <c r="H51" s="187" t="n"/>
      <c r="I51" s="188" t="inlineStr">
        <is>
          <t>Décor &amp; Design</t>
        </is>
      </c>
      <c r="J51" s="107">
        <f>IF(A56="","",A56&amp;" x"&amp;C56)</f>
        <v/>
      </c>
      <c r="K51" s="139">
        <f>IF(A56="","",ROUNDUP(F56/10,0)*10)</f>
        <v/>
      </c>
      <c r="L51" s="94" t="n"/>
      <c r="M51" s="94" t="n"/>
      <c r="N51" s="94" t="n"/>
      <c r="O51" s="94" t="n"/>
      <c r="P51" s="94" t="n"/>
      <c r="Q51" s="94" t="n"/>
      <c r="R51" s="94" t="n"/>
      <c r="S51" s="94" t="n"/>
      <c r="T51" s="94" t="n"/>
      <c r="U51" s="94" t="n"/>
      <c r="V51" s="94" t="n"/>
      <c r="W51" s="94" t="n"/>
      <c r="X51" s="94" t="n"/>
      <c r="Y51" s="94" t="n"/>
      <c r="Z51" s="94" t="n"/>
    </row>
    <row r="52" ht="21.75" customHeight="1" s="90">
      <c r="A52" s="143" t="inlineStr">
        <is>
          <t>TABLES  (cocktail, coffee, side, dining)</t>
        </is>
      </c>
      <c r="I52" s="94" t="n"/>
      <c r="J52" s="107">
        <f>IF(A57="","",A57&amp;" x"&amp;C57)</f>
        <v/>
      </c>
      <c r="K52" s="139">
        <f>IF(A57="","",ROUNDUP(F57/10,0)*10)</f>
        <v/>
      </c>
      <c r="L52" s="94" t="n"/>
      <c r="M52" s="94" t="n"/>
      <c r="N52" s="94" t="n"/>
      <c r="O52" s="94" t="n"/>
      <c r="P52" s="94" t="n"/>
      <c r="Q52" s="94" t="n"/>
      <c r="R52" s="94" t="n"/>
      <c r="S52" s="94" t="n"/>
      <c r="T52" s="94" t="n"/>
      <c r="U52" s="94" t="n"/>
      <c r="V52" s="94" t="n"/>
      <c r="W52" s="94" t="n"/>
      <c r="X52" s="94" t="n"/>
      <c r="Y52" s="94" t="n"/>
      <c r="Z52" s="94" t="n"/>
    </row>
    <row r="53" ht="21.75" customHeight="1" s="90">
      <c r="A53" s="185" t="inlineStr">
        <is>
          <t>Branch &amp; Root Side Table</t>
        </is>
      </c>
      <c r="B53" s="186" t="inlineStr">
        <is>
          <t>White Glove</t>
        </is>
      </c>
      <c r="C53" s="101" t="n">
        <v>4</v>
      </c>
      <c r="D53" s="129" t="n">
        <v>69</v>
      </c>
      <c r="E53" s="147">
        <f>C53*D53</f>
        <v/>
      </c>
      <c r="F53" s="147">
        <f>IFERROR(E53*(1+VLOOKUP(I53,CategoryTable,2,FALSE)),0)</f>
        <v/>
      </c>
      <c r="G53" s="148">
        <f>'Client Setup'!B19</f>
        <v/>
      </c>
      <c r="H53" s="187" t="n"/>
      <c r="I53" s="188" t="inlineStr">
        <is>
          <t>Décor &amp; Design</t>
        </is>
      </c>
      <c r="J53" s="107">
        <f>IF(A58="","",A58&amp;" x"&amp;C58)</f>
        <v/>
      </c>
      <c r="K53" s="139">
        <f>IF(A58="","",ROUNDUP(F58/10,0)*10)</f>
        <v/>
      </c>
      <c r="L53" s="94" t="n"/>
      <c r="M53" s="94" t="n"/>
      <c r="N53" s="94" t="n"/>
      <c r="O53" s="94" t="n"/>
      <c r="P53" s="94" t="n"/>
      <c r="Q53" s="94" t="n"/>
      <c r="R53" s="94" t="n"/>
      <c r="S53" s="94" t="n"/>
      <c r="T53" s="94" t="n"/>
      <c r="U53" s="94" t="n"/>
      <c r="V53" s="94" t="n"/>
      <c r="W53" s="94" t="n"/>
      <c r="X53" s="94" t="n"/>
      <c r="Y53" s="94" t="n"/>
      <c r="Z53" s="94" t="n"/>
    </row>
    <row r="54" ht="21.75" customHeight="1" s="90">
      <c r="A54" s="185" t="inlineStr">
        <is>
          <t>Belmont Coffee Table</t>
        </is>
      </c>
      <c r="B54" s="186" t="inlineStr">
        <is>
          <t>White Glove</t>
        </is>
      </c>
      <c r="C54" s="101" t="n">
        <v>2</v>
      </c>
      <c r="D54" s="129" t="n">
        <v>129</v>
      </c>
      <c r="E54" s="147">
        <f>C54*D54</f>
        <v/>
      </c>
      <c r="F54" s="147">
        <f>IFERROR(E54*(1+VLOOKUP(I54,CategoryTable,2,FALSE)),0)</f>
        <v/>
      </c>
      <c r="G54" s="148">
        <f>'Client Setup'!B19</f>
        <v/>
      </c>
      <c r="H54" s="187" t="n"/>
      <c r="I54" s="188" t="inlineStr">
        <is>
          <t>Décor &amp; Design</t>
        </is>
      </c>
      <c r="J54" s="107">
        <f>IF(A59="","",A59&amp;" x"&amp;C59)</f>
        <v/>
      </c>
      <c r="K54" s="139">
        <f>IF(A59="","",ROUNDUP(F59/10,0)*10)</f>
        <v/>
      </c>
      <c r="L54" s="94" t="n"/>
      <c r="M54" s="94" t="n"/>
      <c r="N54" s="94" t="n"/>
      <c r="O54" s="94" t="n"/>
      <c r="P54" s="94" t="n"/>
      <c r="Q54" s="94" t="n"/>
      <c r="R54" s="94" t="n"/>
      <c r="S54" s="94" t="n"/>
      <c r="T54" s="94" t="n"/>
      <c r="U54" s="94" t="n"/>
      <c r="V54" s="94" t="n"/>
      <c r="W54" s="94" t="n"/>
      <c r="X54" s="94" t="n"/>
      <c r="Y54" s="94" t="n"/>
      <c r="Z54" s="94" t="n"/>
    </row>
    <row r="55" ht="21.75" customHeight="1" s="90">
      <c r="A55" s="185" t="inlineStr">
        <is>
          <t>Talia Cocktail Table</t>
        </is>
      </c>
      <c r="B55" s="186" t="inlineStr">
        <is>
          <t>White Glove</t>
        </is>
      </c>
      <c r="C55" s="101" t="n">
        <v>14</v>
      </c>
      <c r="D55" s="129" t="n">
        <v>129</v>
      </c>
      <c r="E55" s="147">
        <f>C55*D55</f>
        <v/>
      </c>
      <c r="F55" s="147">
        <f>IFERROR(E55*(1+VLOOKUP(I55,CategoryTable,2,FALSE)),0)</f>
        <v/>
      </c>
      <c r="G55" s="148">
        <f>'Client Setup'!B19</f>
        <v/>
      </c>
      <c r="H55" s="187" t="n"/>
      <c r="I55" s="188" t="inlineStr">
        <is>
          <t>Décor &amp; Design</t>
        </is>
      </c>
      <c r="J55" s="107">
        <f>IF(A60="","",A60&amp;" x"&amp;C60)</f>
        <v/>
      </c>
      <c r="K55" s="139">
        <f>IF(A60="","",ROUNDUP(F60/10,0)*10)</f>
        <v/>
      </c>
      <c r="L55" s="94" t="n"/>
      <c r="M55" s="94" t="n"/>
      <c r="N55" s="94" t="n"/>
      <c r="O55" s="94" t="n"/>
      <c r="P55" s="94" t="n"/>
      <c r="Q55" s="94" t="n"/>
      <c r="R55" s="94" t="n"/>
      <c r="S55" s="94" t="n"/>
      <c r="T55" s="94" t="n"/>
      <c r="U55" s="94" t="n"/>
      <c r="V55" s="94" t="n"/>
      <c r="W55" s="94" t="n"/>
      <c r="X55" s="94" t="n"/>
      <c r="Y55" s="94" t="n"/>
      <c r="Z55" s="94" t="n"/>
    </row>
    <row r="56" ht="21.75" customHeight="1" s="90">
      <c r="A56" s="185" t="n"/>
      <c r="B56" s="186" t="n"/>
      <c r="C56" s="101" t="n"/>
      <c r="D56" s="129" t="n"/>
      <c r="E56" s="147">
        <f>C56*D56</f>
        <v/>
      </c>
      <c r="F56" s="147">
        <f>IFERROR(E56*(1+VLOOKUP(I56,CategoryTable,2,FALSE)),0)</f>
        <v/>
      </c>
      <c r="G56" s="148">
        <f>'Client Setup'!B19</f>
        <v/>
      </c>
      <c r="H56" s="187" t="n"/>
      <c r="I56" s="188" t="inlineStr">
        <is>
          <t>Décor &amp; Design</t>
        </is>
      </c>
      <c r="J56" s="107">
        <f>IF(A62="","",A62&amp;" x"&amp;C62)</f>
        <v/>
      </c>
      <c r="K56" s="139">
        <f>IF(A62="","",ROUNDUP(F62/10,0)*10)</f>
        <v/>
      </c>
      <c r="L56" s="94" t="n"/>
      <c r="M56" s="94" t="n"/>
      <c r="N56" s="94" t="n"/>
      <c r="O56" s="94" t="n"/>
      <c r="P56" s="94" t="n"/>
      <c r="Q56" s="94" t="n"/>
      <c r="R56" s="94" t="n"/>
      <c r="S56" s="94" t="n"/>
      <c r="T56" s="94" t="n"/>
      <c r="U56" s="94" t="n"/>
      <c r="V56" s="94" t="n"/>
      <c r="W56" s="94" t="n"/>
      <c r="X56" s="94" t="n"/>
      <c r="Y56" s="94" t="n"/>
      <c r="Z56" s="94" t="n"/>
    </row>
    <row r="57" ht="21.75" customHeight="1" s="90">
      <c r="A57" s="185" t="n"/>
      <c r="B57" s="186" t="n"/>
      <c r="C57" s="101" t="n"/>
      <c r="D57" s="129" t="n"/>
      <c r="E57" s="147">
        <f>C57*D57</f>
        <v/>
      </c>
      <c r="F57" s="147">
        <f>IFERROR(E57*(1+VLOOKUP(I57,CategoryTable,2,FALSE)),0)</f>
        <v/>
      </c>
      <c r="G57" s="148">
        <f>'Client Setup'!B19</f>
        <v/>
      </c>
      <c r="H57" s="187" t="n"/>
      <c r="I57" s="188" t="inlineStr">
        <is>
          <t>Décor &amp; Design</t>
        </is>
      </c>
      <c r="J57" s="107">
        <f>IF(A63="","",A63&amp;" x"&amp;C63)</f>
        <v/>
      </c>
      <c r="K57" s="139">
        <f>IF(A63="","",ROUNDUP(F63/10,0)*10)</f>
        <v/>
      </c>
      <c r="L57" s="94" t="n"/>
      <c r="M57" s="94" t="n"/>
      <c r="N57" s="94" t="n"/>
      <c r="O57" s="94" t="n"/>
      <c r="P57" s="94" t="n"/>
      <c r="Q57" s="94" t="n"/>
      <c r="R57" s="94" t="n"/>
      <c r="S57" s="94" t="n"/>
      <c r="T57" s="94" t="n"/>
      <c r="U57" s="94" t="n"/>
      <c r="V57" s="94" t="n"/>
      <c r="W57" s="94" t="n"/>
      <c r="X57" s="94" t="n"/>
      <c r="Y57" s="94" t="n"/>
      <c r="Z57" s="94" t="n"/>
    </row>
    <row r="58" ht="21.75" customHeight="1" s="90">
      <c r="A58" s="185" t="n"/>
      <c r="B58" s="186" t="n"/>
      <c r="C58" s="101" t="n"/>
      <c r="D58" s="129" t="n"/>
      <c r="E58" s="147">
        <f>C58*D58</f>
        <v/>
      </c>
      <c r="F58" s="147">
        <f>IFERROR(E58*(1+VLOOKUP(I58,CategoryTable,2,FALSE)),0)</f>
        <v/>
      </c>
      <c r="G58" s="148">
        <f>'Client Setup'!B19</f>
        <v/>
      </c>
      <c r="H58" s="187" t="n"/>
      <c r="I58" s="188" t="inlineStr">
        <is>
          <t>Décor &amp; Design</t>
        </is>
      </c>
      <c r="J58" s="107">
        <f>IF(A64="","",A64&amp;" x"&amp;C64)</f>
        <v/>
      </c>
      <c r="K58" s="139">
        <f>IF(A64="","",ROUNDUP(F64/10,0)*10)</f>
        <v/>
      </c>
      <c r="L58" s="94" t="n"/>
      <c r="M58" s="94" t="n"/>
      <c r="N58" s="94" t="n"/>
      <c r="O58" s="94" t="n"/>
      <c r="P58" s="94" t="n"/>
      <c r="Q58" s="94" t="n"/>
      <c r="R58" s="94" t="n"/>
      <c r="S58" s="94" t="n"/>
      <c r="T58" s="94" t="n"/>
      <c r="U58" s="94" t="n"/>
      <c r="V58" s="94" t="n"/>
      <c r="W58" s="94" t="n"/>
      <c r="X58" s="94" t="n"/>
      <c r="Y58" s="94" t="n"/>
      <c r="Z58" s="94" t="n"/>
    </row>
    <row r="59" ht="21.75" customHeight="1" s="90">
      <c r="A59" s="185" t="n"/>
      <c r="B59" s="186" t="n"/>
      <c r="C59" s="101" t="n"/>
      <c r="D59" s="129" t="n"/>
      <c r="E59" s="147">
        <f>C59*D59</f>
        <v/>
      </c>
      <c r="F59" s="147">
        <f>IFERROR(E59*(1+VLOOKUP(I59,CategoryTable,2,FALSE)),0)</f>
        <v/>
      </c>
      <c r="G59" s="148">
        <f>'Client Setup'!B19</f>
        <v/>
      </c>
      <c r="H59" s="187" t="n"/>
      <c r="I59" s="188" t="inlineStr">
        <is>
          <t>Décor &amp; Design</t>
        </is>
      </c>
      <c r="J59" s="107">
        <f>IF(A65="","",A65&amp;" x"&amp;C65)</f>
        <v/>
      </c>
      <c r="K59" s="139">
        <f>IF(A65="","",ROUNDUP(F65/10,0)*10)</f>
        <v/>
      </c>
      <c r="L59" s="94" t="n"/>
      <c r="M59" s="94" t="n"/>
      <c r="N59" s="94" t="n"/>
      <c r="O59" s="94" t="n"/>
      <c r="P59" s="94" t="n"/>
      <c r="Q59" s="94" t="n"/>
      <c r="R59" s="94" t="n"/>
      <c r="S59" s="94" t="n"/>
      <c r="T59" s="94" t="n"/>
      <c r="U59" s="94" t="n"/>
      <c r="V59" s="94" t="n"/>
      <c r="W59" s="94" t="n"/>
      <c r="X59" s="94" t="n"/>
      <c r="Y59" s="94" t="n"/>
      <c r="Z59" s="94" t="n"/>
    </row>
    <row r="60" ht="21.75" customHeight="1" s="90">
      <c r="A60" s="185" t="n"/>
      <c r="B60" s="186" t="n"/>
      <c r="C60" s="101" t="n"/>
      <c r="D60" s="129" t="n"/>
      <c r="E60" s="147">
        <f>C60*D60</f>
        <v/>
      </c>
      <c r="F60" s="147">
        <f>IFERROR(E60*(1+VLOOKUP(I60,CategoryTable,2,FALSE)),0)</f>
        <v/>
      </c>
      <c r="G60" s="148">
        <f>'Client Setup'!B19</f>
        <v/>
      </c>
      <c r="H60" s="187" t="n"/>
      <c r="I60" s="188" t="inlineStr">
        <is>
          <t>Décor &amp; Design</t>
        </is>
      </c>
      <c r="J60" s="107">
        <f>IF(A66="","",A66&amp;" x"&amp;C66)</f>
        <v/>
      </c>
      <c r="K60" s="139">
        <f>IF(A66="","",ROUNDUP(F66/10,0)*10)</f>
        <v/>
      </c>
      <c r="L60" s="94" t="n"/>
      <c r="M60" s="94" t="n"/>
      <c r="N60" s="94" t="n"/>
      <c r="O60" s="94" t="n"/>
      <c r="P60" s="94" t="n"/>
      <c r="Q60" s="94" t="n"/>
      <c r="R60" s="94" t="n"/>
      <c r="S60" s="94" t="n"/>
      <c r="T60" s="94" t="n"/>
      <c r="U60" s="94" t="n"/>
      <c r="V60" s="94" t="n"/>
      <c r="W60" s="94" t="n"/>
      <c r="X60" s="94" t="n"/>
      <c r="Y60" s="94" t="n"/>
      <c r="Z60" s="94" t="n"/>
    </row>
    <row r="61" ht="21.75" customHeight="1" s="90">
      <c r="A61" s="143" t="inlineStr">
        <is>
          <t>RUGS, DECOR &amp; ACCESSORIES</t>
        </is>
      </c>
      <c r="I61" s="94" t="n"/>
      <c r="J61" s="107">
        <f>IF(A67="","",A67&amp;" x"&amp;C67)</f>
        <v/>
      </c>
      <c r="K61" s="139">
        <f>IF(A67="","",ROUNDUP(F67/10,0)*10)</f>
        <v/>
      </c>
      <c r="L61" s="94" t="n"/>
      <c r="M61" s="94" t="n"/>
      <c r="N61" s="94" t="n"/>
      <c r="O61" s="94" t="n"/>
      <c r="P61" s="94" t="n"/>
      <c r="Q61" s="94" t="n"/>
      <c r="R61" s="94" t="n"/>
      <c r="S61" s="94" t="n"/>
      <c r="T61" s="94" t="n"/>
      <c r="U61" s="94" t="n"/>
      <c r="V61" s="94" t="n"/>
      <c r="W61" s="94" t="n"/>
      <c r="X61" s="94" t="n"/>
      <c r="Y61" s="94" t="n"/>
      <c r="Z61" s="94" t="n"/>
    </row>
    <row r="62" ht="21.75" customHeight="1" s="90">
      <c r="A62" s="185" t="inlineStr">
        <is>
          <t>Edith Pink Medallion Rug (5x8)</t>
        </is>
      </c>
      <c r="B62" s="186" t="inlineStr">
        <is>
          <t>White Glove</t>
        </is>
      </c>
      <c r="C62" s="101" t="n">
        <v>2</v>
      </c>
      <c r="D62" s="129" t="n">
        <v>69</v>
      </c>
      <c r="E62" s="147">
        <f>C62*D62</f>
        <v/>
      </c>
      <c r="F62" s="147">
        <f>IFERROR(E62*(1+VLOOKUP(I62,CategoryTable,2,FALSE)),0)</f>
        <v/>
      </c>
      <c r="G62" s="148">
        <f>'Client Setup'!B19</f>
        <v/>
      </c>
      <c r="H62" s="187" t="n"/>
      <c r="I62" s="188" t="inlineStr">
        <is>
          <t>Décor &amp; Design</t>
        </is>
      </c>
      <c r="J62" s="107">
        <f>IF(A69="","",A69)</f>
        <v/>
      </c>
      <c r="K62" s="139">
        <f>IF(A69="","",ROUNDUP(F69/10,0)*10)</f>
        <v/>
      </c>
      <c r="L62" s="94" t="n"/>
      <c r="M62" s="94" t="n"/>
      <c r="N62" s="94" t="n"/>
      <c r="O62" s="94" t="n"/>
      <c r="P62" s="94" t="n"/>
      <c r="Q62" s="94" t="n"/>
      <c r="R62" s="94" t="n"/>
      <c r="S62" s="94" t="n"/>
      <c r="T62" s="94" t="n"/>
      <c r="U62" s="94" t="n"/>
      <c r="V62" s="94" t="n"/>
      <c r="W62" s="94" t="n"/>
      <c r="X62" s="94" t="n"/>
      <c r="Y62" s="94" t="n"/>
      <c r="Z62" s="94" t="n"/>
    </row>
    <row r="63" ht="21.75" customHeight="1" s="90">
      <c r="A63" s="185" t="inlineStr">
        <is>
          <t>11ft Grand Arch Cherry Blossom Tree</t>
        </is>
      </c>
      <c r="B63" s="186" t="inlineStr">
        <is>
          <t>Dalissa Events</t>
        </is>
      </c>
      <c r="C63" s="101" t="n">
        <v>2</v>
      </c>
      <c r="D63" s="129" t="n">
        <v>450</v>
      </c>
      <c r="E63" s="147">
        <f>C63*D63</f>
        <v/>
      </c>
      <c r="F63" s="147">
        <f>IFERROR(E63*(1+VLOOKUP(I63,CategoryTable,2,FALSE)),0)</f>
        <v/>
      </c>
      <c r="G63" s="148">
        <f>'Client Setup'!B19</f>
        <v/>
      </c>
      <c r="H63" s="187" t="inlineStr">
        <is>
          <t>Blush/Light Pink, 11ft H x 8ft W</t>
        </is>
      </c>
      <c r="I63" s="188" t="inlineStr">
        <is>
          <t>Décor &amp; Design</t>
        </is>
      </c>
      <c r="J63" s="107">
        <f>IF(A70="","",A70)</f>
        <v/>
      </c>
      <c r="K63" s="139">
        <f>IF(A70="","",ROUNDUP(F70/10,0)*10)</f>
        <v/>
      </c>
      <c r="L63" s="94" t="n"/>
      <c r="M63" s="94" t="n"/>
      <c r="N63" s="94" t="n"/>
      <c r="O63" s="94" t="n"/>
      <c r="P63" s="94" t="n"/>
      <c r="Q63" s="94" t="n"/>
      <c r="R63" s="94" t="n"/>
      <c r="S63" s="94" t="n"/>
      <c r="T63" s="94" t="n"/>
      <c r="U63" s="94" t="n"/>
      <c r="V63" s="94" t="n"/>
      <c r="W63" s="94" t="n"/>
      <c r="X63" s="94" t="n"/>
      <c r="Y63" s="94" t="n"/>
      <c r="Z63" s="94" t="n"/>
    </row>
    <row r="64" ht="21.75" customHeight="1" s="90">
      <c r="A64" s="185" t="inlineStr">
        <is>
          <t>Canopy Weight (2lb)</t>
        </is>
      </c>
      <c r="B64" s="186" t="inlineStr">
        <is>
          <t>Dalissa Events</t>
        </is>
      </c>
      <c r="C64" s="101" t="n">
        <v>12</v>
      </c>
      <c r="D64" s="129" t="n">
        <v>0</v>
      </c>
      <c r="E64" s="147">
        <f>C64*D64</f>
        <v/>
      </c>
      <c r="F64" s="147">
        <f>IFERROR(E64*(1+VLOOKUP(I64,CategoryTable,2,FALSE)),0)</f>
        <v/>
      </c>
      <c r="G64" s="148">
        <f>'Client Setup'!B19</f>
        <v/>
      </c>
      <c r="H64" s="187" t="inlineStr">
        <is>
          <t>Included with trees</t>
        </is>
      </c>
      <c r="I64" s="188" t="inlineStr">
        <is>
          <t>Décor &amp; Design</t>
        </is>
      </c>
      <c r="J64" s="107">
        <f>IF(A71="","",A71)</f>
        <v/>
      </c>
      <c r="K64" s="139">
        <f>IF(A71="","",ROUNDUP(F71/10,0)*10)</f>
        <v/>
      </c>
      <c r="L64" s="94" t="n"/>
      <c r="M64" s="94" t="n"/>
      <c r="N64" s="94" t="n"/>
      <c r="O64" s="94" t="n"/>
      <c r="P64" s="94" t="n"/>
      <c r="Q64" s="94" t="n"/>
      <c r="R64" s="94" t="n"/>
      <c r="S64" s="94" t="n"/>
      <c r="T64" s="94" t="n"/>
      <c r="U64" s="94" t="n"/>
      <c r="V64" s="94" t="n"/>
      <c r="W64" s="94" t="n"/>
      <c r="X64" s="94" t="n"/>
      <c r="Y64" s="94" t="n"/>
      <c r="Z64" s="94" t="n"/>
    </row>
    <row r="65" ht="24" customHeight="1" s="90">
      <c r="A65" s="185" t="n"/>
      <c r="B65" s="186" t="n"/>
      <c r="C65" s="101" t="n"/>
      <c r="D65" s="129" t="n"/>
      <c r="E65" s="147">
        <f>C65*D65</f>
        <v/>
      </c>
      <c r="F65" s="147">
        <f>IFERROR(E65*(1+VLOOKUP(I65,CategoryTable,2,FALSE)),0)</f>
        <v/>
      </c>
      <c r="G65" s="148">
        <f>'Client Setup'!B19</f>
        <v/>
      </c>
      <c r="H65" s="187" t="n"/>
      <c r="I65" s="188" t="inlineStr">
        <is>
          <t>Décor &amp; Design</t>
        </is>
      </c>
      <c r="J65" s="107">
        <f>IF(A72="","",A72)</f>
        <v/>
      </c>
      <c r="K65" s="139">
        <f>IF(A72="","",ROUNDUP(F72/10,0)*10)</f>
        <v/>
      </c>
      <c r="L65" s="94" t="n"/>
      <c r="M65" s="94" t="n"/>
      <c r="N65" s="94" t="n"/>
      <c r="O65" s="94" t="n"/>
      <c r="P65" s="94" t="n"/>
      <c r="Q65" s="94" t="n"/>
      <c r="R65" s="94" t="n"/>
      <c r="S65" s="94" t="n"/>
      <c r="T65" s="94" t="n"/>
      <c r="U65" s="94" t="n"/>
      <c r="V65" s="94" t="n"/>
      <c r="W65" s="94" t="n"/>
      <c r="X65" s="94" t="n"/>
      <c r="Y65" s="94" t="n"/>
      <c r="Z65" s="94" t="n"/>
    </row>
    <row r="66" ht="6" customHeight="1" s="90">
      <c r="A66" s="185" t="n"/>
      <c r="B66" s="186" t="n"/>
      <c r="C66" s="101" t="n"/>
      <c r="D66" s="129" t="n"/>
      <c r="E66" s="147">
        <f>C66*D66</f>
        <v/>
      </c>
      <c r="F66" s="147">
        <f>IFERROR(E66*(1+VLOOKUP(I66,CategoryTable,2,FALSE)),0)</f>
        <v/>
      </c>
      <c r="G66" s="148">
        <f>'Client Setup'!B19</f>
        <v/>
      </c>
      <c r="H66" s="187" t="n"/>
      <c r="I66" s="188" t="inlineStr">
        <is>
          <t>Décor &amp; Design</t>
        </is>
      </c>
      <c r="J66" s="107">
        <f>IF(A73="","",A73)</f>
        <v/>
      </c>
      <c r="K66" s="139">
        <f>IF(A73="","",ROUNDUP(F73/10,0)*10)</f>
        <v/>
      </c>
      <c r="L66" s="94" t="n"/>
      <c r="M66" s="94" t="n"/>
      <c r="N66" s="94" t="n"/>
      <c r="O66" s="94" t="n"/>
      <c r="P66" s="94" t="n"/>
      <c r="Q66" s="94" t="n"/>
      <c r="R66" s="94" t="n"/>
      <c r="S66" s="94" t="n"/>
      <c r="T66" s="94" t="n"/>
      <c r="U66" s="94" t="n"/>
      <c r="V66" s="94" t="n"/>
      <c r="W66" s="94" t="n"/>
      <c r="X66" s="94" t="n"/>
      <c r="Y66" s="94" t="n"/>
      <c r="Z66" s="94" t="n"/>
    </row>
    <row r="67" ht="21.75" customHeight="1" s="90">
      <c r="A67" s="185" t="n"/>
      <c r="B67" s="186" t="n"/>
      <c r="C67" s="101" t="n"/>
      <c r="D67" s="129" t="n"/>
      <c r="E67" s="147">
        <f>C67*D67</f>
        <v/>
      </c>
      <c r="F67" s="147">
        <f>IFERROR(E67*(1+VLOOKUP(I67,CategoryTable,2,FALSE)),0)</f>
        <v/>
      </c>
      <c r="G67" s="148">
        <f>'Client Setup'!B19</f>
        <v/>
      </c>
      <c r="H67" s="187" t="n"/>
      <c r="I67" s="188" t="inlineStr">
        <is>
          <t>Décor &amp; Design</t>
        </is>
      </c>
      <c r="J67" s="107">
        <f>IF(A74="","",A74)</f>
        <v/>
      </c>
      <c r="K67" s="139">
        <f>IF(A74="","",ROUNDUP(F74/10,0)*10)</f>
        <v/>
      </c>
      <c r="L67" s="94" t="n"/>
      <c r="M67" s="94" t="n"/>
      <c r="N67" s="94" t="n"/>
      <c r="O67" s="94" t="n"/>
      <c r="P67" s="94" t="n"/>
      <c r="Q67" s="94" t="n"/>
      <c r="R67" s="94" t="n"/>
      <c r="S67" s="94" t="n"/>
      <c r="T67" s="94" t="n"/>
      <c r="U67" s="94" t="n"/>
      <c r="V67" s="94" t="n"/>
      <c r="W67" s="94" t="n"/>
      <c r="X67" s="94" t="n"/>
      <c r="Y67" s="94" t="n"/>
      <c r="Z67" s="94" t="n"/>
    </row>
    <row r="68" ht="21.75" customHeight="1" s="90">
      <c r="A68" s="155" t="inlineStr">
        <is>
          <t>NON-TAXABLE RENTAL FEES</t>
        </is>
      </c>
      <c r="I68" s="94" t="n"/>
      <c r="J68" s="192" t="inlineStr">
        <is>
          <t>Rentals &amp; Lounge Subtotal</t>
        </is>
      </c>
      <c r="K68" s="193">
        <f>SUM(K32:K67)</f>
        <v/>
      </c>
      <c r="L68" s="94" t="n"/>
      <c r="M68" s="94" t="n"/>
      <c r="N68" s="94" t="n"/>
      <c r="O68" s="94" t="n"/>
      <c r="P68" s="94" t="n"/>
      <c r="Q68" s="94" t="n"/>
      <c r="R68" s="94" t="n"/>
      <c r="S68" s="94" t="n"/>
      <c r="T68" s="94" t="n"/>
      <c r="U68" s="94" t="n"/>
      <c r="V68" s="94" t="n"/>
      <c r="W68" s="94" t="n"/>
      <c r="X68" s="94" t="n"/>
      <c r="Y68" s="94" t="n"/>
      <c r="Z68" s="94" t="n"/>
    </row>
    <row r="69" ht="21.75" customHeight="1" s="90">
      <c r="A69" s="185" t="inlineStr">
        <is>
          <t>Delivery / Pickup</t>
        </is>
      </c>
      <c r="B69" s="186" t="inlineStr">
        <is>
          <t>White Glove</t>
        </is>
      </c>
      <c r="C69" s="191" t="n"/>
      <c r="D69" s="129" t="n">
        <v>1636.91</v>
      </c>
      <c r="E69" s="147">
        <f>D69</f>
        <v/>
      </c>
      <c r="F69" s="147">
        <f>IFERROR(E69*(1+VLOOKUP(I69,CategoryTable,2,FALSE)),0)</f>
        <v/>
      </c>
      <c r="G69" s="148" t="n">
        <v>0</v>
      </c>
      <c r="H69" s="187" t="n"/>
      <c r="I69" s="188" t="inlineStr">
        <is>
          <t>Delivery &amp; Logistics</t>
        </is>
      </c>
      <c r="J69" s="195" t="n"/>
      <c r="K69" s="195" t="n"/>
      <c r="L69" s="94" t="n"/>
      <c r="M69" s="94" t="n"/>
      <c r="N69" s="94" t="n"/>
      <c r="O69" s="94" t="n"/>
      <c r="P69" s="94" t="n"/>
      <c r="Q69" s="94" t="n"/>
      <c r="R69" s="94" t="n"/>
      <c r="S69" s="94" t="n"/>
      <c r="T69" s="94" t="n"/>
      <c r="U69" s="94" t="n"/>
      <c r="V69" s="94" t="n"/>
      <c r="W69" s="94" t="n"/>
      <c r="X69" s="94" t="n"/>
      <c r="Y69" s="94" t="n"/>
      <c r="Z69" s="94" t="n"/>
    </row>
    <row r="70" ht="21.75" customHeight="1" s="90">
      <c r="A70" s="185" t="inlineStr">
        <is>
          <t>Damage Waiver</t>
        </is>
      </c>
      <c r="B70" s="186" t="inlineStr">
        <is>
          <t>White Glove</t>
        </is>
      </c>
      <c r="C70" s="191" t="n"/>
      <c r="D70" s="129" t="n">
        <v>793.54</v>
      </c>
      <c r="E70" s="147">
        <f>D70</f>
        <v/>
      </c>
      <c r="F70" s="147">
        <f>IFERROR(E70*(1+VLOOKUP(I70,CategoryTable,2,FALSE)),0)</f>
        <v/>
      </c>
      <c r="G70" s="148" t="n">
        <v>0</v>
      </c>
      <c r="H70" s="187" t="inlineStr">
        <is>
          <t>11% damage waiver — not taxed</t>
        </is>
      </c>
      <c r="I70" s="188" t="inlineStr">
        <is>
          <t>Delivery &amp; Logistics</t>
        </is>
      </c>
      <c r="J70" s="184">
        <f>A77</f>
        <v/>
      </c>
      <c r="L70" s="94" t="n"/>
      <c r="M70" s="94" t="n"/>
      <c r="N70" s="94" t="n"/>
      <c r="O70" s="94" t="n"/>
      <c r="P70" s="94" t="n"/>
      <c r="Q70" s="94" t="n"/>
      <c r="R70" s="94" t="n"/>
      <c r="S70" s="94" t="n"/>
      <c r="T70" s="94" t="n"/>
      <c r="U70" s="94" t="n"/>
      <c r="V70" s="94" t="n"/>
      <c r="W70" s="94" t="n"/>
      <c r="X70" s="94" t="n"/>
      <c r="Y70" s="94" t="n"/>
      <c r="Z70" s="94" t="n"/>
    </row>
    <row r="71" ht="21.75" customHeight="1" s="90">
      <c r="A71" s="185" t="inlineStr">
        <is>
          <t>Chair Pull / Placement</t>
        </is>
      </c>
      <c r="B71" s="186" t="inlineStr">
        <is>
          <t>White Glove</t>
        </is>
      </c>
      <c r="C71" s="191" t="n"/>
      <c r="D71" s="129" t="n">
        <v>84</v>
      </c>
      <c r="E71" s="147">
        <f>D71</f>
        <v/>
      </c>
      <c r="F71" s="147">
        <f>IFERROR(E71*(1+VLOOKUP(I71,CategoryTable,2,FALSE)),0)</f>
        <v/>
      </c>
      <c r="G71" s="148" t="n">
        <v>0</v>
      </c>
      <c r="H71" s="187" t="n"/>
      <c r="I71" s="188" t="inlineStr">
        <is>
          <t>Delivery &amp; Logistics</t>
        </is>
      </c>
      <c r="J71" s="107">
        <f>IF(A80="","",A80&amp;" x"&amp;C80)</f>
        <v/>
      </c>
      <c r="K71" s="139">
        <f>IF(A80="","",ROUNDUP(F80/10,0)*10)</f>
        <v/>
      </c>
      <c r="L71" s="94" t="n"/>
      <c r="M71" s="94" t="n"/>
      <c r="N71" s="94" t="n"/>
      <c r="O71" s="94" t="n"/>
      <c r="P71" s="94" t="n"/>
      <c r="Q71" s="94" t="n"/>
      <c r="R71" s="94" t="n"/>
      <c r="S71" s="94" t="n"/>
      <c r="T71" s="94" t="n"/>
      <c r="U71" s="94" t="n"/>
      <c r="V71" s="94" t="n"/>
      <c r="W71" s="94" t="n"/>
      <c r="X71" s="94" t="n"/>
      <c r="Y71" s="94" t="n"/>
      <c r="Z71" s="94" t="n"/>
    </row>
    <row r="72" ht="21.75" customHeight="1" s="90">
      <c r="A72" s="185" t="inlineStr">
        <is>
          <t>Chair Placement</t>
        </is>
      </c>
      <c r="B72" s="186" t="inlineStr">
        <is>
          <t>White Glove</t>
        </is>
      </c>
      <c r="C72" s="191" t="n"/>
      <c r="D72" s="129" t="n">
        <v>84</v>
      </c>
      <c r="E72" s="147">
        <f>D72</f>
        <v/>
      </c>
      <c r="F72" s="147">
        <f>IFERROR(E72*(1+VLOOKUP(I72,CategoryTable,2,FALSE)),0)</f>
        <v/>
      </c>
      <c r="G72" s="148" t="n">
        <v>0</v>
      </c>
      <c r="H72" s="187" t="n"/>
      <c r="I72" s="188" t="inlineStr">
        <is>
          <t>Delivery &amp; Logistics</t>
        </is>
      </c>
      <c r="J72" s="107">
        <f>IF(A81="","",A81&amp;" x"&amp;C81)</f>
        <v/>
      </c>
      <c r="K72" s="139">
        <f>IF(A81="","",ROUNDUP(F81/10,0)*10)</f>
        <v/>
      </c>
      <c r="L72" s="94" t="n"/>
      <c r="M72" s="94" t="n"/>
      <c r="N72" s="94" t="n"/>
      <c r="O72" s="94" t="n"/>
      <c r="P72" s="94" t="n"/>
      <c r="Q72" s="94" t="n"/>
      <c r="R72" s="94" t="n"/>
      <c r="S72" s="94" t="n"/>
      <c r="T72" s="94" t="n"/>
      <c r="U72" s="94" t="n"/>
      <c r="V72" s="94" t="n"/>
      <c r="W72" s="94" t="n"/>
      <c r="X72" s="94" t="n"/>
      <c r="Y72" s="94" t="n"/>
      <c r="Z72" s="94" t="n"/>
    </row>
    <row r="73" ht="21.75" customHeight="1" s="90">
      <c r="A73" s="185" t="inlineStr">
        <is>
          <t>Damage Waiver</t>
        </is>
      </c>
      <c r="B73" s="186" t="inlineStr">
        <is>
          <t>Dalissa Events</t>
        </is>
      </c>
      <c r="C73" s="191" t="n"/>
      <c r="D73" s="129" t="n">
        <v>91.84</v>
      </c>
      <c r="E73" s="147">
        <f>D73</f>
        <v/>
      </c>
      <c r="F73" s="147">
        <f>IFERROR(E73*(1+VLOOKUP(I73,CategoryTable,2,FALSE)),0)</f>
        <v/>
      </c>
      <c r="G73" s="148" t="n">
        <v>0</v>
      </c>
      <c r="H73" s="187" t="inlineStr">
        <is>
          <t>Unintentional damage waiver</t>
        </is>
      </c>
      <c r="I73" s="188" t="inlineStr">
        <is>
          <t>Delivery &amp; Logistics</t>
        </is>
      </c>
      <c r="J73" s="107">
        <f>IF(A82="","",A82&amp;" x"&amp;C82)</f>
        <v/>
      </c>
      <c r="K73" s="139">
        <f>IF(A82="","",ROUNDUP(F82/10,0)*10)</f>
        <v/>
      </c>
      <c r="L73" s="94" t="n"/>
      <c r="M73" s="94" t="n"/>
      <c r="N73" s="94" t="n"/>
      <c r="O73" s="94" t="n"/>
      <c r="P73" s="94" t="n"/>
      <c r="Q73" s="94" t="n"/>
      <c r="R73" s="94" t="n"/>
      <c r="S73" s="94" t="n"/>
      <c r="T73" s="94" t="n"/>
      <c r="U73" s="94" t="n"/>
      <c r="V73" s="94" t="n"/>
      <c r="W73" s="94" t="n"/>
      <c r="X73" s="94" t="n"/>
      <c r="Y73" s="94" t="n"/>
      <c r="Z73" s="94" t="n"/>
    </row>
    <row r="74" ht="21.75" customHeight="1" s="90">
      <c r="A74" s="185" t="inlineStr">
        <is>
          <t>Delivery &amp; Pickup</t>
        </is>
      </c>
      <c r="B74" s="186" t="inlineStr">
        <is>
          <t>Dalissa Events</t>
        </is>
      </c>
      <c r="C74" s="191" t="n"/>
      <c r="D74" s="129" t="n">
        <v>248.02</v>
      </c>
      <c r="E74" s="147">
        <f>D74</f>
        <v/>
      </c>
      <c r="F74" s="147">
        <f>IFERROR(E74*(1+VLOOKUP(I74,CategoryTable,2,FALSE)),0)</f>
        <v/>
      </c>
      <c r="G74" s="148" t="n">
        <v>0</v>
      </c>
      <c r="H74" s="187" t="inlineStr">
        <is>
          <t>Drop-off $124.01 + Pickup $124.01</t>
        </is>
      </c>
      <c r="I74" s="188" t="inlineStr">
        <is>
          <t>Delivery &amp; Logistics</t>
        </is>
      </c>
      <c r="J74" s="107">
        <f>IF(A83="","",A83&amp;" x"&amp;C83)</f>
        <v/>
      </c>
      <c r="K74" s="139">
        <f>IF(A83="","",ROUNDUP(F83/10,0)*10)</f>
        <v/>
      </c>
      <c r="L74" s="94" t="n"/>
      <c r="M74" s="94" t="n"/>
      <c r="N74" s="94" t="n"/>
      <c r="O74" s="94" t="n"/>
      <c r="P74" s="94" t="n"/>
      <c r="Q74" s="94" t="n"/>
      <c r="R74" s="94" t="n"/>
      <c r="S74" s="94" t="n"/>
      <c r="T74" s="94" t="n"/>
      <c r="U74" s="94" t="n"/>
      <c r="V74" s="94" t="n"/>
      <c r="W74" s="94" t="n"/>
      <c r="X74" s="94" t="n"/>
      <c r="Y74" s="94" t="n"/>
      <c r="Z74" s="94" t="n"/>
    </row>
    <row r="75" ht="21.75" customHeight="1" s="90">
      <c r="A75" s="159" t="inlineStr">
        <is>
          <t>RENTALS &amp; LOUNGE SUBTOTAL</t>
        </is>
      </c>
      <c r="B75" s="194" t="n"/>
      <c r="C75" s="194" t="n"/>
      <c r="D75" s="194" t="n"/>
      <c r="E75" s="160">
        <f>SUM(E35:E42)+SUM(E44:E51)+SUM(E53:E60)+SUM(E62:E67)+SUM(E69:E74)</f>
        <v/>
      </c>
      <c r="F75" s="160">
        <f>SUM(F35:F42)+SUM(F44:F51)+SUM(F53:F60)+SUM(F62:F67)+SUM(F69:F74)</f>
        <v/>
      </c>
      <c r="G75" s="194" t="n"/>
      <c r="H75" s="194" t="n"/>
      <c r="I75" s="94" t="n"/>
      <c r="J75" s="107">
        <f>IF(A84="","",A84&amp;" x"&amp;C84)</f>
        <v/>
      </c>
      <c r="K75" s="139">
        <f>IF(A84="","",ROUNDUP(F84/10,0)*10)</f>
        <v/>
      </c>
      <c r="L75" s="94" t="n"/>
      <c r="M75" s="94" t="n"/>
      <c r="N75" s="94" t="n"/>
      <c r="O75" s="94" t="n"/>
      <c r="P75" s="94" t="n"/>
      <c r="Q75" s="94" t="n"/>
      <c r="R75" s="94" t="n"/>
      <c r="S75" s="94" t="n"/>
      <c r="T75" s="94" t="n"/>
      <c r="U75" s="94" t="n"/>
      <c r="V75" s="94" t="n"/>
      <c r="W75" s="94" t="n"/>
      <c r="X75" s="94" t="n"/>
      <c r="Y75" s="94" t="n"/>
      <c r="Z75" s="94" t="n"/>
    </row>
    <row r="76" ht="21.75" customHeight="1" s="90">
      <c r="A76" s="94" t="n"/>
      <c r="B76" s="94" t="n"/>
      <c r="C76" s="94" t="n"/>
      <c r="D76" s="94" t="n"/>
      <c r="E76" s="94" t="n"/>
      <c r="F76" s="94" t="n"/>
      <c r="G76" s="94" t="n"/>
      <c r="H76" s="94" t="n"/>
      <c r="I76" s="94" t="n"/>
      <c r="J76" s="107">
        <f>IF(A85="","",A85&amp;" x"&amp;C85)</f>
        <v/>
      </c>
      <c r="K76" s="139">
        <f>IF(A85="","",ROUNDUP(F85/10,0)*10)</f>
        <v/>
      </c>
      <c r="L76" s="94" t="n"/>
      <c r="M76" s="94" t="n"/>
      <c r="N76" s="94" t="n"/>
      <c r="O76" s="94" t="n"/>
      <c r="P76" s="94" t="n"/>
      <c r="Q76" s="94" t="n"/>
      <c r="R76" s="94" t="n"/>
      <c r="S76" s="94" t="n"/>
      <c r="T76" s="94" t="n"/>
      <c r="U76" s="94" t="n"/>
      <c r="V76" s="94" t="n"/>
      <c r="W76" s="94" t="n"/>
      <c r="X76" s="94" t="n"/>
      <c r="Y76" s="94" t="n"/>
      <c r="Z76" s="94" t="n"/>
    </row>
    <row r="77" ht="21.75" customHeight="1" s="90">
      <c r="A77" s="96" t="inlineStr">
        <is>
          <t>AV / PRODUCTION</t>
        </is>
      </c>
      <c r="I77" s="94" t="n"/>
      <c r="J77" s="107">
        <f>IF(A86="","",A86&amp;" x"&amp;C86)</f>
        <v/>
      </c>
      <c r="K77" s="139">
        <f>IF(A86="","",ROUNDUP(F86/10,0)*10)</f>
        <v/>
      </c>
      <c r="L77" s="94" t="n"/>
      <c r="M77" s="94" t="n"/>
      <c r="N77" s="94" t="n"/>
      <c r="O77" s="94" t="n"/>
      <c r="P77" s="94" t="n"/>
      <c r="Q77" s="94" t="n"/>
      <c r="R77" s="94" t="n"/>
      <c r="S77" s="94" t="n"/>
      <c r="T77" s="94" t="n"/>
      <c r="U77" s="94" t="n"/>
      <c r="V77" s="94" t="n"/>
      <c r="W77" s="94" t="n"/>
      <c r="X77" s="94" t="n"/>
      <c r="Y77" s="94" t="n"/>
      <c r="Z77" s="94" t="n"/>
    </row>
    <row r="78" ht="21.75" customHeight="1" s="90">
      <c r="A78" s="137" t="inlineStr">
        <is>
          <t>Item</t>
        </is>
      </c>
      <c r="B78" s="137" t="inlineStr">
        <is>
          <t>Vendor</t>
        </is>
      </c>
      <c r="C78" s="137" t="inlineStr">
        <is>
          <t>Qty</t>
        </is>
      </c>
      <c r="D78" s="137" t="inlineStr">
        <is>
          <t>Unit Price</t>
        </is>
      </c>
      <c r="E78" s="137" t="inlineStr">
        <is>
          <t>Our Cost</t>
        </is>
      </c>
      <c r="F78" s="137" t="inlineStr">
        <is>
          <t>Client Cost</t>
        </is>
      </c>
      <c r="G78" s="137" t="inlineStr">
        <is>
          <t>Tax Rate</t>
        </is>
      </c>
      <c r="H78" s="137" t="inlineStr">
        <is>
          <t>Notes / Description</t>
        </is>
      </c>
      <c r="I78" s="94" t="n"/>
      <c r="J78" s="107">
        <f>IF(A87="","",A87&amp;" x"&amp;C87)</f>
        <v/>
      </c>
      <c r="K78" s="139">
        <f>IF(A87="","",ROUNDUP(F87/10,0)*10)</f>
        <v/>
      </c>
      <c r="L78" s="94" t="n"/>
      <c r="M78" s="94" t="n"/>
      <c r="N78" s="94" t="n"/>
      <c r="O78" s="94" t="n"/>
      <c r="P78" s="94" t="n"/>
      <c r="Q78" s="94" t="n"/>
      <c r="R78" s="94" t="n"/>
      <c r="S78" s="94" t="n"/>
      <c r="T78" s="94" t="n"/>
      <c r="U78" s="94" t="n"/>
      <c r="V78" s="94" t="n"/>
      <c r="W78" s="94" t="n"/>
      <c r="X78" s="94" t="n"/>
      <c r="Y78" s="94" t="n"/>
      <c r="Z78" s="94" t="n"/>
    </row>
    <row r="79" ht="21.75" customHeight="1" s="90">
      <c r="A79" s="143" t="inlineStr">
        <is>
          <t>TAXABLE AV &amp; PRODUCTION EQUIPMENT</t>
        </is>
      </c>
      <c r="I79" s="94" t="n"/>
      <c r="J79" s="107">
        <f>IF(A88="","",A88&amp;" x"&amp;C88)</f>
        <v/>
      </c>
      <c r="K79" s="139">
        <f>IF(A88="","",ROUNDUP(F88/10,0)*10)</f>
        <v/>
      </c>
      <c r="L79" s="94" t="n"/>
      <c r="M79" s="94" t="n"/>
      <c r="N79" s="94" t="n"/>
      <c r="O79" s="94" t="n"/>
      <c r="P79" s="94" t="n"/>
      <c r="Q79" s="94" t="n"/>
      <c r="R79" s="94" t="n"/>
      <c r="S79" s="94" t="n"/>
      <c r="T79" s="94" t="n"/>
      <c r="U79" s="94" t="n"/>
      <c r="V79" s="94" t="n"/>
      <c r="W79" s="94" t="n"/>
      <c r="X79" s="94" t="n"/>
      <c r="Y79" s="94" t="n"/>
      <c r="Z79" s="94" t="n"/>
    </row>
    <row r="80" ht="21.75" customHeight="1" s="90">
      <c r="A80" s="185" t="n"/>
      <c r="B80" s="186" t="n"/>
      <c r="C80" s="101" t="n"/>
      <c r="D80" s="129" t="n"/>
      <c r="E80" s="147">
        <f>C80*D80</f>
        <v/>
      </c>
      <c r="F80" s="147">
        <f>IFERROR(E80*(1+VLOOKUP(I80,CategoryTable,2,FALSE)),0)</f>
        <v/>
      </c>
      <c r="G80" s="148">
        <f>'Client Setup'!B19</f>
        <v/>
      </c>
      <c r="H80" s="187" t="n"/>
      <c r="I80" s="188" t="inlineStr">
        <is>
          <t>AV &amp; Production</t>
        </is>
      </c>
      <c r="J80" s="107">
        <f>IF(A89="","",A89&amp;" x"&amp;C89)</f>
        <v/>
      </c>
      <c r="K80" s="139">
        <f>IF(A89="","",ROUNDUP(F89/10,0)*10)</f>
        <v/>
      </c>
      <c r="L80" s="94" t="n"/>
      <c r="M80" s="94" t="n"/>
      <c r="N80" s="94" t="n"/>
      <c r="O80" s="94" t="n"/>
      <c r="P80" s="94" t="n"/>
      <c r="Q80" s="94" t="n"/>
      <c r="R80" s="94" t="n"/>
      <c r="S80" s="94" t="n"/>
      <c r="T80" s="94" t="n"/>
      <c r="U80" s="94" t="n"/>
      <c r="V80" s="94" t="n"/>
      <c r="W80" s="94" t="n"/>
      <c r="X80" s="94" t="n"/>
      <c r="Y80" s="94" t="n"/>
      <c r="Z80" s="94" t="n"/>
    </row>
    <row r="81" ht="21.75" customHeight="1" s="90">
      <c r="A81" s="185" t="n"/>
      <c r="B81" s="186" t="n"/>
      <c r="C81" s="101" t="n"/>
      <c r="D81" s="129" t="n"/>
      <c r="E81" s="147">
        <f>C81*D81</f>
        <v/>
      </c>
      <c r="F81" s="147">
        <f>IFERROR(E81*(1+VLOOKUP(I81,CategoryTable,2,FALSE)),0)</f>
        <v/>
      </c>
      <c r="G81" s="148">
        <f>'Client Setup'!B19</f>
        <v/>
      </c>
      <c r="H81" s="187" t="n"/>
      <c r="I81" s="188" t="inlineStr">
        <is>
          <t>AV &amp; Production</t>
        </is>
      </c>
      <c r="J81" s="107">
        <f>IF(A91="","",A91)</f>
        <v/>
      </c>
      <c r="K81" s="139">
        <f>IF(A91="","",ROUNDUP(F91/10,0)*10)</f>
        <v/>
      </c>
      <c r="L81" s="94" t="n"/>
      <c r="M81" s="94" t="n"/>
      <c r="N81" s="94" t="n"/>
      <c r="O81" s="94" t="n"/>
      <c r="P81" s="94" t="n"/>
      <c r="Q81" s="94" t="n"/>
      <c r="R81" s="94" t="n"/>
      <c r="S81" s="94" t="n"/>
      <c r="T81" s="94" t="n"/>
      <c r="U81" s="94" t="n"/>
      <c r="V81" s="94" t="n"/>
      <c r="W81" s="94" t="n"/>
      <c r="X81" s="94" t="n"/>
      <c r="Y81" s="94" t="n"/>
      <c r="Z81" s="94" t="n"/>
    </row>
    <row r="82" ht="21.75" customHeight="1" s="90">
      <c r="A82" s="185" t="n"/>
      <c r="B82" s="186" t="n"/>
      <c r="C82" s="101" t="n"/>
      <c r="D82" s="129" t="n"/>
      <c r="E82" s="147">
        <f>C82*D82</f>
        <v/>
      </c>
      <c r="F82" s="147">
        <f>IFERROR(E82*(1+VLOOKUP(I82,CategoryTable,2,FALSE)),0)</f>
        <v/>
      </c>
      <c r="G82" s="148">
        <f>'Client Setup'!B19</f>
        <v/>
      </c>
      <c r="H82" s="187" t="n"/>
      <c r="I82" s="188" t="inlineStr">
        <is>
          <t>AV &amp; Production</t>
        </is>
      </c>
      <c r="J82" s="107">
        <f>IF(A92="","",A92)</f>
        <v/>
      </c>
      <c r="K82" s="139">
        <f>IF(A92="","",ROUNDUP(F92/10,0)*10)</f>
        <v/>
      </c>
      <c r="L82" s="94" t="n"/>
      <c r="M82" s="94" t="n"/>
      <c r="N82" s="94" t="n"/>
      <c r="O82" s="94" t="n"/>
      <c r="P82" s="94" t="n"/>
      <c r="Q82" s="94" t="n"/>
      <c r="R82" s="94" t="n"/>
      <c r="S82" s="94" t="n"/>
      <c r="T82" s="94" t="n"/>
      <c r="U82" s="94" t="n"/>
      <c r="V82" s="94" t="n"/>
      <c r="W82" s="94" t="n"/>
      <c r="X82" s="94" t="n"/>
      <c r="Y82" s="94" t="n"/>
      <c r="Z82" s="94" t="n"/>
    </row>
    <row r="83" ht="24" customHeight="1" s="90">
      <c r="A83" s="185" t="n"/>
      <c r="B83" s="186" t="n"/>
      <c r="C83" s="101" t="n"/>
      <c r="D83" s="129" t="n"/>
      <c r="E83" s="147">
        <f>C83*D83</f>
        <v/>
      </c>
      <c r="F83" s="147">
        <f>IFERROR(E83*(1+VLOOKUP(I83,CategoryTable,2,FALSE)),0)</f>
        <v/>
      </c>
      <c r="G83" s="148">
        <f>'Client Setup'!B19</f>
        <v/>
      </c>
      <c r="H83" s="187" t="n"/>
      <c r="I83" s="188" t="inlineStr">
        <is>
          <t>AV &amp; Production</t>
        </is>
      </c>
      <c r="J83" s="107">
        <f>IF(A93="","",A93)</f>
        <v/>
      </c>
      <c r="K83" s="139">
        <f>IF(A93="","",ROUNDUP(F93/10,0)*10)</f>
        <v/>
      </c>
      <c r="L83" s="94" t="n"/>
      <c r="M83" s="94" t="n"/>
      <c r="N83" s="94" t="n"/>
      <c r="O83" s="94" t="n"/>
      <c r="P83" s="94" t="n"/>
      <c r="Q83" s="94" t="n"/>
      <c r="R83" s="94" t="n"/>
      <c r="S83" s="94" t="n"/>
      <c r="T83" s="94" t="n"/>
      <c r="U83" s="94" t="n"/>
      <c r="V83" s="94" t="n"/>
      <c r="W83" s="94" t="n"/>
      <c r="X83" s="94" t="n"/>
      <c r="Y83" s="94" t="n"/>
      <c r="Z83" s="94" t="n"/>
    </row>
    <row r="84" ht="15" customHeight="1" s="90">
      <c r="A84" s="185" t="n"/>
      <c r="B84" s="186" t="n"/>
      <c r="C84" s="101" t="n"/>
      <c r="D84" s="129" t="n"/>
      <c r="E84" s="147">
        <f>C84*D84</f>
        <v/>
      </c>
      <c r="F84" s="147">
        <f>IFERROR(E84*(1+VLOOKUP(I84,CategoryTable,2,FALSE)),0)</f>
        <v/>
      </c>
      <c r="G84" s="148">
        <f>'Client Setup'!B19</f>
        <v/>
      </c>
      <c r="H84" s="187" t="n"/>
      <c r="I84" s="188" t="inlineStr">
        <is>
          <t>AV &amp; Production</t>
        </is>
      </c>
      <c r="J84" s="107">
        <f>IF(A94="","",A94)</f>
        <v/>
      </c>
      <c r="K84" s="139">
        <f>IF(A94="","",ROUNDUP(F94/10,0)*10)</f>
        <v/>
      </c>
      <c r="L84" s="94" t="n"/>
      <c r="M84" s="94" t="n"/>
      <c r="N84" s="94" t="n"/>
      <c r="O84" s="94" t="n"/>
      <c r="P84" s="94" t="n"/>
      <c r="Q84" s="94" t="n"/>
      <c r="R84" s="94" t="n"/>
      <c r="S84" s="94" t="n"/>
      <c r="T84" s="94" t="n"/>
      <c r="U84" s="94" t="n"/>
      <c r="V84" s="94" t="n"/>
      <c r="W84" s="94" t="n"/>
      <c r="X84" s="94" t="n"/>
      <c r="Y84" s="94" t="n"/>
      <c r="Z84" s="94" t="n"/>
    </row>
    <row r="85" ht="21.75" customHeight="1" s="90">
      <c r="A85" s="185" t="n"/>
      <c r="B85" s="186" t="n"/>
      <c r="C85" s="101" t="n"/>
      <c r="D85" s="129" t="n"/>
      <c r="E85" s="147">
        <f>C85*D85</f>
        <v/>
      </c>
      <c r="F85" s="147">
        <f>IFERROR(E85*(1+VLOOKUP(I85,CategoryTable,2,FALSE)),0)</f>
        <v/>
      </c>
      <c r="G85" s="148">
        <f>'Client Setup'!B19</f>
        <v/>
      </c>
      <c r="H85" s="187" t="n"/>
      <c r="I85" s="188" t="inlineStr">
        <is>
          <t>AV &amp; Production</t>
        </is>
      </c>
      <c r="J85" s="107">
        <f>IF(A95="","",A95)</f>
        <v/>
      </c>
      <c r="K85" s="139">
        <f>IF(A95="","",ROUNDUP(F95/10,0)*10)</f>
        <v/>
      </c>
      <c r="L85" s="94" t="n"/>
      <c r="M85" s="94" t="n"/>
      <c r="N85" s="94" t="n"/>
      <c r="O85" s="94" t="n"/>
      <c r="P85" s="94" t="n"/>
      <c r="Q85" s="94" t="n"/>
      <c r="R85" s="94" t="n"/>
      <c r="S85" s="94" t="n"/>
      <c r="T85" s="94" t="n"/>
      <c r="U85" s="94" t="n"/>
      <c r="V85" s="94" t="n"/>
      <c r="W85" s="94" t="n"/>
      <c r="X85" s="94" t="n"/>
      <c r="Y85" s="94" t="n"/>
      <c r="Z85" s="94" t="n"/>
    </row>
    <row r="86" ht="24" customHeight="1" s="90">
      <c r="A86" s="185" t="n"/>
      <c r="B86" s="186" t="n"/>
      <c r="C86" s="101" t="n"/>
      <c r="D86" s="129" t="n"/>
      <c r="E86" s="147">
        <f>C86*D86</f>
        <v/>
      </c>
      <c r="F86" s="147">
        <f>IFERROR(E86*(1+VLOOKUP(I86,CategoryTable,2,FALSE)),0)</f>
        <v/>
      </c>
      <c r="G86" s="148">
        <f>'Client Setup'!B19</f>
        <v/>
      </c>
      <c r="H86" s="187" t="n"/>
      <c r="I86" s="188" t="inlineStr">
        <is>
          <t>AV &amp; Production</t>
        </is>
      </c>
      <c r="J86" s="192" t="inlineStr">
        <is>
          <t>AV / Production Subtotal</t>
        </is>
      </c>
      <c r="K86" s="193">
        <f>SUM(K71:K85)</f>
        <v/>
      </c>
      <c r="L86" s="94" t="n"/>
      <c r="M86" s="94" t="n"/>
      <c r="N86" s="94" t="n"/>
      <c r="O86" s="94" t="n"/>
      <c r="P86" s="94" t="n"/>
      <c r="Q86" s="94" t="n"/>
      <c r="R86" s="94" t="n"/>
      <c r="S86" s="94" t="n"/>
      <c r="T86" s="94" t="n"/>
      <c r="U86" s="94" t="n"/>
      <c r="V86" s="94" t="n"/>
      <c r="W86" s="94" t="n"/>
      <c r="X86" s="94" t="n"/>
      <c r="Y86" s="94" t="n"/>
      <c r="Z86" s="94" t="n"/>
    </row>
    <row r="87" ht="30" customHeight="1" s="90">
      <c r="A87" s="185" t="n"/>
      <c r="B87" s="186" t="n"/>
      <c r="C87" s="101" t="n"/>
      <c r="D87" s="129" t="n"/>
      <c r="E87" s="147">
        <f>C87*D87</f>
        <v/>
      </c>
      <c r="F87" s="147">
        <f>IFERROR(E87*(1+VLOOKUP(I87,CategoryTable,2,FALSE)),0)</f>
        <v/>
      </c>
      <c r="G87" s="148">
        <f>'Client Setup'!B19</f>
        <v/>
      </c>
      <c r="H87" s="187" t="n"/>
      <c r="I87" s="188" t="inlineStr">
        <is>
          <t>AV &amp; Production</t>
        </is>
      </c>
      <c r="J87" s="195" t="n"/>
      <c r="K87" s="195" t="n"/>
      <c r="L87" s="94" t="n"/>
      <c r="M87" s="94" t="n"/>
      <c r="N87" s="94" t="n"/>
      <c r="O87" s="94" t="n"/>
      <c r="P87" s="94" t="n"/>
      <c r="Q87" s="94" t="n"/>
      <c r="R87" s="94" t="n"/>
      <c r="S87" s="94" t="n"/>
      <c r="T87" s="94" t="n"/>
      <c r="U87" s="94" t="n"/>
      <c r="V87" s="94" t="n"/>
      <c r="W87" s="94" t="n"/>
      <c r="X87" s="94" t="n"/>
      <c r="Y87" s="94" t="n"/>
      <c r="Z87" s="94" t="n"/>
    </row>
    <row r="88" ht="24" customHeight="1" s="90">
      <c r="A88" s="185" t="n"/>
      <c r="B88" s="186" t="n"/>
      <c r="C88" s="101" t="n"/>
      <c r="D88" s="129" t="n"/>
      <c r="E88" s="147">
        <f>C88*D88</f>
        <v/>
      </c>
      <c r="F88" s="147">
        <f>IFERROR(E88*(1+VLOOKUP(I88,CategoryTable,2,FALSE)),0)</f>
        <v/>
      </c>
      <c r="G88" s="148">
        <f>'Client Setup'!B19</f>
        <v/>
      </c>
      <c r="H88" s="187" t="n"/>
      <c r="I88" s="188" t="inlineStr">
        <is>
          <t>AV &amp; Production</t>
        </is>
      </c>
      <c r="J88" s="134" t="inlineStr">
        <is>
          <t>Tax</t>
        </is>
      </c>
      <c r="K88" s="139">
        <f>ROUNDUP(F100/10,0)*10</f>
        <v/>
      </c>
      <c r="L88" s="94" t="n"/>
      <c r="M88" s="94" t="n"/>
      <c r="N88" s="94" t="n"/>
      <c r="O88" s="94" t="n"/>
      <c r="P88" s="94" t="n"/>
      <c r="Q88" s="94" t="n"/>
      <c r="R88" s="94" t="n"/>
      <c r="S88" s="94" t="n"/>
      <c r="T88" s="94" t="n"/>
      <c r="U88" s="94" t="n"/>
      <c r="V88" s="94" t="n"/>
      <c r="W88" s="94" t="n"/>
      <c r="X88" s="94" t="n"/>
      <c r="Y88" s="94" t="n"/>
      <c r="Z88" s="94" t="n"/>
    </row>
    <row r="89" ht="24" customHeight="1" s="90">
      <c r="A89" s="185" t="n"/>
      <c r="B89" s="186" t="n"/>
      <c r="C89" s="101" t="n"/>
      <c r="D89" s="129" t="n"/>
      <c r="E89" s="147">
        <f>C89*D89</f>
        <v/>
      </c>
      <c r="F89" s="147">
        <f>IFERROR(E89*(1+VLOOKUP(I89,CategoryTable,2,FALSE)),0)</f>
        <v/>
      </c>
      <c r="G89" s="148">
        <f>'Client Setup'!B19</f>
        <v/>
      </c>
      <c r="H89" s="187" t="n"/>
      <c r="I89" s="188" t="inlineStr">
        <is>
          <t>AV &amp; Production</t>
        </is>
      </c>
      <c r="J89" s="189" t="n"/>
      <c r="K89" s="189" t="n"/>
      <c r="L89" s="94" t="n"/>
      <c r="M89" s="94" t="n"/>
      <c r="N89" s="94" t="n"/>
      <c r="O89" s="94" t="n"/>
      <c r="P89" s="94" t="n"/>
      <c r="Q89" s="94" t="n"/>
      <c r="R89" s="94" t="n"/>
      <c r="S89" s="94" t="n"/>
      <c r="T89" s="94" t="n"/>
      <c r="U89" s="94" t="n"/>
      <c r="V89" s="94" t="n"/>
      <c r="W89" s="94" t="n"/>
      <c r="X89" s="94" t="n"/>
      <c r="Y89" s="94" t="n"/>
      <c r="Z89" s="94" t="n"/>
    </row>
    <row r="90" ht="24" customHeight="1" s="90">
      <c r="A90" s="155" t="inlineStr">
        <is>
          <t>NON-TAXABLE AV FEES &amp; LABOR</t>
        </is>
      </c>
      <c r="I90" s="94" t="n"/>
      <c r="J90" s="131" t="inlineStr">
        <is>
          <t>TOTAL</t>
        </is>
      </c>
      <c r="K90" s="144">
        <f>K29+K68+K86+K88</f>
        <v/>
      </c>
      <c r="L90" s="94" t="n"/>
      <c r="M90" s="94" t="n"/>
      <c r="N90" s="94" t="n"/>
      <c r="O90" s="94" t="n"/>
      <c r="P90" s="94" t="n"/>
      <c r="Q90" s="94" t="n"/>
      <c r="R90" s="94" t="n"/>
      <c r="S90" s="94" t="n"/>
      <c r="T90" s="94" t="n"/>
      <c r="U90" s="94" t="n"/>
      <c r="V90" s="94" t="n"/>
      <c r="W90" s="94" t="n"/>
      <c r="X90" s="94" t="n"/>
      <c r="Y90" s="94" t="n"/>
      <c r="Z90" s="94" t="n"/>
    </row>
    <row r="91" ht="24" customHeight="1" s="90">
      <c r="A91" s="185" t="inlineStr">
        <is>
          <t>AV Tech Labor</t>
        </is>
      </c>
      <c r="B91" s="186" t="n"/>
      <c r="C91" s="191" t="n"/>
      <c r="D91" s="129" t="n"/>
      <c r="E91" s="147">
        <f>D91</f>
        <v/>
      </c>
      <c r="F91" s="147">
        <f>IFERROR(E91*(1+VLOOKUP(I91,CategoryTable,2,FALSE)),0)</f>
        <v/>
      </c>
      <c r="G91" s="148" t="n">
        <v>0</v>
      </c>
      <c r="H91" s="187" t="n"/>
      <c r="I91" s="188" t="inlineStr">
        <is>
          <t>Staffing &amp; Labor</t>
        </is>
      </c>
      <c r="J91" s="94" t="n"/>
      <c r="K91" s="94" t="n"/>
      <c r="L91" s="94" t="n"/>
      <c r="M91" s="94" t="n"/>
      <c r="N91" s="94" t="n"/>
      <c r="O91" s="94" t="n"/>
      <c r="P91" s="94" t="n"/>
      <c r="Q91" s="94" t="n"/>
      <c r="R91" s="94" t="n"/>
      <c r="S91" s="94" t="n"/>
      <c r="T91" s="94" t="n"/>
      <c r="U91" s="94" t="n"/>
      <c r="V91" s="94" t="n"/>
      <c r="W91" s="94" t="n"/>
      <c r="X91" s="94" t="n"/>
      <c r="Y91" s="94" t="n"/>
      <c r="Z91" s="94" t="n"/>
    </row>
    <row r="92" ht="24" customHeight="1" s="90">
      <c r="A92" s="185" t="inlineStr">
        <is>
          <t>Delivery / Setup</t>
        </is>
      </c>
      <c r="B92" s="186" t="n"/>
      <c r="C92" s="191" t="n"/>
      <c r="D92" s="129" t="n"/>
      <c r="E92" s="147">
        <f>D92</f>
        <v/>
      </c>
      <c r="F92" s="147">
        <f>IFERROR(E92*(1+VLOOKUP(I92,CategoryTable,2,FALSE)),0)</f>
        <v/>
      </c>
      <c r="G92" s="148" t="n">
        <v>0</v>
      </c>
      <c r="H92" s="187" t="n"/>
      <c r="I92" s="188" t="inlineStr">
        <is>
          <t>Staffing &amp; Labor</t>
        </is>
      </c>
      <c r="J92" s="94" t="n"/>
      <c r="K92" s="94" t="n"/>
      <c r="L92" s="94" t="n"/>
      <c r="M92" s="94" t="n"/>
      <c r="N92" s="94" t="n"/>
      <c r="O92" s="94" t="n"/>
      <c r="P92" s="94" t="n"/>
      <c r="Q92" s="94" t="n"/>
      <c r="R92" s="94" t="n"/>
      <c r="S92" s="94" t="n"/>
      <c r="T92" s="94" t="n"/>
      <c r="U92" s="94" t="n"/>
      <c r="V92" s="94" t="n"/>
      <c r="W92" s="94" t="n"/>
      <c r="X92" s="94" t="n"/>
      <c r="Y92" s="94" t="n"/>
      <c r="Z92" s="94" t="n"/>
    </row>
    <row r="93" ht="25.5" customHeight="1" s="90">
      <c r="A93" s="185" t="inlineStr">
        <is>
          <t>Strike / Removal</t>
        </is>
      </c>
      <c r="B93" s="186" t="n"/>
      <c r="C93" s="191" t="n"/>
      <c r="D93" s="129" t="n"/>
      <c r="E93" s="147">
        <f>D93</f>
        <v/>
      </c>
      <c r="F93" s="147">
        <f>IFERROR(E93*(1+VLOOKUP(I93,CategoryTable,2,FALSE)),0)</f>
        <v/>
      </c>
      <c r="G93" s="148" t="n">
        <v>0</v>
      </c>
      <c r="H93" s="187" t="n"/>
      <c r="I93" s="188" t="inlineStr">
        <is>
          <t>Staffing &amp; Labor</t>
        </is>
      </c>
      <c r="J93" s="94" t="n"/>
      <c r="K93" s="94" t="n"/>
      <c r="L93" s="94" t="n"/>
      <c r="M93" s="94" t="n"/>
      <c r="N93" s="94" t="n"/>
      <c r="O93" s="94" t="n"/>
      <c r="P93" s="94" t="n"/>
      <c r="Q93" s="94" t="n"/>
      <c r="R93" s="94" t="n"/>
      <c r="S93" s="94" t="n"/>
      <c r="T93" s="94" t="n"/>
      <c r="U93" s="94" t="n"/>
      <c r="V93" s="94" t="n"/>
      <c r="W93" s="94" t="n"/>
      <c r="X93" s="94" t="n"/>
      <c r="Y93" s="94" t="n"/>
      <c r="Z93" s="94" t="n"/>
    </row>
    <row r="94" ht="6" customHeight="1" s="90">
      <c r="A94" s="185" t="n"/>
      <c r="B94" s="186" t="n"/>
      <c r="C94" s="191" t="n"/>
      <c r="D94" s="129" t="n"/>
      <c r="E94" s="147">
        <f>D94</f>
        <v/>
      </c>
      <c r="F94" s="147">
        <f>IFERROR(E94*(1+VLOOKUP(I94,CategoryTable,2,FALSE)),0)</f>
        <v/>
      </c>
      <c r="G94" s="148" t="n">
        <v>0</v>
      </c>
      <c r="H94" s="187" t="n"/>
      <c r="I94" s="188" t="inlineStr">
        <is>
          <t>Staffing &amp; Labor</t>
        </is>
      </c>
      <c r="J94" s="94" t="n"/>
      <c r="K94" s="94" t="n"/>
      <c r="L94" s="94" t="n"/>
      <c r="M94" s="94" t="n"/>
      <c r="N94" s="94" t="n"/>
      <c r="O94" s="94" t="n"/>
      <c r="P94" s="94" t="n"/>
      <c r="Q94" s="94" t="n"/>
      <c r="R94" s="94" t="n"/>
      <c r="S94" s="94" t="n"/>
      <c r="T94" s="94" t="n"/>
      <c r="U94" s="94" t="n"/>
      <c r="V94" s="94" t="n"/>
      <c r="W94" s="94" t="n"/>
      <c r="X94" s="94" t="n"/>
      <c r="Y94" s="94" t="n"/>
      <c r="Z94" s="94" t="n"/>
    </row>
    <row r="95" ht="27.75" customHeight="1" s="90">
      <c r="A95" s="185" t="n"/>
      <c r="B95" s="186" t="n"/>
      <c r="C95" s="191" t="n"/>
      <c r="D95" s="129" t="n"/>
      <c r="E95" s="147">
        <f>D95</f>
        <v/>
      </c>
      <c r="F95" s="147">
        <f>IFERROR(E95*(1+VLOOKUP(I95,CategoryTable,2,FALSE)),0)</f>
        <v/>
      </c>
      <c r="G95" s="148" t="n">
        <v>0</v>
      </c>
      <c r="H95" s="187" t="n"/>
      <c r="I95" s="188" t="inlineStr">
        <is>
          <t>Staffing &amp; Labor</t>
        </is>
      </c>
      <c r="J95" s="94" t="n"/>
      <c r="K95" s="94" t="n"/>
      <c r="L95" s="94" t="n"/>
      <c r="M95" s="94" t="n"/>
      <c r="N95" s="94" t="n"/>
      <c r="O95" s="94" t="n"/>
      <c r="P95" s="94" t="n"/>
      <c r="Q95" s="94" t="n"/>
      <c r="R95" s="94" t="n"/>
      <c r="S95" s="94" t="n"/>
      <c r="T95" s="94" t="n"/>
      <c r="U95" s="94" t="n"/>
      <c r="V95" s="94" t="n"/>
      <c r="W95" s="94" t="n"/>
      <c r="X95" s="94" t="n"/>
      <c r="Y95" s="94" t="n"/>
      <c r="Z95" s="94" t="n"/>
    </row>
    <row r="96" ht="25.5" customHeight="1" s="90">
      <c r="A96" s="159" t="inlineStr">
        <is>
          <t>AV / PRODUCTION SUBTOTAL</t>
        </is>
      </c>
      <c r="B96" s="194" t="n"/>
      <c r="C96" s="194" t="n"/>
      <c r="D96" s="194" t="n"/>
      <c r="E96" s="160">
        <f>SUM(E80:E89)+SUM(E91:E95)</f>
        <v/>
      </c>
      <c r="F96" s="160">
        <f>SUM(F80:F89)+SUM(F91:F95)</f>
        <v/>
      </c>
      <c r="G96" s="194" t="n"/>
      <c r="H96" s="194" t="n"/>
      <c r="I96" s="94" t="n"/>
      <c r="J96" s="94" t="n"/>
      <c r="K96" s="94" t="n"/>
      <c r="L96" s="94" t="n"/>
      <c r="M96" s="94" t="n"/>
      <c r="N96" s="94" t="n"/>
      <c r="O96" s="94" t="n"/>
      <c r="P96" s="94" t="n"/>
      <c r="Q96" s="94" t="n"/>
      <c r="R96" s="94" t="n"/>
      <c r="S96" s="94" t="n"/>
      <c r="T96" s="94" t="n"/>
      <c r="U96" s="94" t="n"/>
      <c r="V96" s="94" t="n"/>
      <c r="W96" s="94" t="n"/>
      <c r="X96" s="94" t="n"/>
      <c r="Y96" s="94" t="n"/>
      <c r="Z96" s="94" t="n"/>
    </row>
    <row r="97" ht="25.5" customHeight="1" s="90">
      <c r="A97" s="94" t="n"/>
      <c r="B97" s="94" t="n"/>
      <c r="C97" s="94" t="n"/>
      <c r="D97" s="94" t="n"/>
      <c r="E97" s="94" t="n"/>
      <c r="F97" s="94" t="n"/>
      <c r="G97" s="94" t="n"/>
      <c r="H97" s="94" t="n"/>
      <c r="I97" s="94" t="n"/>
      <c r="J97" s="94" t="n"/>
      <c r="K97" s="94" t="n"/>
      <c r="L97" s="94" t="n"/>
      <c r="M97" s="94" t="n"/>
      <c r="N97" s="94" t="n"/>
      <c r="O97" s="94" t="n"/>
      <c r="P97" s="94" t="n"/>
      <c r="Q97" s="94" t="n"/>
      <c r="R97" s="94" t="n"/>
      <c r="S97" s="94" t="n"/>
      <c r="T97" s="94" t="n"/>
      <c r="U97" s="94" t="n"/>
      <c r="V97" s="94" t="n"/>
      <c r="W97" s="94" t="n"/>
      <c r="X97" s="94" t="n"/>
      <c r="Y97" s="94" t="n"/>
      <c r="Z97" s="94" t="n"/>
    </row>
    <row r="98" ht="25.5" customHeight="1" s="90">
      <c r="A98" s="96" t="inlineStr">
        <is>
          <t>ESTIMATE SUMMARY</t>
        </is>
      </c>
      <c r="I98" s="94" t="n"/>
      <c r="J98" s="94" t="n"/>
      <c r="K98" s="94" t="n"/>
      <c r="L98" s="94" t="n"/>
      <c r="M98" s="94" t="n"/>
      <c r="N98" s="94" t="n"/>
      <c r="O98" s="94" t="n"/>
      <c r="P98" s="94" t="n"/>
      <c r="Q98" s="94" t="n"/>
      <c r="R98" s="94" t="n"/>
      <c r="S98" s="94" t="n"/>
      <c r="T98" s="94" t="n"/>
      <c r="U98" s="94" t="n"/>
      <c r="V98" s="94" t="n"/>
      <c r="W98" s="94" t="n"/>
      <c r="X98" s="94" t="n"/>
      <c r="Y98" s="94" t="n"/>
      <c r="Z98" s="94" t="n"/>
    </row>
    <row r="99" ht="25.5" customHeight="1" s="90">
      <c r="A99" s="156" t="inlineStr">
        <is>
          <t>Taxable Product Subtotal</t>
        </is>
      </c>
      <c r="B99" s="196" t="n"/>
      <c r="C99" s="196" t="n"/>
      <c r="D99" s="196" t="n"/>
      <c r="E99" s="158">
        <f>SUM(E16:E25)+SUM(E35:E42)+SUM(E44:E51)+SUM(E53:E60)+SUM(E62:E67)+SUM(E80:E89)</f>
        <v/>
      </c>
      <c r="F99" s="158">
        <f>SUM(F16:F25)+SUM(F35:F42)+SUM(F44:F51)+SUM(F53:F60)+SUM(F62:F67)+SUM(F80:F89)</f>
        <v/>
      </c>
      <c r="G99" s="196" t="n"/>
      <c r="H99" s="196" t="n"/>
      <c r="I99" s="94" t="n"/>
      <c r="J99" s="94" t="n"/>
      <c r="K99" s="94" t="n"/>
      <c r="L99" s="94" t="n"/>
      <c r="M99" s="94" t="n"/>
      <c r="N99" s="94" t="n"/>
      <c r="O99" s="94" t="n"/>
      <c r="P99" s="94" t="n"/>
      <c r="Q99" s="94" t="n"/>
      <c r="R99" s="94" t="n"/>
      <c r="S99" s="94" t="n"/>
      <c r="T99" s="94" t="n"/>
      <c r="U99" s="94" t="n"/>
      <c r="V99" s="94" t="n"/>
      <c r="W99" s="94" t="n"/>
      <c r="X99" s="94" t="n"/>
      <c r="Y99" s="94" t="n"/>
      <c r="Z99" s="94" t="n"/>
    </row>
    <row r="100" ht="25.5" customHeight="1" s="90">
      <c r="A100" s="156" t="inlineStr">
        <is>
          <t>Sales Tax</t>
        </is>
      </c>
      <c r="B100" s="196" t="n"/>
      <c r="C100" s="196" t="n"/>
      <c r="D100" s="196" t="n"/>
      <c r="E100" s="158">
        <f>IFERROR(E99*'Client Setup'!B19,0)</f>
        <v/>
      </c>
      <c r="F100" s="158">
        <f>IFERROR(F99*'Client Setup'!B19,0)</f>
        <v/>
      </c>
      <c r="G100" s="196" t="n"/>
      <c r="H100" s="196" t="n"/>
      <c r="I100" s="94" t="n"/>
      <c r="J100" s="94" t="n"/>
      <c r="K100" s="94" t="n"/>
      <c r="L100" s="94" t="n"/>
      <c r="M100" s="94" t="n"/>
      <c r="N100" s="94" t="n"/>
      <c r="O100" s="94" t="n"/>
      <c r="P100" s="94" t="n"/>
      <c r="Q100" s="94" t="n"/>
      <c r="R100" s="94" t="n"/>
      <c r="S100" s="94" t="n"/>
      <c r="T100" s="94" t="n"/>
      <c r="U100" s="94" t="n"/>
      <c r="V100" s="94" t="n"/>
      <c r="W100" s="94" t="n"/>
      <c r="X100" s="94" t="n"/>
      <c r="Y100" s="94" t="n"/>
      <c r="Z100" s="94" t="n"/>
    </row>
    <row r="101" ht="33.75" customHeight="1" s="90">
      <c r="A101" s="156" t="inlineStr">
        <is>
          <t>Non-Taxable Fees Subtotal</t>
        </is>
      </c>
      <c r="B101" s="196" t="n"/>
      <c r="C101" s="196" t="n"/>
      <c r="D101" s="196" t="n"/>
      <c r="E101" s="158">
        <f>SUM(E27:E29)+SUM(E69:E74)+SUM(E91:E95)</f>
        <v/>
      </c>
      <c r="F101" s="158">
        <f>SUM(F27:F29)+SUM(F69:F74)+SUM(F91:F95)</f>
        <v/>
      </c>
      <c r="G101" s="196" t="n"/>
      <c r="H101" s="196" t="n"/>
      <c r="I101" s="94" t="n"/>
      <c r="J101" s="94" t="n"/>
      <c r="K101" s="94" t="n"/>
      <c r="L101" s="94" t="n"/>
      <c r="M101" s="94" t="n"/>
      <c r="N101" s="94" t="n"/>
      <c r="O101" s="94" t="n"/>
      <c r="P101" s="94" t="n"/>
      <c r="Q101" s="94" t="n"/>
      <c r="R101" s="94" t="n"/>
      <c r="S101" s="94" t="n"/>
      <c r="T101" s="94" t="n"/>
      <c r="U101" s="94" t="n"/>
      <c r="V101" s="94" t="n"/>
      <c r="W101" s="94" t="n"/>
      <c r="X101" s="94" t="n"/>
      <c r="Y101" s="94" t="n"/>
      <c r="Z101" s="94" t="n"/>
    </row>
    <row r="102" ht="6" customHeight="1" s="90">
      <c r="A102" s="156" t="inlineStr">
        <is>
          <t>CC Processing Fee</t>
        </is>
      </c>
      <c r="B102" s="196" t="n"/>
      <c r="C102" s="196" t="n"/>
      <c r="D102" s="196" t="n"/>
      <c r="E102" s="158">
        <f>F102</f>
        <v/>
      </c>
      <c r="F102" s="158">
        <f>IFERROR((F99+F100+F101)*'Client Setup'!C35,0)</f>
        <v/>
      </c>
      <c r="G102" s="196" t="n"/>
      <c r="H102" s="196" t="n"/>
      <c r="I102" s="94" t="n"/>
      <c r="J102" s="94" t="n"/>
      <c r="K102" s="94" t="n"/>
      <c r="L102" s="94" t="n"/>
      <c r="M102" s="94" t="n"/>
      <c r="N102" s="94" t="n"/>
      <c r="O102" s="94" t="n"/>
      <c r="P102" s="94" t="n"/>
      <c r="Q102" s="94" t="n"/>
      <c r="R102" s="94" t="n"/>
      <c r="S102" s="94" t="n"/>
      <c r="T102" s="94" t="n"/>
      <c r="U102" s="94" t="n"/>
      <c r="V102" s="94" t="n"/>
      <c r="W102" s="94" t="n"/>
      <c r="X102" s="94" t="n"/>
      <c r="Y102" s="94" t="n"/>
      <c r="Z102" s="94" t="n"/>
    </row>
    <row r="103" ht="27.75" customHeight="1" s="90">
      <c r="A103" s="156" t="inlineStr">
        <is>
          <t>Third-Party Commission</t>
        </is>
      </c>
      <c r="B103" s="196" t="n"/>
      <c r="C103" s="196" t="n"/>
      <c r="D103" s="196" t="n"/>
      <c r="E103" s="158">
        <f>F103</f>
        <v/>
      </c>
      <c r="F103" s="158">
        <f>IFERROR((F99+F100+F101)*'Client Setup'!C36,0)</f>
        <v/>
      </c>
      <c r="G103" s="196" t="n"/>
      <c r="H103" s="196" t="n"/>
      <c r="I103" s="94" t="n"/>
      <c r="J103" s="94" t="n"/>
      <c r="K103" s="94" t="n"/>
      <c r="L103" s="94" t="n"/>
      <c r="M103" s="94" t="n"/>
      <c r="N103" s="94" t="n"/>
      <c r="O103" s="94" t="n"/>
      <c r="P103" s="94" t="n"/>
      <c r="Q103" s="94" t="n"/>
      <c r="R103" s="94" t="n"/>
      <c r="S103" s="94" t="n"/>
      <c r="T103" s="94" t="n"/>
      <c r="U103" s="94" t="n"/>
      <c r="V103" s="94" t="n"/>
      <c r="W103" s="94" t="n"/>
      <c r="X103" s="94" t="n"/>
      <c r="Y103" s="94" t="n"/>
      <c r="Z103" s="94" t="n"/>
    </row>
    <row r="104" ht="30" customHeight="1" s="90">
      <c r="A104" s="162" t="inlineStr">
        <is>
          <t>TOTAL DECOR ESTIMATE</t>
        </is>
      </c>
      <c r="E104" s="163">
        <f>SUM(E99:E103)</f>
        <v/>
      </c>
      <c r="F104" s="163">
        <f>SUM(F99:F103)</f>
        <v/>
      </c>
      <c r="G104" s="197" t="n"/>
      <c r="H104" s="197" t="n"/>
      <c r="I104" s="94" t="n"/>
      <c r="J104" s="94" t="n"/>
      <c r="K104" s="94" t="n"/>
      <c r="L104" s="94" t="n"/>
      <c r="M104" s="94" t="n"/>
      <c r="N104" s="94" t="n"/>
      <c r="O104" s="94" t="n"/>
      <c r="P104" s="94" t="n"/>
      <c r="Q104" s="94" t="n"/>
      <c r="R104" s="94" t="n"/>
      <c r="S104" s="94" t="n"/>
      <c r="T104" s="94" t="n"/>
      <c r="U104" s="94" t="n"/>
      <c r="V104" s="94" t="n"/>
      <c r="W104" s="94" t="n"/>
      <c r="X104" s="94" t="n"/>
      <c r="Y104" s="94" t="n"/>
      <c r="Z104" s="94" t="n"/>
    </row>
    <row r="105" ht="6" customHeight="1" s="90">
      <c r="A105" s="94" t="n"/>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c r="U105" s="94" t="n"/>
      <c r="V105" s="94" t="n"/>
      <c r="W105" s="94" t="n"/>
      <c r="X105" s="94" t="n"/>
      <c r="Y105" s="94" t="n"/>
      <c r="Z105" s="94" t="n"/>
    </row>
    <row r="106" ht="27.75" customHeight="1" s="90">
      <c r="A106" s="96" t="inlineStr">
        <is>
          <t>CLIENT PRICING</t>
        </is>
      </c>
      <c r="I106" s="94" t="n"/>
      <c r="J106" s="94" t="n"/>
      <c r="K106" s="94" t="n"/>
      <c r="L106" s="94" t="n"/>
      <c r="M106" s="94" t="n"/>
      <c r="N106" s="94" t="n"/>
      <c r="O106" s="94" t="n"/>
      <c r="P106" s="94" t="n"/>
      <c r="Q106" s="94" t="n"/>
      <c r="R106" s="94" t="n"/>
      <c r="S106" s="94" t="n"/>
      <c r="T106" s="94" t="n"/>
      <c r="U106" s="94" t="n"/>
      <c r="V106" s="94" t="n"/>
      <c r="W106" s="94" t="n"/>
      <c r="X106" s="94" t="n"/>
      <c r="Y106" s="94" t="n"/>
      <c r="Z106" s="94" t="n"/>
    </row>
    <row r="107" ht="25.5" customHeight="1" s="90">
      <c r="A107" s="97" t="inlineStr">
        <is>
          <t>Total Client Cost</t>
        </is>
      </c>
      <c r="B107" s="166">
        <f>F104</f>
        <v/>
      </c>
      <c r="C107" s="99" t="n"/>
      <c r="D107" s="99" t="n"/>
      <c r="E107" s="99" t="n"/>
      <c r="F107" s="99" t="n"/>
      <c r="G107" s="99" t="n"/>
      <c r="H107" s="99" t="n"/>
      <c r="I107" s="94" t="n"/>
      <c r="J107" s="94" t="n"/>
      <c r="K107" s="94" t="n"/>
      <c r="L107" s="94" t="n"/>
      <c r="M107" s="94" t="n"/>
      <c r="N107" s="94" t="n"/>
      <c r="O107" s="94" t="n"/>
      <c r="P107" s="94" t="n"/>
      <c r="Q107" s="94" t="n"/>
      <c r="R107" s="94" t="n"/>
      <c r="S107" s="94" t="n"/>
      <c r="T107" s="94" t="n"/>
      <c r="U107" s="94" t="n"/>
      <c r="V107" s="94" t="n"/>
      <c r="W107" s="94" t="n"/>
      <c r="X107" s="94" t="n"/>
      <c r="Y107" s="94" t="n"/>
      <c r="Z107" s="94" t="n"/>
    </row>
    <row r="108" ht="25.5" customHeight="1" s="90">
      <c r="A108" s="94" t="n"/>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c r="U108" s="94" t="n"/>
      <c r="V108" s="94" t="n"/>
      <c r="W108" s="94" t="n"/>
      <c r="X108" s="94" t="n"/>
      <c r="Y108" s="94" t="n"/>
      <c r="Z108" s="94" t="n"/>
    </row>
    <row r="109" ht="25.5" customHeight="1" s="90"/>
    <row r="110" ht="25.5" customHeight="1" s="90">
      <c r="A110" s="206" t="inlineStr">
        <is>
          <t>QC TRAVEL EXPENSES</t>
        </is>
      </c>
      <c r="B110" s="206" t="n"/>
      <c r="C110" s="206" t="n"/>
      <c r="D110" s="206" t="n"/>
    </row>
    <row r="111" ht="30" customHeight="1" s="90">
      <c r="A111" s="204" t="inlineStr"/>
      <c r="B111" s="204" t="inlineStr">
        <is>
          <t>Trip 1</t>
        </is>
      </c>
      <c r="C111" s="204" t="inlineStr">
        <is>
          <t>Trip 2</t>
        </is>
      </c>
      <c r="D111" s="204" t="inlineStr">
        <is>
          <t>Trip 3</t>
        </is>
      </c>
    </row>
    <row r="112" ht="15.75" customHeight="1" s="90">
      <c r="A112" s="114" t="inlineStr">
        <is>
          <t>Trip Label</t>
        </is>
      </c>
      <c r="B112" s="104" t="n"/>
      <c r="C112" s="104" t="n"/>
      <c r="D112" s="104" t="n"/>
    </row>
    <row r="113" ht="15.75" customHeight="1" s="90">
      <c r="A113" s="114" t="inlineStr">
        <is>
          <t>Destination</t>
        </is>
      </c>
      <c r="B113" s="104" t="n"/>
      <c r="C113" s="104" t="n"/>
      <c r="D113" s="104" t="n"/>
    </row>
    <row r="114" ht="15.75" customHeight="1" s="90">
      <c r="A114" s="114" t="inlineStr">
        <is>
          <t>Travel Type</t>
        </is>
      </c>
      <c r="B114" s="207">
        <f>IF(B113&lt;&gt;"",VLOOKUP(B113,TravelRates,2,FALSE),"")</f>
        <v/>
      </c>
      <c r="C114" s="207">
        <f>IF(C113&lt;&gt;"",VLOOKUP(C113,TravelRates,2,FALSE),"")</f>
        <v/>
      </c>
      <c r="D114" s="207">
        <f>IF(D113&lt;&gt;"",VLOOKUP(D113,TravelRates,2,FALSE),"")</f>
        <v/>
      </c>
    </row>
    <row r="115" ht="15.75" customHeight="1" s="90">
      <c r="A115" s="114" t="inlineStr">
        <is>
          <t>Staff Traveling</t>
        </is>
      </c>
      <c r="B115" s="104" t="n"/>
      <c r="C115" s="104" t="n"/>
      <c r="D115" s="104" t="n"/>
    </row>
    <row r="116" ht="15.75" customHeight="1" s="90">
      <c r="A116" s="114" t="inlineStr">
        <is>
          <t>Nights</t>
        </is>
      </c>
      <c r="B116" s="104" t="n"/>
      <c r="C116" s="104" t="n"/>
      <c r="D116" s="104" t="n"/>
    </row>
    <row r="117" ht="15.75" customHeight="1" s="90">
      <c r="A117" s="114" t="inlineStr">
        <is>
          <t>On-Site Vehicle</t>
        </is>
      </c>
      <c r="B117" s="104" t="n"/>
      <c r="C117" s="104" t="n"/>
      <c r="D117" s="104" t="n"/>
    </row>
    <row r="118" ht="15.75" customHeight="1" s="90">
      <c r="A118" s="114" t="inlineStr">
        <is>
          <t>Custom Vehicle Cost</t>
        </is>
      </c>
      <c r="B118" s="205" t="n"/>
      <c r="C118" s="205" t="n"/>
      <c r="D118" s="205" t="n"/>
    </row>
    <row r="119" ht="15.75" customHeight="1" s="90"/>
    <row r="120" ht="15.75" customHeight="1" s="90">
      <c r="A120" s="114" t="inlineStr">
        <is>
          <t>Travel Cost</t>
        </is>
      </c>
      <c r="B120" s="208">
        <f>IF(OR(B113="",B115=""),0,IF(B114="Flight",VLOOKUP(B113,TravelRates,4,FALSE)*B115,IF(B114="Drive",VLOOKUP(B113,TravelRates,3,FALSE),0)))</f>
        <v/>
      </c>
      <c r="C120" s="208">
        <f>IF(OR(C113="",C115=""),0,IF(C114="Flight",VLOOKUP(C113,TravelRates,4,FALSE)*C115,IF(C114="Drive",VLOOKUP(C113,TravelRates,3,FALSE),0)))</f>
        <v/>
      </c>
      <c r="D120" s="208">
        <f>IF(OR(D113="",D115=""),0,IF(D114="Flight",VLOOKUP(D113,TravelRates,4,FALSE)*D115,IF(D114="Drive",VLOOKUP(D113,TravelRates,3,FALSE),0)))</f>
        <v/>
      </c>
    </row>
    <row r="121" ht="15.75" customHeight="1" s="90">
      <c r="A121" s="114" t="inlineStr">
        <is>
          <t>Hotel Cost</t>
        </is>
      </c>
      <c r="B121" s="208">
        <f>IF(OR(B113="",B115="",B116=""),0,VLOOKUP(B113,TravelRates,5,FALSE)*B116*B115)</f>
        <v/>
      </c>
      <c r="C121" s="208">
        <f>IF(OR(C113="",C115="",C116=""),0,VLOOKUP(C113,TravelRates,5,FALSE)*C116*C115)</f>
        <v/>
      </c>
      <c r="D121" s="208">
        <f>IF(OR(D113="",D115="",D116=""),0,VLOOKUP(D113,TravelRates,5,FALSE)*D116*D115)</f>
        <v/>
      </c>
    </row>
    <row r="122" ht="15.75" customHeight="1" s="90">
      <c r="A122" s="114" t="inlineStr">
        <is>
          <t>Per Diem Cost</t>
        </is>
      </c>
      <c r="B122" s="208">
        <f>IF(OR(B113="",B115=""),0,VLOOKUP(B113,TravelRates,6,FALSE)*(B116+1)*B115)</f>
        <v/>
      </c>
      <c r="C122" s="208">
        <f>IF(OR(C113="",C115=""),0,VLOOKUP(C113,TravelRates,6,FALSE)*(C116+1)*C115)</f>
        <v/>
      </c>
      <c r="D122" s="208">
        <f>IF(OR(D113="",D115=""),0,VLOOKUP(D113,TravelRates,6,FALSE)*(D116+1)*D115)</f>
        <v/>
      </c>
    </row>
    <row r="123" ht="15.75" customHeight="1" s="90">
      <c r="A123" s="114" t="inlineStr">
        <is>
          <t>Vehicle Cost</t>
        </is>
      </c>
      <c r="B123" s="208">
        <f>IF(OR(B117="",B117="None"),0,IF(B117="Custom",IF(ISNUMBER(B118),B118,0),IFERROR(VLOOKUP(B117,VehicleRates,2,FALSE),0)))</f>
        <v/>
      </c>
      <c r="C123" s="208">
        <f>IF(OR(C117="",C117="None"),0,IF(C117="Custom",IF(ISNUMBER(C118),C118,0),IFERROR(VLOOKUP(C117,VehicleRates,2,FALSE),0)))</f>
        <v/>
      </c>
      <c r="D123" s="208">
        <f>IF(OR(D117="",D117="None"),0,IF(D117="Custom",IF(ISNUMBER(D118),D118,0),IFERROR(VLOOKUP(D117,VehicleRates,2,FALSE),0)))</f>
        <v/>
      </c>
    </row>
    <row r="124" ht="15.75" customHeight="1" s="90">
      <c r="A124" s="209" t="inlineStr">
        <is>
          <t>Trip Total</t>
        </is>
      </c>
      <c r="B124" s="210">
        <f>B120+B121+B122+B123</f>
        <v/>
      </c>
      <c r="C124" s="210">
        <f>C120+C121+C122+C123</f>
        <v/>
      </c>
      <c r="D124" s="210">
        <f>D120+D121+D122+D123</f>
        <v/>
      </c>
    </row>
    <row r="125" ht="15.75" customHeight="1" s="90"/>
    <row r="126" ht="15.75" customHeight="1" s="90">
      <c r="A126" s="117" t="inlineStr">
        <is>
          <t>Total Travel Expenses</t>
        </is>
      </c>
      <c r="B126" s="118" t="n"/>
      <c r="C126" s="118" t="n"/>
      <c r="D126" s="211">
        <f>B124+C124+D124</f>
        <v/>
      </c>
    </row>
    <row r="127" ht="15.75" customHeight="1" s="90">
      <c r="A127" s="212" t="inlineStr">
        <is>
          <t>PROFIT &amp; MARGIN</t>
        </is>
      </c>
      <c r="B127" s="206" t="n"/>
      <c r="C127" s="206" t="n"/>
      <c r="D127" s="206" t="n"/>
      <c r="E127" s="206" t="n"/>
      <c r="I127" s="94" t="n"/>
      <c r="J127" s="94" t="n"/>
      <c r="K127" s="94" t="n"/>
      <c r="L127" s="94" t="n"/>
      <c r="M127" s="94" t="n"/>
      <c r="N127" s="94" t="n"/>
      <c r="O127" s="94" t="n"/>
      <c r="P127" s="94" t="n"/>
      <c r="Q127" s="94" t="n"/>
      <c r="R127" s="94" t="n"/>
      <c r="S127" s="94" t="n"/>
      <c r="T127" s="94" t="n"/>
      <c r="U127" s="94" t="n"/>
      <c r="V127" s="94" t="n"/>
      <c r="W127" s="94" t="n"/>
      <c r="X127" s="94" t="n"/>
      <c r="Y127" s="94" t="n"/>
      <c r="Z127" s="94" t="n"/>
    </row>
    <row r="128" ht="15.75" customHeight="1" s="90">
      <c r="A128" s="213" t="inlineStr">
        <is>
          <t>Third-Party Commission</t>
        </is>
      </c>
      <c r="B128" s="191" t="n"/>
      <c r="C128" s="214">
        <f>'Client Setup'!C36</f>
        <v/>
      </c>
      <c r="D128" s="215">
        <f>F104*C128</f>
        <v/>
      </c>
      <c r="E128" s="191" t="n"/>
      <c r="F128" s="191" t="n"/>
      <c r="G128" s="191" t="n"/>
      <c r="H128" s="191" t="n"/>
      <c r="I128" s="94" t="n"/>
      <c r="J128" s="94" t="n"/>
      <c r="K128" s="94" t="n"/>
      <c r="L128" s="94" t="n"/>
      <c r="M128" s="94" t="n"/>
      <c r="N128" s="94" t="n"/>
      <c r="O128" s="94" t="n"/>
      <c r="P128" s="94" t="n"/>
      <c r="Q128" s="94" t="n"/>
      <c r="R128" s="94" t="n"/>
      <c r="S128" s="94" t="n"/>
      <c r="T128" s="94" t="n"/>
      <c r="U128" s="94" t="n"/>
      <c r="V128" s="94" t="n"/>
      <c r="W128" s="94" t="n"/>
      <c r="X128" s="94" t="n"/>
      <c r="Y128" s="94" t="n"/>
      <c r="Z128" s="94" t="n"/>
    </row>
    <row r="129" ht="15.75" customHeight="1" s="90">
      <c r="A129" s="213" t="inlineStr">
        <is>
          <t>Global DMC Fee (6.5%)</t>
        </is>
      </c>
      <c r="B129" s="191" t="n"/>
      <c r="C129" s="169">
        <f>IF('Client Setup'!C37="Yes",0.065,0)</f>
        <v/>
      </c>
      <c r="D129" s="215">
        <f>IF('Client Setup'!C37="Yes",F104*0.065,0)</f>
        <v/>
      </c>
      <c r="E129" s="191" t="n"/>
      <c r="F129" s="191" t="n"/>
      <c r="G129" s="191" t="n"/>
      <c r="H129" s="191" t="n"/>
      <c r="I129" s="94" t="n"/>
      <c r="J129" s="94" t="n"/>
      <c r="K129" s="94" t="n"/>
      <c r="L129" s="94" t="n"/>
      <c r="M129" s="94" t="n"/>
      <c r="N129" s="94" t="n"/>
      <c r="O129" s="94" t="n"/>
      <c r="P129" s="94" t="n"/>
      <c r="Q129" s="94" t="n"/>
      <c r="R129" s="94" t="n"/>
      <c r="S129" s="94" t="n"/>
      <c r="T129" s="94" t="n"/>
      <c r="U129" s="94" t="n"/>
      <c r="V129" s="94" t="n"/>
      <c r="W129" s="94" t="n"/>
      <c r="X129" s="94" t="n"/>
      <c r="Y129" s="94" t="n"/>
      <c r="Z129" s="94" t="n"/>
    </row>
    <row r="130" ht="15.75" customHeight="1" s="90">
      <c r="A130" s="213" t="inlineStr">
        <is>
          <t>Total Vendor Costs (incl. CC fee)</t>
        </is>
      </c>
      <c r="B130" s="191" t="n"/>
      <c r="C130" s="191" t="n"/>
      <c r="D130" s="215">
        <f>E99+E100+E101+E102</f>
        <v/>
      </c>
      <c r="E130" s="191" t="n"/>
      <c r="F130" s="191" t="n"/>
      <c r="G130" s="191" t="n"/>
      <c r="H130" s="191" t="n"/>
      <c r="I130" s="94" t="n"/>
      <c r="J130" s="94" t="n"/>
      <c r="K130" s="94" t="n"/>
      <c r="L130" s="94" t="n"/>
      <c r="M130" s="94" t="n"/>
      <c r="N130" s="94" t="n"/>
      <c r="O130" s="94" t="n"/>
      <c r="P130" s="94" t="n"/>
      <c r="Q130" s="94" t="n"/>
      <c r="R130" s="94" t="n"/>
      <c r="S130" s="94" t="n"/>
      <c r="T130" s="94" t="n"/>
      <c r="U130" s="94" t="n"/>
      <c r="V130" s="94" t="n"/>
      <c r="W130" s="94" t="n"/>
      <c r="X130" s="94" t="n"/>
      <c r="Y130" s="94" t="n"/>
      <c r="Z130" s="94" t="n"/>
    </row>
    <row r="131" ht="15.75" customHeight="1" s="90">
      <c r="A131" s="216" t="inlineStr">
        <is>
          <t>QC Revenue</t>
        </is>
      </c>
      <c r="B131" s="191" t="n"/>
      <c r="C131" s="191" t="n"/>
      <c r="D131" s="215">
        <f>IFERROR(F104-D128-D129-D130,0)</f>
        <v/>
      </c>
      <c r="E131" s="191" t="n"/>
      <c r="F131" s="191" t="n"/>
      <c r="G131" s="191" t="n"/>
      <c r="H131" s="191" t="n"/>
      <c r="I131" s="94" t="n"/>
      <c r="J131" s="94" t="n"/>
      <c r="K131" s="94" t="n"/>
      <c r="L131" s="94" t="n"/>
      <c r="M131" s="94" t="n"/>
      <c r="N131" s="94" t="n"/>
      <c r="O131" s="94" t="n"/>
      <c r="P131" s="94" t="n"/>
      <c r="Q131" s="94" t="n"/>
      <c r="R131" s="94" t="n"/>
      <c r="S131" s="94" t="n"/>
      <c r="T131" s="94" t="n"/>
      <c r="U131" s="94" t="n"/>
      <c r="V131" s="94" t="n"/>
      <c r="W131" s="94" t="n"/>
      <c r="X131" s="94" t="n"/>
      <c r="Y131" s="94" t="n"/>
      <c r="Z131" s="94" t="n"/>
    </row>
    <row r="132" ht="15.75" customHeight="1" s="90">
      <c r="A132" s="217" t="inlineStr">
        <is>
          <t>QC Margin %</t>
        </is>
      </c>
      <c r="B132" s="194" t="n"/>
      <c r="C132" s="194" t="n"/>
      <c r="D132" s="218">
        <f>IFERROR(IF(F104&gt;0,D131/F104,0),0)</f>
        <v/>
      </c>
      <c r="E132" s="194" t="n"/>
      <c r="F132" s="194" t="n"/>
      <c r="G132" s="194" t="n"/>
      <c r="H132" s="194" t="n"/>
      <c r="I132" s="94" t="n"/>
      <c r="J132" s="94" t="n"/>
      <c r="K132" s="94" t="n"/>
      <c r="L132" s="94" t="n"/>
      <c r="M132" s="94" t="n"/>
      <c r="N132" s="94" t="n"/>
      <c r="O132" s="94" t="n"/>
      <c r="P132" s="94" t="n"/>
      <c r="Q132" s="94" t="n"/>
      <c r="R132" s="94" t="n"/>
      <c r="S132" s="94" t="n"/>
      <c r="T132" s="94" t="n"/>
      <c r="U132" s="94" t="n"/>
      <c r="V132" s="94" t="n"/>
      <c r="W132" s="94" t="n"/>
      <c r="X132" s="94" t="n"/>
      <c r="Y132" s="94" t="n"/>
      <c r="Z132" s="94" t="n"/>
    </row>
    <row r="133" ht="15.75" customHeight="1" s="90">
      <c r="A133" s="103" t="inlineStr">
        <is>
          <t>Margin Health</t>
        </is>
      </c>
      <c r="B133" s="178" t="n"/>
      <c r="C133" s="178" t="n"/>
      <c r="D133" s="207">
        <f>IF(D132&gt;=0.45,"✓ STRONG",IF(D132&gt;=0.35,"→ ON TARGET",IF(D132&gt;=0.25,"⚠ REVIEW","✗ BELOW FLOOR")))</f>
        <v/>
      </c>
      <c r="E133" s="178" t="n"/>
      <c r="F133" s="178" t="n"/>
      <c r="G133" s="178" t="n"/>
      <c r="H133" s="178" t="n"/>
      <c r="I133" s="178" t="n"/>
      <c r="J133" s="94" t="n"/>
      <c r="K133" s="94" t="n"/>
      <c r="L133" s="94" t="n"/>
      <c r="M133" s="94" t="n"/>
      <c r="N133" s="94" t="n"/>
      <c r="O133" s="94" t="n"/>
      <c r="P133" s="94" t="n"/>
      <c r="Q133" s="94" t="n"/>
      <c r="R133" s="94" t="n"/>
      <c r="S133" s="94" t="n"/>
      <c r="T133" s="94" t="n"/>
      <c r="U133" s="94" t="n"/>
      <c r="V133" s="94" t="n"/>
      <c r="W133" s="94" t="n"/>
      <c r="X133" s="94" t="n"/>
      <c r="Y133" s="94" t="n"/>
      <c r="Z133" s="94" t="n"/>
    </row>
    <row r="134" ht="15.75" customHeight="1" s="90">
      <c r="A134" s="94" t="n"/>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c r="U134" s="94" t="n"/>
      <c r="V134" s="94" t="n"/>
      <c r="W134" s="94" t="n"/>
      <c r="X134" s="94" t="n"/>
      <c r="Y134" s="94" t="n"/>
      <c r="Z134" s="94" t="n"/>
    </row>
    <row r="135" ht="15.75" customHeight="1" s="90">
      <c r="A135" s="114" t="inlineStr">
        <is>
          <t>Estimated Team Hours</t>
        </is>
      </c>
      <c r="B135" s="178" t="n"/>
      <c r="C135" s="175" t="n"/>
      <c r="D135" s="208">
        <f>IF(ISNUMBER(C135),C135*90,0)</f>
        <v/>
      </c>
      <c r="E135" s="172" t="inlineStr">
        <is>
          <t>Hours × $90/hr</t>
        </is>
      </c>
      <c r="F135" s="178" t="n"/>
      <c r="G135" s="178" t="n"/>
      <c r="H135" s="178" t="n"/>
      <c r="I135" s="178" t="n"/>
      <c r="J135" s="94" t="n"/>
      <c r="K135" s="94" t="n"/>
      <c r="L135" s="94" t="n"/>
      <c r="M135" s="94" t="n"/>
      <c r="N135" s="94" t="n"/>
      <c r="O135" s="94" t="n"/>
      <c r="P135" s="94" t="n"/>
      <c r="Q135" s="94" t="n"/>
      <c r="R135" s="94" t="n"/>
      <c r="S135" s="94" t="n"/>
      <c r="T135" s="94" t="n"/>
      <c r="U135" s="94" t="n"/>
      <c r="V135" s="94" t="n"/>
      <c r="W135" s="94" t="n"/>
      <c r="X135" s="94" t="n"/>
      <c r="Y135" s="94" t="n"/>
      <c r="Z135" s="94" t="n"/>
    </row>
    <row r="136" ht="15.75" customHeight="1" s="90">
      <c r="A136" s="103" t="inlineStr">
        <is>
          <t>True Net Profit</t>
        </is>
      </c>
      <c r="B136" s="178" t="n"/>
      <c r="C136" s="178" t="n"/>
      <c r="D136" s="208">
        <f>D131-D135-D126</f>
        <v/>
      </c>
      <c r="E136" s="178" t="n"/>
      <c r="F136" s="178" t="n"/>
      <c r="G136" s="178" t="n"/>
      <c r="H136" s="178" t="n"/>
      <c r="I136" s="178" t="n"/>
      <c r="J136" s="94" t="n"/>
      <c r="K136" s="94" t="n"/>
      <c r="L136" s="94" t="n"/>
      <c r="M136" s="94" t="n"/>
      <c r="N136" s="94" t="n"/>
      <c r="O136" s="94" t="n"/>
      <c r="P136" s="94" t="n"/>
      <c r="Q136" s="94" t="n"/>
      <c r="R136" s="94" t="n"/>
      <c r="S136" s="94" t="n"/>
      <c r="T136" s="94" t="n"/>
      <c r="U136" s="94" t="n"/>
      <c r="V136" s="94" t="n"/>
      <c r="W136" s="94" t="n"/>
      <c r="X136" s="94" t="n"/>
      <c r="Y136" s="94" t="n"/>
      <c r="Z136" s="94" t="n"/>
    </row>
    <row r="137" ht="15.75" customHeight="1" s="90">
      <c r="A137" s="114" t="inlineStr">
        <is>
          <t>True Net Margin %</t>
        </is>
      </c>
      <c r="B137" s="180" t="n"/>
      <c r="C137" s="180" t="n"/>
      <c r="D137" s="219">
        <f>IFERROR(IF(F104&gt;0,D136/F104,0),0)</f>
        <v/>
      </c>
      <c r="E137" s="180" t="n"/>
      <c r="F137" s="180" t="n"/>
      <c r="G137" s="180" t="n"/>
      <c r="H137" s="180" t="n"/>
      <c r="I137" s="180" t="n"/>
      <c r="J137" s="94" t="n"/>
      <c r="K137" s="94" t="n"/>
      <c r="L137" s="94" t="n"/>
      <c r="M137" s="94" t="n"/>
      <c r="N137" s="94" t="n"/>
      <c r="O137" s="94" t="n"/>
      <c r="P137" s="94" t="n"/>
      <c r="Q137" s="94" t="n"/>
      <c r="R137" s="94" t="n"/>
      <c r="S137" s="94" t="n"/>
      <c r="T137" s="94" t="n"/>
      <c r="U137" s="94" t="n"/>
      <c r="V137" s="94" t="n"/>
      <c r="W137" s="94" t="n"/>
      <c r="X137" s="94" t="n"/>
      <c r="Y137" s="94" t="n"/>
      <c r="Z137" s="94" t="n"/>
    </row>
    <row r="138" ht="15.75" customHeight="1" s="90">
      <c r="A138" s="103" t="inlineStr">
        <is>
          <t>True Net Health</t>
        </is>
      </c>
      <c r="B138" s="178" t="n"/>
      <c r="C138" s="178" t="n"/>
      <c r="D138" s="207">
        <f>IF(D137&gt;=0.15,"✓ STRONG",IF(D137&gt;=0.07,"→ ON TARGET",IF(D137&gt;=0,"⚠ THIN","✗ LOSING MONEY")))</f>
        <v/>
      </c>
      <c r="E138" s="178" t="n"/>
      <c r="F138" s="178" t="n"/>
      <c r="G138" s="178" t="n"/>
      <c r="H138" s="178" t="n"/>
      <c r="I138" s="178" t="n"/>
      <c r="J138" s="94" t="n"/>
      <c r="K138" s="94" t="n"/>
      <c r="L138" s="94" t="n"/>
      <c r="M138" s="94" t="n"/>
      <c r="N138" s="94" t="n"/>
      <c r="O138" s="94" t="n"/>
      <c r="P138" s="94" t="n"/>
      <c r="Q138" s="94" t="n"/>
      <c r="R138" s="94" t="n"/>
      <c r="S138" s="94" t="n"/>
      <c r="T138" s="94" t="n"/>
      <c r="U138" s="94" t="n"/>
      <c r="V138" s="94" t="n"/>
      <c r="W138" s="94" t="n"/>
      <c r="X138" s="94" t="n"/>
      <c r="Y138" s="94" t="n"/>
      <c r="Z138" s="94" t="n"/>
    </row>
    <row r="139" ht="15.75" customHeight="1" s="90">
      <c r="A139" s="94" t="n"/>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c r="U139" s="94" t="n"/>
      <c r="V139" s="94" t="n"/>
      <c r="W139" s="94" t="n"/>
      <c r="X139" s="94" t="n"/>
      <c r="Y139" s="94" t="n"/>
      <c r="Z139" s="94" t="n"/>
    </row>
    <row r="140" ht="15.75" customHeight="1" s="90">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94" t="n"/>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94" t="n"/>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94" t="n"/>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94" t="n"/>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94" t="n"/>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94" t="n"/>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94" t="n"/>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94" t="n"/>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94" t="n"/>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94" t="n"/>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94" t="n"/>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94" t="n"/>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94" t="n"/>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94" t="n"/>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94" t="n"/>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94" t="n"/>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94" t="n"/>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94" t="n"/>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94" t="n"/>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94" t="n"/>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94" t="n"/>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94" t="n"/>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94" t="n"/>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94" t="n"/>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94" t="n"/>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94" t="n"/>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94" t="n"/>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94" t="n"/>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94" t="n"/>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94" t="n"/>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94" t="n"/>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94" t="n"/>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94" t="n"/>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94" t="n"/>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94" t="n"/>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94" t="n"/>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94" t="n"/>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94" t="n"/>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94" t="n"/>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94" t="n"/>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94" t="n"/>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94" t="n"/>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94" t="n"/>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94" t="n"/>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94" t="n"/>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94" t="n"/>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94" t="n"/>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94" t="n"/>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94" t="n"/>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94" t="n"/>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94" t="n"/>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94" t="n"/>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94" t="n"/>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94" t="n"/>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94" t="n"/>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94" t="n"/>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94" t="n"/>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94" t="n"/>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94" t="n"/>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94" t="n"/>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94" t="n"/>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94" t="n"/>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94" t="n"/>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94" t="n"/>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94" t="n"/>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94" t="n"/>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94" t="n"/>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94" t="n"/>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94" t="n"/>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94" t="n"/>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94" t="n"/>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94" t="n"/>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94" t="n"/>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94" t="n"/>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94" t="n"/>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94" t="n"/>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94" t="n"/>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94" t="n"/>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94" t="n"/>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94" t="n"/>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94" t="n"/>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94" t="n"/>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94" t="n"/>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94" t="n"/>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94" t="n"/>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94" t="n"/>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94" t="n"/>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94" t="n"/>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94" t="n"/>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94" t="n"/>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94" t="n"/>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94" t="n"/>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94" t="n"/>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94" t="n"/>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94" t="n"/>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94" t="n"/>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94" t="n"/>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94" t="n"/>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94" t="n"/>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94" t="n"/>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94" t="n"/>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94" t="n"/>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94" t="n"/>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94" t="n"/>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94" t="n"/>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94" t="n"/>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94" t="n"/>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94" t="n"/>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94" t="n"/>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94" t="n"/>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94" t="n"/>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94" t="n"/>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94" t="n"/>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94" t="n"/>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94" t="n"/>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94" t="n"/>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94" t="n"/>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94" t="n"/>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94" t="n"/>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94" t="n"/>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94" t="n"/>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94" t="n"/>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94" t="n"/>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94" t="n"/>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94" t="n"/>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94" t="n"/>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94" t="n"/>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94" t="n"/>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94" t="n"/>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94" t="n"/>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94" t="n"/>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94" t="n"/>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94" t="n"/>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94" t="n"/>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94" t="n"/>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94" t="n"/>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94" t="n"/>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94" t="n"/>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94" t="n"/>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94" t="n"/>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94" t="n"/>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94" t="n"/>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94" t="n"/>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94" t="n"/>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94" t="n"/>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94" t="n"/>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94" t="n"/>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94" t="n"/>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94" t="n"/>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94" t="n"/>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94" t="n"/>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94" t="n"/>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94" t="n"/>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94" t="n"/>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94" t="n"/>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94" t="n"/>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94" t="n"/>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94" t="n"/>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94" t="n"/>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94" t="n"/>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94" t="n"/>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94" t="n"/>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94" t="n"/>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94" t="n"/>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94" t="n"/>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94" t="n"/>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94" t="n"/>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94" t="n"/>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94" t="n"/>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94" t="n"/>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94" t="n"/>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94" t="n"/>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94" t="n"/>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94" t="n"/>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94" t="n"/>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94" t="n"/>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94" t="n"/>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94" t="n"/>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94" t="n"/>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94" t="n"/>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94" t="n"/>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94" t="n"/>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94" t="n"/>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94" t="n"/>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94" t="n"/>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94" t="n"/>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94" t="n"/>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94" t="n"/>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94" t="n"/>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94" t="n"/>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94" t="n"/>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94" t="n"/>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94" t="n"/>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94" t="n"/>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94" t="n"/>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94" t="n"/>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94" t="n"/>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94" t="n"/>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94" t="n"/>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94" t="n"/>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94" t="n"/>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94" t="n"/>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94" t="n"/>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94" t="n"/>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94" t="n"/>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94" t="n"/>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94" t="n"/>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94" t="n"/>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94" t="n"/>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94" t="n"/>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94" t="n"/>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94" t="n"/>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94" t="n"/>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94" t="n"/>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94" t="n"/>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94" t="n"/>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94" t="n"/>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94" t="n"/>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94" t="n"/>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94" t="n"/>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94" t="n"/>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94" t="n"/>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94" t="n"/>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94" t="n"/>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94" t="n"/>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94" t="n"/>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94" t="n"/>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94" t="n"/>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94" t="n"/>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94" t="n"/>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94" t="n"/>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94" t="n"/>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94" t="n"/>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94" t="n"/>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94" t="n"/>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94" t="n"/>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94" t="n"/>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94" t="n"/>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94" t="n"/>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94" t="n"/>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94" t="n"/>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94" t="n"/>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94" t="n"/>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94" t="n"/>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94" t="n"/>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94" t="n"/>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94" t="n"/>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94" t="n"/>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94" t="n"/>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94" t="n"/>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94" t="n"/>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94" t="n"/>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94" t="n"/>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94" t="n"/>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94" t="n"/>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94" t="n"/>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94" t="n"/>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94" t="n"/>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94" t="n"/>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94" t="n"/>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94" t="n"/>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94" t="n"/>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94" t="n"/>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94" t="n"/>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94" t="n"/>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94" t="n"/>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94" t="n"/>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94" t="n"/>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94" t="n"/>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94" t="n"/>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94" t="n"/>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94" t="n"/>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94" t="n"/>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94" t="n"/>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94" t="n"/>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94" t="n"/>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94" t="n"/>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94" t="n"/>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94" t="n"/>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94" t="n"/>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94" t="n"/>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94" t="n"/>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94" t="n"/>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94" t="n"/>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94" t="n"/>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94" t="n"/>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94" t="n"/>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94" t="n"/>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94" t="n"/>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94" t="n"/>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94" t="n"/>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94" t="n"/>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94" t="n"/>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94" t="n"/>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94" t="n"/>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94" t="n"/>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94" t="n"/>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94" t="n"/>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94" t="n"/>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94" t="n"/>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94" t="n"/>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94" t="n"/>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94" t="n"/>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94" t="n"/>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94" t="n"/>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94" t="n"/>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94" t="n"/>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94" t="n"/>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94" t="n"/>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94" t="n"/>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94" t="n"/>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94" t="n"/>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94" t="n"/>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94" t="n"/>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94" t="n"/>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94" t="n"/>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94" t="n"/>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94" t="n"/>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94" t="n"/>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94" t="n"/>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94" t="n"/>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94" t="n"/>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94" t="n"/>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94" t="n"/>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94" t="n"/>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94" t="n"/>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94" t="n"/>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94" t="n"/>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94" t="n"/>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94" t="n"/>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94" t="n"/>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94" t="n"/>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94" t="n"/>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94" t="n"/>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94" t="n"/>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94" t="n"/>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94" t="n"/>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94" t="n"/>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94" t="n"/>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94" t="n"/>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94" t="n"/>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94" t="n"/>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94" t="n"/>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94" t="n"/>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94" t="n"/>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94" t="n"/>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94" t="n"/>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94" t="n"/>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94" t="n"/>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94" t="n"/>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94" t="n"/>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94" t="n"/>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94" t="n"/>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94" t="n"/>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94" t="n"/>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94" t="n"/>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94" t="n"/>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94" t="n"/>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94" t="n"/>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94" t="n"/>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94" t="n"/>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94" t="n"/>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94" t="n"/>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94" t="n"/>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94" t="n"/>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94" t="n"/>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94" t="n"/>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94" t="n"/>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94" t="n"/>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94" t="n"/>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94" t="n"/>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94" t="n"/>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94" t="n"/>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94" t="n"/>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94" t="n"/>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94" t="n"/>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94" t="n"/>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94" t="n"/>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94" t="n"/>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94" t="n"/>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94" t="n"/>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94" t="n"/>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94" t="n"/>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94" t="n"/>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94" t="n"/>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94" t="n"/>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94" t="n"/>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94" t="n"/>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94" t="n"/>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94" t="n"/>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94" t="n"/>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94" t="n"/>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94" t="n"/>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94" t="n"/>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94" t="n"/>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94" t="n"/>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94" t="n"/>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94" t="n"/>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94" t="n"/>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94" t="n"/>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94" t="n"/>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94" t="n"/>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94" t="n"/>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94" t="n"/>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94" t="n"/>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94" t="n"/>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94" t="n"/>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94" t="n"/>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94" t="n"/>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94" t="n"/>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94" t="n"/>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94" t="n"/>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94" t="n"/>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94" t="n"/>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94" t="n"/>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94" t="n"/>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94" t="n"/>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94" t="n"/>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94" t="n"/>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94" t="n"/>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94" t="n"/>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94" t="n"/>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94" t="n"/>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94" t="n"/>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94" t="n"/>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94" t="n"/>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94" t="n"/>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94" t="n"/>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94" t="n"/>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94" t="n"/>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94" t="n"/>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94" t="n"/>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94" t="n"/>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94" t="n"/>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94" t="n"/>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94" t="n"/>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94" t="n"/>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94" t="n"/>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94" t="n"/>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94" t="n"/>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94" t="n"/>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94" t="n"/>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94" t="n"/>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94" t="n"/>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94" t="n"/>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94" t="n"/>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94" t="n"/>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94" t="n"/>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94" t="n"/>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94" t="n"/>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94" t="n"/>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94" t="n"/>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94" t="n"/>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94" t="n"/>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94" t="n"/>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94" t="n"/>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94" t="n"/>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94" t="n"/>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94" t="n"/>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94" t="n"/>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94" t="n"/>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94" t="n"/>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94" t="n"/>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94" t="n"/>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94" t="n"/>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94" t="n"/>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94" t="n"/>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94" t="n"/>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94" t="n"/>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94" t="n"/>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94" t="n"/>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94" t="n"/>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94" t="n"/>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94" t="n"/>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94" t="n"/>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94" t="n"/>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94" t="n"/>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94" t="n"/>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94" t="n"/>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94" t="n"/>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94" t="n"/>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94" t="n"/>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94" t="n"/>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94" t="n"/>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94" t="n"/>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94" t="n"/>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94" t="n"/>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94" t="n"/>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94" t="n"/>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94" t="n"/>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94" t="n"/>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94" t="n"/>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94" t="n"/>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94" t="n"/>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94" t="n"/>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94" t="n"/>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94" t="n"/>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94" t="n"/>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94" t="n"/>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94" t="n"/>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94" t="n"/>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94" t="n"/>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94" t="n"/>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94" t="n"/>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94" t="n"/>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94" t="n"/>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94" t="n"/>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94" t="n"/>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94" t="n"/>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94" t="n"/>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94" t="n"/>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94" t="n"/>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94" t="n"/>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94" t="n"/>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94" t="n"/>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94" t="n"/>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94" t="n"/>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94" t="n"/>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94" t="n"/>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94" t="n"/>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94" t="n"/>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94" t="n"/>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94" t="n"/>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94" t="n"/>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94" t="n"/>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94" t="n"/>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94" t="n"/>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94" t="n"/>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94" t="n"/>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94" t="n"/>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94" t="n"/>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94" t="n"/>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94" t="n"/>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94" t="n"/>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94" t="n"/>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94" t="n"/>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94" t="n"/>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94" t="n"/>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94" t="n"/>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94" t="n"/>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94" t="n"/>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94" t="n"/>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94" t="n"/>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94" t="n"/>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94" t="n"/>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94" t="n"/>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94" t="n"/>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94" t="n"/>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94" t="n"/>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94" t="n"/>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94" t="n"/>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94" t="n"/>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94" t="n"/>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94" t="n"/>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94" t="n"/>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94" t="n"/>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94" t="n"/>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94" t="n"/>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94" t="n"/>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94" t="n"/>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94" t="n"/>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94" t="n"/>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94" t="n"/>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94" t="n"/>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94" t="n"/>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94" t="n"/>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94" t="n"/>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94" t="n"/>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94" t="n"/>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94" t="n"/>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94" t="n"/>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94" t="n"/>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94" t="n"/>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94" t="n"/>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94" t="n"/>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94" t="n"/>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94" t="n"/>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94" t="n"/>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94" t="n"/>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94" t="n"/>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94" t="n"/>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94" t="n"/>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94" t="n"/>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94" t="n"/>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94" t="n"/>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94" t="n"/>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94" t="n"/>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94" t="n"/>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94" t="n"/>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94" t="n"/>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94" t="n"/>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94" t="n"/>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94" t="n"/>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94" t="n"/>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94" t="n"/>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94" t="n"/>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94" t="n"/>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94" t="n"/>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94" t="n"/>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94" t="n"/>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94" t="n"/>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94" t="n"/>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94" t="n"/>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94" t="n"/>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94" t="n"/>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94" t="n"/>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94" t="n"/>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94" t="n"/>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94" t="n"/>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94" t="n"/>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94" t="n"/>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94" t="n"/>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94" t="n"/>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94" t="n"/>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94" t="n"/>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94" t="n"/>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94" t="n"/>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94" t="n"/>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94" t="n"/>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94" t="n"/>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94" t="n"/>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94" t="n"/>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94" t="n"/>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94" t="n"/>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94" t="n"/>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94" t="n"/>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94" t="n"/>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94" t="n"/>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94" t="n"/>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94" t="n"/>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94" t="n"/>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94" t="n"/>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94" t="n"/>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94" t="n"/>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94" t="n"/>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94" t="n"/>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94" t="n"/>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94" t="n"/>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94" t="n"/>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94" t="n"/>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94" t="n"/>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94" t="n"/>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94" t="n"/>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94" t="n"/>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94" t="n"/>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94" t="n"/>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94" t="n"/>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94" t="n"/>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94" t="n"/>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94" t="n"/>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94" t="n"/>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94" t="n"/>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94" t="n"/>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94" t="n"/>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94" t="n"/>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94" t="n"/>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94" t="n"/>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94" t="n"/>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94" t="n"/>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94" t="n"/>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94" t="n"/>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94" t="n"/>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94" t="n"/>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94" t="n"/>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94" t="n"/>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94" t="n"/>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94" t="n"/>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94" t="n"/>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94" t="n"/>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94" t="n"/>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94" t="n"/>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94" t="n"/>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94" t="n"/>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94" t="n"/>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94" t="n"/>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94" t="n"/>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94" t="n"/>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94" t="n"/>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94" t="n"/>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94" t="n"/>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94" t="n"/>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94" t="n"/>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94" t="n"/>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94" t="n"/>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94" t="n"/>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94" t="n"/>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94" t="n"/>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94" t="n"/>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94" t="n"/>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94" t="n"/>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94" t="n"/>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94" t="n"/>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94" t="n"/>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94" t="n"/>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94" t="n"/>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94" t="n"/>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94" t="n"/>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94" t="n"/>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94" t="n"/>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94" t="n"/>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94" t="n"/>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94" t="n"/>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94" t="n"/>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94" t="n"/>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94" t="n"/>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94" t="n"/>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94" t="n"/>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94" t="n"/>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94" t="n"/>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94" t="n"/>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94" t="n"/>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94" t="n"/>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94" t="n"/>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94" t="n"/>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94" t="n"/>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94" t="n"/>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94" t="n"/>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94" t="n"/>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94" t="n"/>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94" t="n"/>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94" t="n"/>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94" t="n"/>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94" t="n"/>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94" t="n"/>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94" t="n"/>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94" t="n"/>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94" t="n"/>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94" t="n"/>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94" t="n"/>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94" t="n"/>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94" t="n"/>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94" t="n"/>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94" t="n"/>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94" t="n"/>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94" t="n"/>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94" t="n"/>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94" t="n"/>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94" t="n"/>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94" t="n"/>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94" t="n"/>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94" t="n"/>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94" t="n"/>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94" t="n"/>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94" t="n"/>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94" t="n"/>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94" t="n"/>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94" t="n"/>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94" t="n"/>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94" t="n"/>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94" t="n"/>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94" t="n"/>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94" t="n"/>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94" t="n"/>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94" t="n"/>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94" t="n"/>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94" t="n"/>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94" t="n"/>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94" t="n"/>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94" t="n"/>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94" t="n"/>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94" t="n"/>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94" t="n"/>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94" t="n"/>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94" t="n"/>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94" t="n"/>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94" t="n"/>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94" t="n"/>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94" t="n"/>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94" t="n"/>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94" t="n"/>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94" t="n"/>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94" t="n"/>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94" t="n"/>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94" t="n"/>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94" t="n"/>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94" t="n"/>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94" t="n"/>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94" t="n"/>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94" t="n"/>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94" t="n"/>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94" t="n"/>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94" t="n"/>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94" t="n"/>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94" t="n"/>
      <c r="B975" s="94" t="n"/>
      <c r="C975" s="94" t="n"/>
      <c r="D975" s="94" t="n"/>
      <c r="E975" s="94" t="n"/>
      <c r="F975" s="94" t="n"/>
      <c r="G975" s="94" t="n"/>
      <c r="H975" s="94"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94" t="n"/>
      <c r="B976" s="94" t="n"/>
      <c r="C976" s="94" t="n"/>
      <c r="D976" s="94" t="n"/>
      <c r="E976" s="94" t="n"/>
      <c r="F976" s="94" t="n"/>
      <c r="G976" s="94" t="n"/>
      <c r="H976" s="94"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94" t="n"/>
      <c r="B977" s="94" t="n"/>
      <c r="C977" s="94" t="n"/>
      <c r="D977" s="94" t="n"/>
      <c r="E977" s="94" t="n"/>
      <c r="F977" s="94" t="n"/>
      <c r="G977" s="94" t="n"/>
      <c r="H977" s="94"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94" t="n"/>
      <c r="B978" s="94" t="n"/>
      <c r="C978" s="94" t="n"/>
      <c r="D978" s="94" t="n"/>
      <c r="E978" s="94" t="n"/>
      <c r="F978" s="94" t="n"/>
      <c r="G978" s="94" t="n"/>
      <c r="H978" s="94"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94" t="n"/>
      <c r="B979" s="94" t="n"/>
      <c r="C979" s="94" t="n"/>
      <c r="D979" s="94" t="n"/>
      <c r="E979" s="94" t="n"/>
      <c r="F979" s="94" t="n"/>
      <c r="G979" s="94" t="n"/>
      <c r="H979" s="94"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94" t="n"/>
      <c r="B980" s="94" t="n"/>
      <c r="C980" s="94" t="n"/>
      <c r="D980" s="94" t="n"/>
      <c r="E980" s="94" t="n"/>
      <c r="F980" s="94" t="n"/>
      <c r="G980" s="94" t="n"/>
      <c r="H980" s="94"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94" t="n"/>
      <c r="B981" s="94" t="n"/>
      <c r="C981" s="94" t="n"/>
      <c r="D981" s="94" t="n"/>
      <c r="E981" s="94" t="n"/>
      <c r="F981" s="94" t="n"/>
      <c r="G981" s="94" t="n"/>
      <c r="H981" s="94"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94" t="n"/>
      <c r="B982" s="94" t="n"/>
      <c r="C982" s="94" t="n"/>
      <c r="D982" s="94" t="n"/>
      <c r="E982" s="94" t="n"/>
      <c r="F982" s="94" t="n"/>
      <c r="G982" s="94" t="n"/>
      <c r="H982" s="94"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94" t="n"/>
      <c r="B983" s="94" t="n"/>
      <c r="C983" s="94" t="n"/>
      <c r="D983" s="94" t="n"/>
      <c r="E983" s="94" t="n"/>
      <c r="F983" s="94" t="n"/>
      <c r="G983" s="94" t="n"/>
      <c r="H983" s="94"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94" t="n"/>
      <c r="B984" s="94" t="n"/>
      <c r="C984" s="94" t="n"/>
      <c r="D984" s="94" t="n"/>
      <c r="E984" s="94" t="n"/>
      <c r="F984" s="94" t="n"/>
      <c r="G984" s="94" t="n"/>
      <c r="H984" s="94"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94" t="n"/>
      <c r="B985" s="94" t="n"/>
      <c r="C985" s="94" t="n"/>
      <c r="D985" s="94" t="n"/>
      <c r="E985" s="94" t="n"/>
      <c r="F985" s="94" t="n"/>
      <c r="G985" s="94" t="n"/>
      <c r="H985" s="94"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94" t="n"/>
      <c r="B986" s="94" t="n"/>
      <c r="C986" s="94" t="n"/>
      <c r="D986" s="94" t="n"/>
      <c r="E986" s="94" t="n"/>
      <c r="F986" s="94" t="n"/>
      <c r="G986" s="94" t="n"/>
      <c r="H986" s="94"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94" t="n"/>
      <c r="B987" s="94" t="n"/>
      <c r="C987" s="94" t="n"/>
      <c r="D987" s="94" t="n"/>
      <c r="E987" s="94" t="n"/>
      <c r="F987" s="94" t="n"/>
      <c r="G987" s="94" t="n"/>
      <c r="H987" s="94"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94" t="n"/>
      <c r="B988" s="94" t="n"/>
      <c r="C988" s="94" t="n"/>
      <c r="D988" s="94" t="n"/>
      <c r="E988" s="94" t="n"/>
      <c r="F988" s="94" t="n"/>
      <c r="G988" s="94" t="n"/>
      <c r="H988" s="94"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94" t="n"/>
      <c r="B989" s="94" t="n"/>
      <c r="C989" s="94" t="n"/>
      <c r="D989" s="94" t="n"/>
      <c r="E989" s="94" t="n"/>
      <c r="F989" s="94" t="n"/>
      <c r="G989" s="94" t="n"/>
      <c r="H989" s="94"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94" t="n"/>
      <c r="B990" s="94" t="n"/>
      <c r="C990" s="94" t="n"/>
      <c r="D990" s="94" t="n"/>
      <c r="E990" s="94" t="n"/>
      <c r="F990" s="94" t="n"/>
      <c r="G990" s="94" t="n"/>
      <c r="H990" s="94"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94" t="n"/>
      <c r="B991" s="94" t="n"/>
      <c r="C991" s="94" t="n"/>
      <c r="D991" s="94" t="n"/>
      <c r="E991" s="94" t="n"/>
      <c r="F991" s="94" t="n"/>
      <c r="G991" s="94" t="n"/>
      <c r="H991" s="94"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94" t="n"/>
      <c r="B992" s="94" t="n"/>
      <c r="C992" s="94" t="n"/>
      <c r="D992" s="94" t="n"/>
      <c r="E992" s="94" t="n"/>
      <c r="F992" s="94" t="n"/>
      <c r="G992" s="94" t="n"/>
      <c r="H992" s="94"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94" t="n"/>
      <c r="B993" s="94" t="n"/>
      <c r="C993" s="94" t="n"/>
      <c r="D993" s="94" t="n"/>
      <c r="E993" s="94" t="n"/>
      <c r="F993" s="94" t="n"/>
      <c r="G993" s="94" t="n"/>
      <c r="H993" s="94"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94" t="n"/>
      <c r="B994" s="94" t="n"/>
      <c r="C994" s="94" t="n"/>
      <c r="D994" s="94" t="n"/>
      <c r="E994" s="94" t="n"/>
      <c r="F994" s="94" t="n"/>
      <c r="G994" s="94" t="n"/>
      <c r="H994" s="94"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94" t="n"/>
      <c r="B995" s="94" t="n"/>
      <c r="C995" s="94" t="n"/>
      <c r="D995" s="94" t="n"/>
      <c r="E995" s="94" t="n"/>
      <c r="F995" s="94" t="n"/>
      <c r="G995" s="94" t="n"/>
      <c r="H995" s="94"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94" t="n"/>
      <c r="B996" s="94" t="n"/>
      <c r="C996" s="94" t="n"/>
      <c r="D996" s="94" t="n"/>
      <c r="E996" s="94" t="n"/>
      <c r="F996" s="94" t="n"/>
      <c r="G996" s="94" t="n"/>
      <c r="H996" s="94"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94" t="n"/>
      <c r="B997" s="94" t="n"/>
      <c r="C997" s="94" t="n"/>
      <c r="D997" s="94" t="n"/>
      <c r="E997" s="94" t="n"/>
      <c r="F997" s="94" t="n"/>
      <c r="G997" s="94" t="n"/>
      <c r="H997" s="94"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94" t="n"/>
      <c r="B998" s="94" t="n"/>
      <c r="C998" s="94" t="n"/>
      <c r="D998" s="94" t="n"/>
      <c r="E998" s="94" t="n"/>
      <c r="F998" s="94" t="n"/>
      <c r="G998" s="94" t="n"/>
      <c r="H998" s="94"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94" t="n"/>
      <c r="B999" s="94" t="n"/>
      <c r="C999" s="94" t="n"/>
      <c r="D999" s="94" t="n"/>
      <c r="E999" s="94" t="n"/>
      <c r="F999" s="94" t="n"/>
      <c r="G999" s="94" t="n"/>
      <c r="H999" s="94"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94" t="n"/>
      <c r="B1000" s="94" t="n"/>
      <c r="C1000" s="94" t="n"/>
      <c r="D1000" s="94" t="n"/>
      <c r="E1000" s="94" t="n"/>
      <c r="F1000" s="94" t="n"/>
      <c r="G1000" s="94" t="n"/>
      <c r="H1000" s="94"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94" t="n"/>
      <c r="B1001" s="94" t="n"/>
      <c r="C1001" s="94" t="n"/>
      <c r="D1001" s="94" t="n"/>
      <c r="E1001" s="94" t="n"/>
      <c r="F1001" s="94" t="n"/>
      <c r="G1001" s="94" t="n"/>
      <c r="H1001" s="94"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94" t="n"/>
      <c r="B1002" s="94" t="n"/>
      <c r="C1002" s="94" t="n"/>
      <c r="D1002" s="94" t="n"/>
      <c r="E1002" s="94" t="n"/>
      <c r="F1002" s="94" t="n"/>
      <c r="G1002" s="94" t="n"/>
      <c r="H1002" s="94"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94" t="n"/>
      <c r="B1003" s="94" t="n"/>
      <c r="C1003" s="94" t="n"/>
      <c r="D1003" s="94" t="n"/>
      <c r="E1003" s="94" t="n"/>
      <c r="F1003" s="94" t="n"/>
      <c r="G1003" s="94" t="n"/>
      <c r="H1003" s="94"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94" t="n"/>
      <c r="B1004" s="94" t="n"/>
      <c r="C1004" s="94" t="n"/>
      <c r="D1004" s="94" t="n"/>
      <c r="E1004" s="94" t="n"/>
      <c r="F1004" s="94" t="n"/>
      <c r="G1004" s="94" t="n"/>
      <c r="H1004" s="94"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94" t="n"/>
      <c r="B1005" s="94" t="n"/>
      <c r="C1005" s="94" t="n"/>
      <c r="D1005" s="94" t="n"/>
      <c r="E1005" s="94" t="n"/>
      <c r="F1005" s="94" t="n"/>
      <c r="G1005" s="94" t="n"/>
      <c r="H1005" s="94"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94" t="n"/>
      <c r="B1006" s="94" t="n"/>
      <c r="C1006" s="94" t="n"/>
      <c r="D1006" s="94" t="n"/>
      <c r="E1006" s="94" t="n"/>
      <c r="F1006" s="94" t="n"/>
      <c r="G1006" s="94" t="n"/>
      <c r="H1006" s="94"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94" t="n"/>
      <c r="B1007" s="94" t="n"/>
      <c r="C1007" s="94" t="n"/>
      <c r="D1007" s="94" t="n"/>
      <c r="E1007" s="94" t="n"/>
      <c r="F1007" s="94" t="n"/>
      <c r="G1007" s="94" t="n"/>
      <c r="H1007" s="94"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94" t="n"/>
      <c r="B1008" s="94" t="n"/>
      <c r="C1008" s="94" t="n"/>
      <c r="D1008" s="94" t="n"/>
      <c r="E1008" s="94" t="n"/>
      <c r="F1008" s="94" t="n"/>
      <c r="G1008" s="94" t="n"/>
      <c r="H1008" s="94"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94" t="n"/>
      <c r="B1009" s="94" t="n"/>
      <c r="C1009" s="94" t="n"/>
      <c r="D1009" s="94" t="n"/>
      <c r="E1009" s="94" t="n"/>
      <c r="F1009" s="94" t="n"/>
      <c r="G1009" s="94" t="n"/>
      <c r="H1009" s="94"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94" t="n"/>
      <c r="B1010" s="94" t="n"/>
      <c r="C1010" s="94" t="n"/>
      <c r="D1010" s="94" t="n"/>
      <c r="E1010" s="94" t="n"/>
      <c r="F1010" s="94" t="n"/>
      <c r="G1010" s="94" t="n"/>
      <c r="H1010" s="94"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94" t="n"/>
      <c r="B1011" s="94" t="n"/>
      <c r="C1011" s="94" t="n"/>
      <c r="D1011" s="94" t="n"/>
      <c r="E1011" s="94" t="n"/>
      <c r="F1011" s="94" t="n"/>
      <c r="G1011" s="94" t="n"/>
      <c r="H1011" s="94"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94" t="n"/>
      <c r="B1012" s="94" t="n"/>
      <c r="C1012" s="94" t="n"/>
      <c r="D1012" s="94" t="n"/>
      <c r="E1012" s="94" t="n"/>
      <c r="F1012" s="94" t="n"/>
      <c r="G1012" s="94" t="n"/>
      <c r="H1012" s="94"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94" t="n"/>
      <c r="B1013" s="94" t="n"/>
      <c r="C1013" s="94" t="n"/>
      <c r="D1013" s="94" t="n"/>
      <c r="E1013" s="94" t="n"/>
      <c r="F1013" s="94" t="n"/>
      <c r="G1013" s="94" t="n"/>
      <c r="H1013" s="94"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94" t="n"/>
      <c r="B1014" s="94" t="n"/>
      <c r="C1014" s="94" t="n"/>
      <c r="D1014" s="94" t="n"/>
      <c r="E1014" s="94" t="n"/>
      <c r="F1014" s="94" t="n"/>
      <c r="G1014" s="94" t="n"/>
      <c r="H1014" s="94"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94" t="n"/>
      <c r="B1015" s="94" t="n"/>
      <c r="C1015" s="94" t="n"/>
      <c r="D1015" s="94" t="n"/>
      <c r="E1015" s="94" t="n"/>
      <c r="F1015" s="94" t="n"/>
      <c r="G1015" s="94" t="n"/>
      <c r="H1015" s="94"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row r="1016">
      <c r="A1016" s="94" t="n"/>
      <c r="B1016" s="94" t="n"/>
      <c r="C1016" s="94" t="n"/>
      <c r="D1016" s="94" t="n"/>
      <c r="E1016" s="94" t="n"/>
      <c r="F1016" s="94" t="n"/>
      <c r="G1016" s="94" t="n"/>
      <c r="H1016" s="94" t="n"/>
      <c r="I1016" s="94" t="n"/>
      <c r="J1016" s="94" t="n"/>
      <c r="K1016" s="94" t="n"/>
      <c r="L1016" s="94" t="n"/>
      <c r="M1016" s="94" t="n"/>
      <c r="N1016" s="94" t="n"/>
      <c r="O1016" s="94" t="n"/>
      <c r="P1016" s="94" t="n"/>
      <c r="Q1016" s="94" t="n"/>
      <c r="R1016" s="94" t="n"/>
      <c r="S1016" s="94" t="n"/>
      <c r="T1016" s="94" t="n"/>
      <c r="U1016" s="94" t="n"/>
      <c r="V1016" s="94" t="n"/>
      <c r="W1016" s="94" t="n"/>
      <c r="X1016" s="94" t="n"/>
      <c r="Y1016" s="94" t="n"/>
      <c r="Z1016" s="94" t="n"/>
    </row>
    <row r="1017">
      <c r="A1017" s="94" t="n"/>
      <c r="B1017" s="94" t="n"/>
      <c r="C1017" s="94" t="n"/>
      <c r="D1017" s="94" t="n"/>
      <c r="E1017" s="94" t="n"/>
      <c r="F1017" s="94" t="n"/>
      <c r="G1017" s="94" t="n"/>
      <c r="H1017" s="94" t="n"/>
      <c r="I1017" s="94" t="n"/>
      <c r="J1017" s="94" t="n"/>
      <c r="K1017" s="94" t="n"/>
      <c r="L1017" s="94" t="n"/>
      <c r="M1017" s="94" t="n"/>
      <c r="N1017" s="94" t="n"/>
      <c r="O1017" s="94" t="n"/>
      <c r="P1017" s="94" t="n"/>
      <c r="Q1017" s="94" t="n"/>
      <c r="R1017" s="94" t="n"/>
      <c r="S1017" s="94" t="n"/>
      <c r="T1017" s="94" t="n"/>
      <c r="U1017" s="94" t="n"/>
      <c r="V1017" s="94" t="n"/>
      <c r="W1017" s="94" t="n"/>
      <c r="X1017" s="94" t="n"/>
      <c r="Y1017" s="94" t="n"/>
      <c r="Z1017" s="94" t="n"/>
    </row>
    <row r="1018">
      <c r="A1018" s="94" t="n"/>
      <c r="B1018" s="94" t="n"/>
      <c r="C1018" s="94" t="n"/>
      <c r="D1018" s="94" t="n"/>
      <c r="E1018" s="94" t="n"/>
      <c r="F1018" s="94" t="n"/>
      <c r="G1018" s="94" t="n"/>
      <c r="H1018" s="94" t="n"/>
      <c r="I1018" s="94" t="n"/>
      <c r="J1018" s="94" t="n"/>
      <c r="K1018" s="94" t="n"/>
      <c r="L1018" s="94" t="n"/>
      <c r="M1018" s="94" t="n"/>
      <c r="N1018" s="94" t="n"/>
      <c r="O1018" s="94" t="n"/>
      <c r="P1018" s="94" t="n"/>
      <c r="Q1018" s="94" t="n"/>
      <c r="R1018" s="94" t="n"/>
      <c r="S1018" s="94" t="n"/>
      <c r="T1018" s="94" t="n"/>
      <c r="U1018" s="94" t="n"/>
      <c r="V1018" s="94" t="n"/>
      <c r="W1018" s="94" t="n"/>
      <c r="X1018" s="94" t="n"/>
      <c r="Y1018" s="94" t="n"/>
      <c r="Z1018" s="94" t="n"/>
    </row>
    <row r="1019">
      <c r="A1019" s="94" t="n"/>
      <c r="B1019" s="94" t="n"/>
      <c r="C1019" s="94" t="n"/>
      <c r="D1019" s="94" t="n"/>
      <c r="E1019" s="94" t="n"/>
      <c r="F1019" s="94" t="n"/>
      <c r="G1019" s="94" t="n"/>
      <c r="H1019" s="94" t="n"/>
      <c r="I1019" s="94" t="n"/>
      <c r="J1019" s="94" t="n"/>
      <c r="K1019" s="94" t="n"/>
      <c r="L1019" s="94" t="n"/>
      <c r="M1019" s="94" t="n"/>
      <c r="N1019" s="94" t="n"/>
      <c r="O1019" s="94" t="n"/>
      <c r="P1019" s="94" t="n"/>
      <c r="Q1019" s="94" t="n"/>
      <c r="R1019" s="94" t="n"/>
      <c r="S1019" s="94" t="n"/>
      <c r="T1019" s="94" t="n"/>
      <c r="U1019" s="94" t="n"/>
      <c r="V1019" s="94" t="n"/>
      <c r="W1019" s="94" t="n"/>
      <c r="X1019" s="94" t="n"/>
      <c r="Y1019" s="94" t="n"/>
      <c r="Z1019" s="94" t="n"/>
    </row>
    <row r="1020">
      <c r="A1020" s="94" t="n"/>
      <c r="B1020" s="94" t="n"/>
      <c r="C1020" s="94" t="n"/>
      <c r="D1020" s="94" t="n"/>
      <c r="E1020" s="94" t="n"/>
      <c r="F1020" s="94" t="n"/>
      <c r="G1020" s="94" t="n"/>
      <c r="H1020" s="94" t="n"/>
      <c r="I1020" s="94" t="n"/>
      <c r="J1020" s="94" t="n"/>
      <c r="K1020" s="94" t="n"/>
      <c r="L1020" s="94" t="n"/>
      <c r="M1020" s="94" t="n"/>
      <c r="N1020" s="94" t="n"/>
      <c r="O1020" s="94" t="n"/>
      <c r="P1020" s="94" t="n"/>
      <c r="Q1020" s="94" t="n"/>
      <c r="R1020" s="94" t="n"/>
      <c r="S1020" s="94" t="n"/>
      <c r="T1020" s="94" t="n"/>
      <c r="U1020" s="94" t="n"/>
      <c r="V1020" s="94" t="n"/>
      <c r="W1020" s="94" t="n"/>
      <c r="X1020" s="94" t="n"/>
      <c r="Y1020" s="94" t="n"/>
      <c r="Z1020" s="94" t="n"/>
    </row>
    <row r="1021">
      <c r="A1021" s="94" t="n"/>
      <c r="B1021" s="94" t="n"/>
      <c r="C1021" s="94" t="n"/>
      <c r="D1021" s="94" t="n"/>
      <c r="E1021" s="94" t="n"/>
      <c r="F1021" s="94" t="n"/>
      <c r="G1021" s="94" t="n"/>
      <c r="H1021" s="94" t="n"/>
      <c r="I1021" s="94" t="n"/>
      <c r="J1021" s="94" t="n"/>
      <c r="K1021" s="94" t="n"/>
      <c r="L1021" s="94" t="n"/>
      <c r="M1021" s="94" t="n"/>
      <c r="N1021" s="94" t="n"/>
      <c r="O1021" s="94" t="n"/>
      <c r="P1021" s="94" t="n"/>
      <c r="Q1021" s="94" t="n"/>
      <c r="R1021" s="94" t="n"/>
      <c r="S1021" s="94" t="n"/>
      <c r="T1021" s="94" t="n"/>
      <c r="U1021" s="94" t="n"/>
      <c r="V1021" s="94" t="n"/>
      <c r="W1021" s="94" t="n"/>
      <c r="X1021" s="94" t="n"/>
      <c r="Y1021" s="94" t="n"/>
      <c r="Z1021" s="94" t="n"/>
    </row>
  </sheetData>
  <mergeCells count="14">
    <mergeCell ref="A4:H4"/>
    <mergeCell ref="B6:C6"/>
    <mergeCell ref="J4:K4"/>
    <mergeCell ref="M7:N7"/>
    <mergeCell ref="B7:C7"/>
    <mergeCell ref="J5:K5"/>
    <mergeCell ref="B5:C5"/>
    <mergeCell ref="A2:H2"/>
    <mergeCell ref="J7:K7"/>
    <mergeCell ref="M5:N5"/>
    <mergeCell ref="A1:H1"/>
    <mergeCell ref="B9:C9"/>
    <mergeCell ref="B8:C8"/>
    <mergeCell ref="M4:N4"/>
  </mergeCells>
  <dataValidations count="6">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CategoryList</formula1>
    </dataValidation>
    <dataValidation sqref="B113 C113 D113" showDropDown="0" showInputMessage="0" showErrorMessage="0" allowBlank="1" type="list">
      <formula1>DestinationList</formula1>
    </dataValidation>
    <dataValidation sqref="B114 C114 D114" showDropDown="0" showInputMessage="0" showErrorMessage="0" allowBlank="1" type="list">
      <formula1>"Drive,Flight"</formula1>
    </dataValidation>
    <dataValidation sqref="B115 C115 D115" showDropDown="0" showInputMessage="0" showErrorMessage="0" allowBlank="1" type="list">
      <formula1>"1,2,3,4,5"</formula1>
    </dataValidation>
    <dataValidation sqref="B116 C116 D116" showDropDown="0" showInputMessage="0" showErrorMessage="0" allowBlank="1" type="list">
      <formula1>"0,1,2,3,4,5"</formula1>
    </dataValidation>
    <dataValidation sqref="B117 C117 D117" showDropDown="0" showInputMessage="0" showErrorMessage="0" allowBlank="1" type="list">
      <formula1>VehicleList</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2026-02-18T18:42:04Z</dcterms:created>
  <dcterms:modified xsi:type="dcterms:W3CDTF">2026-02-21T20:22:26Z</dcterms:modified>
  <cp:revision>0</cp:revision>
</cp:coreProperties>
</file>