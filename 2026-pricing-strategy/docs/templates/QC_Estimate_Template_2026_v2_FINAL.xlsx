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6.xml" ContentType="application/vnd.openxmlformats-officedocument.drawing+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lient Setup - Sample" sheetId="1" state="visible" r:id="rId1"/>
    <sheet name="Client Setup - Blank" sheetId="2" state="visible" r:id="rId2"/>
    <sheet name="Venue Estimate - Sample" sheetId="3" state="visible" r:id="rId3"/>
    <sheet name="Venue Estimate - Blank" sheetId="4" state="visible" r:id="rId4"/>
    <sheet name="Decor Estimate - Sample" sheetId="5" state="visible" r:id="rId5"/>
    <sheet name="Decor Estimate - Blank"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mm/dd/yyyy"/>
    <numFmt numFmtId="165" formatCode="0.0%"/>
    <numFmt numFmtId="166" formatCode="0.0000%"/>
    <numFmt numFmtId="167" formatCode="\$#,##0.00"/>
    <numFmt numFmtId="168" formatCode="\$#,##0"/>
    <numFmt numFmtId="169" formatCode="$#,##0"/>
    <numFmt numFmtId="170" formatCode="$#,##0.00"/>
  </numFmts>
  <fonts count="52">
    <font>
      <name val="Calibri"/>
      <charset val="1"/>
      <family val="0"/>
      <color theme="1"/>
      <sz val="11"/>
    </font>
    <font>
      <name val="Arial"/>
      <family val="0"/>
      <sz val="10"/>
    </font>
    <font>
      <name val="Arial"/>
      <family val="0"/>
      <sz val="10"/>
    </font>
    <font>
      <name val="Arial"/>
      <family val="0"/>
      <sz val="10"/>
    </font>
    <font>
      <name val="Playfair Display"/>
      <charset val="1"/>
      <family val="0"/>
      <color theme="1"/>
      <sz val="11"/>
    </font>
    <font>
      <name val="Playfair Display"/>
      <charset val="1"/>
      <family val="0"/>
      <color rgb="FFA9AEB4"/>
      <sz val="11"/>
    </font>
    <font>
      <name val="Playfair Display"/>
      <charset val="1"/>
      <family val="0"/>
      <b val="1"/>
      <color rgb="FFECDFCE"/>
      <sz val="11"/>
    </font>
    <font>
      <name val="Playfair Display"/>
      <charset val="1"/>
      <family val="0"/>
      <b val="1"/>
      <color rgb="FF464543"/>
      <sz val="10"/>
    </font>
    <font>
      <name val="Playfair Display"/>
      <charset val="1"/>
      <family val="0"/>
      <b val="1"/>
      <color rgb="FF846E60"/>
      <sz val="10"/>
    </font>
    <font>
      <name val="Playfair Display"/>
      <charset val="1"/>
      <family val="0"/>
      <i val="1"/>
      <color rgb="FFA9AEB4"/>
      <sz val="9"/>
    </font>
    <font>
      <name val="Playfair Display"/>
      <charset val="1"/>
      <family val="0"/>
      <color rgb="FF464543"/>
      <sz val="10"/>
    </font>
    <font>
      <name val="Playfair Display"/>
      <charset val="1"/>
      <family val="0"/>
      <b val="1"/>
      <color rgb="FFA9AEB4"/>
      <sz val="8"/>
    </font>
    <font>
      <name val="Playfair Display"/>
      <charset val="1"/>
      <family val="0"/>
      <color rgb="FFA9AEB4"/>
      <sz val="8"/>
    </font>
    <font>
      <name val="Playfair Display"/>
      <charset val="1"/>
      <family val="0"/>
      <color rgb="FFA9AEB4"/>
      <sz val="9"/>
    </font>
    <font>
      <name val="Cambria"/>
      <charset val="1"/>
      <family val="0"/>
      <sz val="11"/>
    </font>
    <font>
      <name val="Playfair Display"/>
      <charset val="1"/>
      <family val="0"/>
      <b val="1"/>
      <color rgb="FFECDFCE"/>
      <sz val="12"/>
    </font>
    <font>
      <name val="Playfair Display"/>
      <charset val="1"/>
      <family val="0"/>
      <b val="1"/>
      <color rgb="FF464543"/>
      <sz val="11"/>
    </font>
    <font>
      <name val="Playfair Display"/>
      <charset val="1"/>
      <family val="0"/>
      <color rgb="FF464543"/>
      <sz val="11"/>
    </font>
    <font>
      <name val="Playfair Display"/>
      <charset val="1"/>
      <family val="0"/>
      <b val="1"/>
      <color rgb="FFA9AEB4"/>
      <sz val="9"/>
    </font>
    <font>
      <name val="Playfair Display"/>
      <charset val="1"/>
      <family val="0"/>
      <b val="1"/>
      <color rgb="FFECDFCE"/>
      <sz val="10"/>
    </font>
    <font>
      <name val="Playfair Display"/>
      <charset val="1"/>
      <family val="0"/>
      <b val="1"/>
      <color rgb="FF856404"/>
      <sz val="10"/>
    </font>
    <font>
      <name val="Playfair Display"/>
      <charset val="1"/>
      <family val="0"/>
      <b val="1"/>
      <color rgb="FF464543"/>
      <sz val="13"/>
    </font>
    <font>
      <name val="Playfair Display"/>
      <charset val="1"/>
      <family val="0"/>
      <color rgb="FFA9AEB4"/>
      <sz val="10"/>
    </font>
    <font>
      <name val="Playfair Display"/>
      <charset val="1"/>
      <family val="0"/>
      <b val="1"/>
      <color rgb="FF846E60"/>
      <sz val="9"/>
    </font>
    <font>
      <name val="Playfair Display"/>
      <charset val="1"/>
      <family val="0"/>
      <b val="1"/>
      <color rgb="FFECDFCE"/>
      <sz val="13"/>
    </font>
    <font>
      <name val="Playfair Display"/>
      <charset val="1"/>
      <family val="0"/>
      <b val="1"/>
      <color rgb="FFC19C81"/>
      <sz val="12"/>
    </font>
    <font>
      <name val="Playfair Display"/>
      <charset val="1"/>
      <family val="0"/>
      <b val="1"/>
      <color rgb="FF464543"/>
      <sz val="12"/>
    </font>
    <font>
      <name val="Playfair Display"/>
      <charset val="1"/>
      <family val="0"/>
      <b val="1"/>
      <sz val="10"/>
    </font>
    <font>
      <name val="Playfair Display"/>
      <charset val="1"/>
      <family val="0"/>
      <b val="1"/>
      <color rgb="FFC19C81"/>
      <sz val="10"/>
    </font>
    <font>
      <name val="Playfair Display"/>
      <charset val="1"/>
      <family val="0"/>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Garamond"/>
      <b val="1"/>
      <color rgb="00846E60"/>
      <sz val="14"/>
    </font>
    <font>
      <name val="Garamond"/>
      <b val="1"/>
      <color rgb="00FFFFFF"/>
      <sz val="12"/>
    </font>
    <font>
      <name val="Calibri"/>
      <b val="1"/>
      <color rgb="00464543"/>
      <sz val="10"/>
    </font>
    <font>
      <name val="Calibri"/>
      <i val="1"/>
      <color rgb="00A9AEB4"/>
      <sz val="9"/>
    </font>
    <font>
      <name val="Calibri"/>
      <color rgb="00464543"/>
      <sz val="10"/>
    </font>
    <font>
      <name val="Garamond"/>
      <b val="1"/>
      <color rgb="00FFFFFF"/>
      <sz val="11"/>
    </font>
    <font>
      <name val="Calibri"/>
      <b val="1"/>
      <color rgb="00464543"/>
      <sz val="11"/>
    </font>
    <font>
      <name val="Calibri"/>
      <b val="1"/>
      <color rgb="00FFFFFF"/>
      <sz val="12"/>
    </font>
    <font>
      <name val="Calibri"/>
      <b val="1"/>
      <color rgb="00FFFFFF"/>
      <sz val="11"/>
    </font>
    <font>
      <b val="1"/>
      <color rgb="00FFFFFF"/>
    </font>
    <font>
      <b val="1"/>
      <color rgb="00FFFFFF"/>
      <sz val="12"/>
    </font>
    <font>
      <b val="1"/>
      <color rgb="00464543"/>
    </font>
    <font>
      <name val="Playfair Display"/>
      <color rgb="00FFFFFF"/>
      <sz val="11"/>
    </font>
  </fonts>
  <fills count="26">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00464543"/>
      </patternFill>
    </fill>
    <fill>
      <patternFill patternType="solid">
        <fgColor rgb="00FAF6F3"/>
      </patternFill>
    </fill>
    <fill>
      <patternFill patternType="solid">
        <fgColor rgb="00ECDFCE"/>
      </patternFill>
    </fill>
    <fill>
      <patternFill patternType="solid">
        <fgColor rgb="00846E60"/>
      </patternFill>
    </fill>
  </fills>
  <borders count="21">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diagonal/>
    </border>
    <border>
      <left/>
      <right style="thin">
        <color rgb="FFECDFCE"/>
      </right>
      <top style="thin">
        <color rgb="FFECDFCE"/>
      </top>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style="thin">
        <color rgb="FFECDFCE"/>
      </top>
      <bottom style="medium">
        <color rgb="FFC19C81"/>
      </bottom>
      <diagonal/>
    </border>
    <border>
      <left/>
      <right style="thin">
        <color rgb="FFECDFCE"/>
      </right>
      <top style="thin">
        <color rgb="FFECDFCE"/>
      </top>
      <bottom style="medium">
        <color rgb="FFC19C81"/>
      </bottom>
      <diagonal/>
    </border>
    <border>
      <bottom style="thin">
        <color rgb="FFD4C5B0"/>
      </bottom>
    </border>
    <border>
      <bottom style="medium">
        <color rgb="00846E60"/>
      </bottom>
    </border>
    <border>
      <left style="hair">
        <color rgb="00A9AEB4"/>
      </left>
      <right style="hair">
        <color rgb="00A9AEB4"/>
      </right>
      <top style="hair">
        <color rgb="00A9AEB4"/>
      </top>
      <bottom style="hair">
        <color rgb="00A9AEB4"/>
      </bottom>
    </border>
    <border>
      <top style="medium">
        <color rgb="00846E60"/>
      </top>
      <bottom style="medium">
        <color rgb="00846E60"/>
      </bottom>
    </border>
    <border>
      <left/>
      <right/>
      <top style="hair">
        <color rgb="00A9AEB4"/>
      </top>
      <bottom/>
      <diagonal/>
    </border>
    <border>
      <left/>
      <right style="hair">
        <color rgb="00A9AEB4"/>
      </right>
      <top style="hair">
        <color rgb="00A9AEB4"/>
      </top>
      <bottom/>
      <diagonal/>
    </border>
    <border>
      <left/>
      <right style="hair">
        <color rgb="00A9AEB4"/>
      </right>
      <top style="hair">
        <color rgb="00A9AEB4"/>
      </top>
      <bottom style="hair">
        <color rgb="00A9AEB4"/>
      </bottom>
      <diagonal/>
    </border>
    <border>
      <left/>
      <right/>
      <top style="hair">
        <color rgb="00A9AEB4"/>
      </top>
      <bottom style="hair">
        <color rgb="00A9AEB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6">
    <xf numFmtId="0" fontId="0" fillId="0" borderId="0" applyAlignment="1" pivotButton="0" quotePrefix="0" xfId="0">
      <alignment horizontal="general" vertical="bottom"/>
    </xf>
    <xf numFmtId="0" fontId="4" fillId="2" borderId="1"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4" fillId="0" borderId="0" applyAlignment="1" pivotButton="0" quotePrefix="0" xfId="0">
      <alignment horizontal="general" vertical="bottom"/>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9" fontId="8" fillId="5" borderId="1" applyAlignment="1" pivotButton="0" quotePrefix="0" xfId="0">
      <alignment horizontal="center" vertical="center"/>
    </xf>
    <xf numFmtId="0" fontId="9" fillId="4" borderId="1" applyAlignment="1" pivotButton="0" quotePrefix="0" xfId="0">
      <alignment horizontal="left" vertical="center"/>
    </xf>
    <xf numFmtId="165"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0" fontId="16" fillId="4"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9" fillId="7" borderId="1" applyAlignment="1" pivotButton="0" quotePrefix="0" xfId="0">
      <alignment horizontal="general" vertical="bottom"/>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167" fontId="8" fillId="5" borderId="1" applyAlignment="1" pivotButton="0" quotePrefix="0" xfId="0">
      <alignment horizontal="center" vertical="center"/>
    </xf>
    <xf numFmtId="167" fontId="10" fillId="6" borderId="1" applyAlignment="1" pivotButton="0" quotePrefix="0" xfId="0">
      <alignment horizontal="right" vertical="center"/>
    </xf>
    <xf numFmtId="0" fontId="9" fillId="7"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164" fontId="18" fillId="4" borderId="1" applyAlignment="1" pivotButton="0" quotePrefix="0" xfId="0">
      <alignment horizontal="center" vertical="center"/>
    </xf>
    <xf numFmtId="0" fontId="28" fillId="13" borderId="1" applyAlignment="1" pivotButton="0" quotePrefix="0" xfId="0">
      <alignment horizontal="left" vertical="center"/>
    </xf>
    <xf numFmtId="168" fontId="17" fillId="4" borderId="1" applyAlignment="1" pivotButton="0" quotePrefix="0" xfId="0">
      <alignment horizontal="righ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4" fillId="4" borderId="2" applyAlignment="1" pivotButton="0" quotePrefix="0" xfId="0">
      <alignment horizontal="general" vertical="bottom"/>
    </xf>
    <xf numFmtId="168" fontId="21" fillId="4" borderId="1" applyAlignment="1" pivotButton="0" quotePrefix="0" xfId="0">
      <alignment horizontal="right" vertical="center"/>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167" fontId="7" fillId="10" borderId="4" applyAlignment="1" pivotButton="0" quotePrefix="0" xfId="0">
      <alignment horizontal="right" vertical="center"/>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167" fontId="10" fillId="12" borderId="1" applyAlignment="1" pivotButton="0" quotePrefix="0" xfId="0">
      <alignment horizontal="right" vertical="center"/>
    </xf>
    <xf numFmtId="167" fontId="25" fillId="2" borderId="5" applyAlignment="1" pivotButton="0" quotePrefix="0" xfId="0">
      <alignment horizontal="right" vertical="center"/>
    </xf>
    <xf numFmtId="0" fontId="4" fillId="2" borderId="5" applyAlignment="1" pivotButton="0" quotePrefix="0" xfId="0">
      <alignment horizontal="general" vertical="bottom"/>
    </xf>
    <xf numFmtId="167" fontId="26" fillId="4" borderId="1" applyAlignment="1" pivotButton="0" quotePrefix="0" xfId="0">
      <alignment horizontal="center" vertical="center"/>
    </xf>
    <xf numFmtId="167" fontId="10" fillId="7" borderId="1" applyAlignment="1" pivotButton="0" quotePrefix="0" xfId="0">
      <alignment horizontal="righ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bottom"/>
    </xf>
    <xf numFmtId="0" fontId="0" fillId="0" borderId="9" pivotButton="0" quotePrefix="0" xfId="0"/>
    <xf numFmtId="0" fontId="0" fillId="0" borderId="10" pivotButton="0" quotePrefix="0" xfId="0"/>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18" fontId="31" fillId="16" borderId="1" applyAlignment="1" pivotButton="0" quotePrefix="0" xfId="0">
      <alignment horizontal="center" vertical="center"/>
    </xf>
    <xf numFmtId="0" fontId="30" fillId="15" borderId="0" applyAlignment="1" pivotButton="0" quotePrefix="0" xfId="0">
      <alignment horizontal="left" vertical="center"/>
    </xf>
    <xf numFmtId="0" fontId="31" fillId="16" borderId="0" applyAlignment="1" pivotButton="0" quotePrefix="0" xfId="0">
      <alignment horizontal="center" vertical="center"/>
    </xf>
    <xf numFmtId="0" fontId="0" fillId="15" borderId="0" pivotButton="0" quotePrefix="0" xfId="0"/>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0" fontId="32" fillId="17" borderId="1" applyAlignment="1" pivotButton="0" quotePrefix="0" xfId="0">
      <alignment horizontal="left" vertical="center"/>
    </xf>
    <xf numFmtId="0" fontId="32" fillId="17" borderId="1" applyAlignment="1" pivotButton="0" quotePrefix="0" xfId="0">
      <alignment horizontal="center" vertical="center"/>
    </xf>
    <xf numFmtId="9" fontId="32" fillId="17" borderId="1" applyAlignment="1" pivotButton="0" quotePrefix="0" xfId="0">
      <alignment horizontal="left" vertical="center"/>
    </xf>
    <xf numFmtId="0" fontId="9" fillId="17" borderId="1" applyAlignment="1" pivotButton="0" quotePrefix="0" xfId="0">
      <alignment horizontal="left" vertical="center"/>
    </xf>
    <xf numFmtId="0" fontId="0" fillId="17" borderId="0" pivotButton="0" quotePrefix="0" xfId="0"/>
    <xf numFmtId="0" fontId="33" fillId="15" borderId="0" applyAlignment="1" pivotButton="0" quotePrefix="0" xfId="0">
      <alignment horizontal="left" vertical="center"/>
    </xf>
    <xf numFmtId="9" fontId="31" fillId="16" borderId="0" applyAlignment="1" pivotButton="0" quotePrefix="0" xfId="0">
      <alignment horizontal="center" vertical="center"/>
    </xf>
    <xf numFmtId="0" fontId="34" fillId="15" borderId="0" applyAlignment="1" pivotButton="0" quotePrefix="0" xfId="0">
      <alignment horizontal="left" vertical="center"/>
    </xf>
    <xf numFmtId="0" fontId="30" fillId="18" borderId="0" applyAlignment="1" pivotButton="0" quotePrefix="0" xfId="0">
      <alignment horizontal="left" vertical="center"/>
    </xf>
    <xf numFmtId="0" fontId="0" fillId="18" borderId="0" pivotButton="0" quotePrefix="0" xfId="0"/>
    <xf numFmtId="0" fontId="34" fillId="18" borderId="0" applyAlignment="1" pivotButton="0" quotePrefix="0" xfId="0">
      <alignment horizontal="left" vertical="center"/>
    </xf>
    <xf numFmtId="165" fontId="8" fillId="5" borderId="1" applyAlignment="1" pivotButton="0" quotePrefix="0" xfId="0">
      <alignment horizontal="center" vertical="center"/>
    </xf>
    <xf numFmtId="0" fontId="9" fillId="4" borderId="1" applyAlignment="1" pivotButton="0" quotePrefix="0" xfId="0">
      <alignment horizontal="left" vertical="center"/>
    </xf>
    <xf numFmtId="9"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0" fontId="33" fillId="19" borderId="0" applyAlignment="1" pivotButton="0" quotePrefix="0" xfId="0">
      <alignment horizontal="left"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35" fillId="16" borderId="1" applyAlignment="1" pivotButton="0" quotePrefix="0" xfId="0">
      <alignment horizontal="left" vertical="center"/>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0" fontId="33" fillId="20" borderId="0" applyAlignment="1" pivotButton="0" quotePrefix="0" xfId="0">
      <alignment horizontal="left" vertical="center"/>
    </xf>
    <xf numFmtId="0" fontId="14" fillId="20" borderId="0" applyAlignment="1" pivotButton="0" quotePrefix="0" xfId="0">
      <alignment horizontal="general" vertical="bottom"/>
    </xf>
    <xf numFmtId="0" fontId="30" fillId="20" borderId="0" applyAlignment="1" pivotButton="0" quotePrefix="0" xfId="0">
      <alignment horizontal="left" vertical="center"/>
    </xf>
    <xf numFmtId="3" fontId="31" fillId="16" borderId="0" applyAlignment="1" pivotButton="0" quotePrefix="0" xfId="0">
      <alignment horizontal="center" vertical="center"/>
    </xf>
    <xf numFmtId="169" fontId="33" fillId="19" borderId="0" applyAlignment="1" pivotButton="0" quotePrefix="0" xfId="0">
      <alignment horizontal="left" vertical="center"/>
    </xf>
    <xf numFmtId="0" fontId="34" fillId="20" borderId="0" applyAlignment="1" pivotButton="0" quotePrefix="0" xfId="0">
      <alignment horizontal="left" vertical="center"/>
    </xf>
    <xf numFmtId="0" fontId="4" fillId="20" borderId="0" applyAlignment="1" pivotButton="0" quotePrefix="0" xfId="0">
      <alignment horizontal="general" vertical="bottom"/>
    </xf>
    <xf numFmtId="170" fontId="30" fillId="20" borderId="0" applyAlignment="1" pivotButton="0" quotePrefix="0" xfId="0">
      <alignment horizontal="left" vertical="center"/>
    </xf>
    <xf numFmtId="0" fontId="4" fillId="18" borderId="0" applyAlignment="1" pivotButton="0" quotePrefix="0" xfId="0">
      <alignment horizontal="general" vertical="bottom"/>
    </xf>
    <xf numFmtId="165" fontId="30" fillId="18" borderId="0" applyAlignment="1" pivotButton="0" quotePrefix="0" xfId="0">
      <alignment horizontal="left" vertical="center"/>
    </xf>
    <xf numFmtId="164" fontId="18" fillId="4" borderId="1" applyAlignment="1" pivotButton="0" quotePrefix="0" xfId="0">
      <alignment horizontal="center" vertical="center"/>
    </xf>
    <xf numFmtId="0" fontId="32" fillId="17" borderId="0" applyAlignment="1" pivotButton="0" quotePrefix="0" xfId="0">
      <alignment horizontal="left" vertical="center"/>
    </xf>
    <xf numFmtId="0" fontId="28" fillId="13" borderId="1" applyAlignment="1" pivotButton="0" quotePrefix="0" xfId="0">
      <alignment horizontal="lef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9" fillId="7" borderId="1" applyAlignment="1" pivotButton="0" quotePrefix="0" xfId="0">
      <alignment horizontal="general" vertical="bottom"/>
    </xf>
    <xf numFmtId="0" fontId="35" fillId="16" borderId="0" applyAlignment="1" pivotButton="0" quotePrefix="0" xfId="0">
      <alignment horizontal="left" vertical="center"/>
    </xf>
    <xf numFmtId="0" fontId="4" fillId="4" borderId="2" applyAlignment="1" pivotButton="0" quotePrefix="0" xfId="0">
      <alignment horizontal="general" vertical="bottom"/>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0" fontId="4" fillId="2" borderId="5" applyAlignment="1" pivotButton="0" quotePrefix="0" xfId="0">
      <alignment horizontal="general" vertical="bottom"/>
    </xf>
    <xf numFmtId="49" fontId="31" fillId="16" borderId="1" applyAlignment="1" pivotButton="0" quotePrefix="0" xfId="0">
      <alignment horizontal="center" vertical="center"/>
    </xf>
    <xf numFmtId="49" fontId="33" fillId="19" borderId="0" applyAlignment="1" pivotButton="0" quotePrefix="0" xfId="0">
      <alignment horizontal="center" vertical="center"/>
    </xf>
    <xf numFmtId="0" fontId="4" fillId="15" borderId="0" applyAlignment="1" pivotButton="0" quotePrefix="0" xfId="0">
      <alignment horizontal="general" vertical="bottom"/>
    </xf>
    <xf numFmtId="0" fontId="33" fillId="4" borderId="1" applyAlignment="1" pivotButton="0" quotePrefix="0" xfId="0">
      <alignment horizontal="left" vertical="center"/>
    </xf>
    <xf numFmtId="49" fontId="33" fillId="19" borderId="1" applyAlignment="1" pivotButton="0" quotePrefix="0" xfId="0">
      <alignment horizontal="center" vertical="center"/>
    </xf>
    <xf numFmtId="0" fontId="36" fillId="21" borderId="0" applyAlignment="1" pivotButton="0" quotePrefix="0" xfId="0">
      <alignment horizontal="general" vertical="bottom"/>
    </xf>
    <xf numFmtId="0" fontId="37" fillId="18" borderId="0" applyAlignment="1" pivotButton="0" quotePrefix="0" xfId="0">
      <alignment horizontal="center" vertical="center"/>
    </xf>
    <xf numFmtId="169" fontId="31" fillId="16" borderId="0" applyAlignment="1" pivotButton="0" quotePrefix="0" xfId="0">
      <alignment horizontal="center" vertical="center"/>
    </xf>
    <xf numFmtId="0" fontId="36" fillId="21" borderId="0" pivotButton="0" quotePrefix="0" xfId="0"/>
    <xf numFmtId="0" fontId="38" fillId="19" borderId="0" applyAlignment="1" pivotButton="0" quotePrefix="0" xfId="0">
      <alignment horizontal="center" vertical="center"/>
    </xf>
    <xf numFmtId="169" fontId="38" fillId="19" borderId="0" applyAlignment="1" pivotButton="0" quotePrefix="0" xfId="0">
      <alignment horizontal="center" vertical="center"/>
    </xf>
    <xf numFmtId="0" fontId="30" fillId="15" borderId="13" applyAlignment="1" pivotButton="0" quotePrefix="0" xfId="0">
      <alignment horizontal="left" vertical="center"/>
    </xf>
    <xf numFmtId="169" fontId="31" fillId="19" borderId="13" applyAlignment="1" pivotButton="0" quotePrefix="0" xfId="0">
      <alignment horizontal="center" vertical="center"/>
    </xf>
    <xf numFmtId="169" fontId="31" fillId="18" borderId="0" applyAlignment="1" pivotButton="0" quotePrefix="0" xfId="0">
      <alignment horizontal="center" vertical="center"/>
    </xf>
    <xf numFmtId="0" fontId="36" fillId="21" borderId="1" applyAlignment="1" pivotButton="0" quotePrefix="0" xfId="0">
      <alignment horizontal="left" vertical="center"/>
    </xf>
    <xf numFmtId="0" fontId="33" fillId="15" borderId="1" applyAlignment="1" pivotButton="0" quotePrefix="0" xfId="0">
      <alignment horizontal="left" vertical="center"/>
    </xf>
    <xf numFmtId="9" fontId="10" fillId="7" borderId="1" applyAlignment="1" pivotButton="0" quotePrefix="0" xfId="0">
      <alignment horizontal="right" vertical="center"/>
    </xf>
    <xf numFmtId="169" fontId="38" fillId="19" borderId="1" applyAlignment="1" pivotButton="0" quotePrefix="0" xfId="0">
      <alignment horizontal="center" vertical="center"/>
    </xf>
    <xf numFmtId="0" fontId="30" fillId="15" borderId="1" applyAlignment="1" pivotButton="0" quotePrefix="0" xfId="0">
      <alignment horizontal="left" vertical="center"/>
    </xf>
    <xf numFmtId="0" fontId="33" fillId="15" borderId="4" applyAlignment="1" pivotButton="0" quotePrefix="0" xfId="0">
      <alignment horizontal="left" vertical="center"/>
    </xf>
    <xf numFmtId="165" fontId="38" fillId="19" borderId="4" applyAlignment="1" pivotButton="0" quotePrefix="0" xfId="0">
      <alignment horizontal="center" vertical="center"/>
    </xf>
    <xf numFmtId="165" fontId="38" fillId="19" borderId="0" applyAlignment="1" pivotButton="0" quotePrefix="0" xfId="0">
      <alignment horizontal="center" vertical="center"/>
    </xf>
    <xf numFmtId="0" fontId="8" fillId="5" borderId="1" applyAlignment="1" applyProtection="1" pivotButton="0" quotePrefix="0" xfId="0">
      <alignment horizontal="center" vertical="center"/>
      <protection locked="0" hidden="0"/>
    </xf>
    <xf numFmtId="164" fontId="8" fillId="5" borderId="1" applyAlignment="1" applyProtection="1" pivotButton="0" quotePrefix="0" xfId="0">
      <alignment horizontal="center" vertical="center"/>
      <protection locked="0" hidden="0"/>
    </xf>
    <xf numFmtId="3" fontId="8" fillId="5" borderId="1" applyAlignment="1" applyProtection="1" pivotButton="0" quotePrefix="0" xfId="0">
      <alignment horizontal="center" vertical="center"/>
      <protection locked="0" hidden="0"/>
    </xf>
    <xf numFmtId="49" fontId="31" fillId="16" borderId="1" applyAlignment="1" applyProtection="1" pivotButton="0" quotePrefix="0" xfId="0">
      <alignment horizontal="center" vertical="center"/>
      <protection locked="0" hidden="0"/>
    </xf>
    <xf numFmtId="0" fontId="31" fillId="16" borderId="0" applyAlignment="1" applyProtection="1" pivotButton="0" quotePrefix="0" xfId="0">
      <alignment horizontal="center" vertical="center"/>
      <protection locked="0" hidden="0"/>
    </xf>
    <xf numFmtId="9" fontId="31" fillId="16" borderId="0" applyAlignment="1" applyProtection="1" pivotButton="0" quotePrefix="0" xfId="0">
      <alignment horizontal="center" vertical="center"/>
      <protection locked="0" hidden="0"/>
    </xf>
    <xf numFmtId="165"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5" fontId="8" fillId="5" borderId="1" applyAlignment="1" applyProtection="1" pivotButton="0" quotePrefix="0" xfId="0">
      <alignment horizontal="center" vertical="center"/>
      <protection locked="0" hidden="0"/>
    </xf>
    <xf numFmtId="0" fontId="20" fillId="9" borderId="1" applyAlignment="1" applyProtection="1" pivotButton="0" quotePrefix="0" xfId="0">
      <alignment horizontal="center" vertical="center"/>
      <protection locked="0" hidden="0"/>
    </xf>
    <xf numFmtId="167" fontId="8" fillId="5" borderId="1" applyAlignment="1" applyProtection="1" pivotButton="0" quotePrefix="0" xfId="0">
      <alignment horizontal="center" vertical="center"/>
      <protection locked="0" hidden="0"/>
    </xf>
    <xf numFmtId="0" fontId="10" fillId="7" borderId="1" applyAlignment="1" applyProtection="1" pivotButton="0" quotePrefix="0" xfId="0">
      <alignment horizontal="left" vertical="center"/>
      <protection locked="0" hidden="0"/>
    </xf>
    <xf numFmtId="0" fontId="35" fillId="16" borderId="1" applyAlignment="1" applyProtection="1" pivotButton="0" quotePrefix="0" xfId="0">
      <alignment horizontal="left" vertical="center"/>
      <protection locked="0" hidden="0"/>
    </xf>
    <xf numFmtId="0" fontId="23" fillId="10" borderId="1" applyAlignment="1" applyProtection="1" pivotButton="0" quotePrefix="0" xfId="0">
      <alignment horizontal="left" vertical="center" wrapText="1"/>
      <protection locked="0" hidden="0"/>
    </xf>
    <xf numFmtId="0" fontId="9" fillId="7" borderId="1" applyAlignment="1" applyProtection="1" pivotButton="0" quotePrefix="0" xfId="0">
      <alignment horizontal="left" vertical="center" wrapText="1"/>
      <protection locked="0" hidden="0"/>
    </xf>
    <xf numFmtId="0" fontId="37" fillId="18" borderId="0" applyAlignment="1" applyProtection="1" pivotButton="0" quotePrefix="0" xfId="0">
      <alignment horizontal="center" vertical="center"/>
      <protection locked="0" hidden="0"/>
    </xf>
    <xf numFmtId="0" fontId="38" fillId="19" borderId="0" applyAlignment="1" applyProtection="1" pivotButton="0" quotePrefix="0" xfId="0">
      <alignment horizontal="center" vertical="center"/>
      <protection locked="0" hidden="0"/>
    </xf>
    <xf numFmtId="169" fontId="31" fillId="16" borderId="0" applyAlignment="1" applyProtection="1" pivotButton="0" quotePrefix="0" xfId="0">
      <alignment horizontal="center" vertical="center"/>
      <protection locked="0" hidden="0"/>
    </xf>
    <xf numFmtId="0" fontId="0" fillId="0" borderId="0" applyProtection="1" pivotButton="0" quotePrefix="0" xfId="0">
      <protection locked="0" hidden="0"/>
    </xf>
    <xf numFmtId="169" fontId="38" fillId="19" borderId="0" applyAlignment="1" applyProtection="1" pivotButton="0" quotePrefix="0" xfId="0">
      <alignment horizontal="center" vertical="center"/>
      <protection locked="0" hidden="0"/>
    </xf>
    <xf numFmtId="0" fontId="10" fillId="7" borderId="1" applyAlignment="1" applyProtection="1" pivotButton="0" quotePrefix="0" xfId="0">
      <alignment horizontal="general" vertical="bottom"/>
      <protection locked="0" hidden="0"/>
    </xf>
    <xf numFmtId="0" fontId="29" fillId="7" borderId="1" applyAlignment="1" applyProtection="1" pivotButton="0" quotePrefix="0" xfId="0">
      <alignment horizontal="general" vertical="bottom"/>
      <protection locked="0" hidden="0"/>
    </xf>
    <xf numFmtId="0" fontId="9" fillId="7" borderId="1" applyAlignment="1" applyProtection="1" pivotButton="0" quotePrefix="0" xfId="0">
      <alignment horizontal="general" vertical="bottom"/>
      <protection locked="0" hidden="0"/>
    </xf>
    <xf numFmtId="0" fontId="35" fillId="16" borderId="0" applyAlignment="1" applyProtection="1" pivotButton="0" quotePrefix="0" xfId="0">
      <alignment horizontal="left" vertical="center"/>
      <protection locked="0" hidden="0"/>
    </xf>
    <xf numFmtId="0" fontId="0" fillId="0" borderId="10" applyProtection="1" pivotButton="0" quotePrefix="0" xfId="0">
      <protection locked="0" hidden="0"/>
    </xf>
    <xf numFmtId="0" fontId="4" fillId="22" borderId="1" applyAlignment="1" pivotButton="0" quotePrefix="0" xfId="0">
      <alignment horizontal="general" vertical="bottom"/>
    </xf>
    <xf numFmtId="0" fontId="0" fillId="22" borderId="9" pivotButton="0" quotePrefix="0" xfId="0"/>
    <xf numFmtId="0" fontId="0" fillId="22" borderId="10" pivotButton="0" quotePrefix="0" xfId="0"/>
    <xf numFmtId="0" fontId="4" fillId="22" borderId="0" applyAlignment="1" pivotButton="0" quotePrefix="0" xfId="0">
      <alignment horizontal="general" vertical="bottom"/>
    </xf>
    <xf numFmtId="0" fontId="39" fillId="23" borderId="1" applyAlignment="1" pivotButton="0" quotePrefix="0" xfId="0">
      <alignment horizontal="left" vertical="center"/>
    </xf>
    <xf numFmtId="0" fontId="39" fillId="23" borderId="9" pivotButton="0" quotePrefix="0" xfId="0"/>
    <xf numFmtId="0" fontId="39" fillId="23" borderId="10" pivotButton="0" quotePrefix="0" xfId="0"/>
    <xf numFmtId="0" fontId="39" fillId="23" borderId="0" applyAlignment="1" pivotButton="0" quotePrefix="0" xfId="0">
      <alignment horizontal="general" vertical="bottom"/>
    </xf>
    <xf numFmtId="0" fontId="4" fillId="23" borderId="0" applyAlignment="1" pivotButton="0" quotePrefix="0" xfId="0">
      <alignment horizontal="general" vertical="bottom"/>
    </xf>
    <xf numFmtId="0" fontId="40" fillId="22" borderId="1" applyAlignment="1" pivotButton="0" quotePrefix="0" xfId="0">
      <alignment horizontal="left" vertical="center"/>
    </xf>
    <xf numFmtId="0" fontId="40" fillId="22" borderId="9" pivotButton="0" quotePrefix="0" xfId="0"/>
    <xf numFmtId="0" fontId="40" fillId="22" borderId="10" pivotButton="0" quotePrefix="0" xfId="0"/>
    <xf numFmtId="0" fontId="40" fillId="22" borderId="0" applyAlignment="1" pivotButton="0" quotePrefix="0" xfId="0">
      <alignment horizontal="general" vertical="bottom"/>
    </xf>
    <xf numFmtId="0" fontId="41" fillId="4" borderId="1" applyAlignment="1" pivotButton="0" quotePrefix="0" xfId="0">
      <alignment horizontal="left" vertical="center"/>
    </xf>
    <xf numFmtId="0" fontId="43" fillId="24" borderId="15" applyAlignment="1" applyProtection="1" pivotButton="0" quotePrefix="0" xfId="0">
      <alignment horizontal="center" vertical="center"/>
      <protection locked="0" hidden="0"/>
    </xf>
    <xf numFmtId="0" fontId="43" fillId="24" borderId="15" applyProtection="1" pivotButton="0" quotePrefix="0" xfId="0">
      <protection locked="0" hidden="0"/>
    </xf>
    <xf numFmtId="0" fontId="43" fillId="4" borderId="1" applyAlignment="1" pivotButton="0" quotePrefix="0" xfId="0">
      <alignment horizontal="general" vertical="bottom"/>
    </xf>
    <xf numFmtId="0" fontId="43" fillId="23" borderId="0" applyAlignment="1" pivotButton="0" quotePrefix="0" xfId="0">
      <alignment horizontal="general" vertical="bottom"/>
    </xf>
    <xf numFmtId="164" fontId="43" fillId="24" borderId="15" applyAlignment="1" applyProtection="1" pivotButton="0" quotePrefix="0" xfId="0">
      <alignment horizontal="center" vertical="center"/>
      <protection locked="0" hidden="0"/>
    </xf>
    <xf numFmtId="3" fontId="43" fillId="24" borderId="15" applyAlignment="1" applyProtection="1" pivotButton="0" quotePrefix="0" xfId="0">
      <alignment horizontal="center" vertical="center"/>
      <protection locked="0" hidden="0"/>
    </xf>
    <xf numFmtId="49" fontId="43" fillId="24" borderId="15" applyAlignment="1" applyProtection="1" pivotButton="0" quotePrefix="0" xfId="0">
      <alignment horizontal="center" vertical="center"/>
      <protection locked="0" hidden="0"/>
    </xf>
    <xf numFmtId="0" fontId="41" fillId="15" borderId="0" applyAlignment="1" pivotButton="0" quotePrefix="0" xfId="0">
      <alignment horizontal="left" vertical="center"/>
    </xf>
    <xf numFmtId="0" fontId="43" fillId="15" borderId="0" pivotButton="0" quotePrefix="0" xfId="0"/>
    <xf numFmtId="0" fontId="43" fillId="23" borderId="0" pivotButton="0" quotePrefix="0" xfId="0"/>
    <xf numFmtId="0" fontId="40" fillId="22" borderId="0" pivotButton="0" quotePrefix="0" xfId="0"/>
    <xf numFmtId="0" fontId="43" fillId="5" borderId="1" applyAlignment="1" applyProtection="1" pivotButton="0" quotePrefix="0" xfId="0">
      <alignment horizontal="center" vertical="center"/>
      <protection locked="0" hidden="0"/>
    </xf>
    <xf numFmtId="10" fontId="43" fillId="6" borderId="1" applyAlignment="1" pivotButton="0" quotePrefix="0" xfId="0">
      <alignment horizontal="center" vertical="center"/>
    </xf>
    <xf numFmtId="0" fontId="41" fillId="24" borderId="14" applyAlignment="1" pivotButton="0" quotePrefix="0" xfId="0">
      <alignment horizontal="left" vertical="center"/>
    </xf>
    <xf numFmtId="0" fontId="41" fillId="24" borderId="14" applyAlignment="1" pivotButton="0" quotePrefix="0" xfId="0">
      <alignment horizontal="center" vertical="center"/>
    </xf>
    <xf numFmtId="9" fontId="41" fillId="24" borderId="14" applyAlignment="1" pivotButton="0" quotePrefix="0" xfId="0">
      <alignment horizontal="left" vertical="center"/>
    </xf>
    <xf numFmtId="0" fontId="41" fillId="24" borderId="14" pivotButton="0" quotePrefix="0" xfId="0"/>
    <xf numFmtId="0" fontId="41" fillId="24" borderId="14" applyAlignment="1" pivotButton="0" quotePrefix="0" xfId="0">
      <alignment horizontal="general" vertical="bottom"/>
    </xf>
    <xf numFmtId="0" fontId="33" fillId="23" borderId="15" applyAlignment="1" pivotButton="0" quotePrefix="0" xfId="0">
      <alignment horizontal="left" vertical="center"/>
    </xf>
    <xf numFmtId="9" fontId="31" fillId="23" borderId="15" applyAlignment="1" applyProtection="1" pivotButton="0" quotePrefix="0" xfId="0">
      <alignment horizontal="center" vertical="center"/>
      <protection locked="0" hidden="0"/>
    </xf>
    <xf numFmtId="0" fontId="34" fillId="23" borderId="15" applyAlignment="1" pivotButton="0" quotePrefix="0" xfId="0">
      <alignment horizontal="left" vertical="center"/>
    </xf>
    <xf numFmtId="0" fontId="0" fillId="23" borderId="0" pivotButton="0" quotePrefix="0" xfId="0"/>
    <xf numFmtId="0" fontId="33" fillId="24" borderId="15" applyAlignment="1" pivotButton="0" quotePrefix="0" xfId="0">
      <alignment horizontal="left" vertical="center"/>
    </xf>
    <xf numFmtId="9" fontId="31" fillId="24" borderId="15" applyAlignment="1" applyProtection="1" pivotButton="0" quotePrefix="0" xfId="0">
      <alignment horizontal="center" vertical="center"/>
      <protection locked="0" hidden="0"/>
    </xf>
    <xf numFmtId="0" fontId="34" fillId="24" borderId="15" applyAlignment="1" pivotButton="0" quotePrefix="0" xfId="0">
      <alignment horizontal="left" vertical="center"/>
    </xf>
    <xf numFmtId="0" fontId="42" fillId="18" borderId="0" applyAlignment="1" pivotButton="0" quotePrefix="0" xfId="0">
      <alignment horizontal="left" vertical="center"/>
    </xf>
    <xf numFmtId="0" fontId="41" fillId="24" borderId="15" applyAlignment="1" pivotButton="0" quotePrefix="0" xfId="0">
      <alignment horizontal="left" vertical="center"/>
    </xf>
    <xf numFmtId="165" fontId="43" fillId="24" borderId="15" applyAlignment="1" applyProtection="1" pivotButton="0" quotePrefix="0" xfId="0">
      <alignment horizontal="general" vertical="bottom"/>
      <protection locked="0" hidden="0"/>
    </xf>
    <xf numFmtId="165" fontId="43" fillId="24" borderId="15" applyAlignment="1" pivotButton="0" quotePrefix="0" xfId="0">
      <alignment horizontal="center" vertical="center"/>
    </xf>
    <xf numFmtId="0" fontId="43" fillId="24" borderId="15" applyAlignment="1" pivotButton="0" quotePrefix="0" xfId="0">
      <alignment horizontal="left" vertical="center"/>
    </xf>
    <xf numFmtId="0" fontId="43" fillId="23" borderId="9" pivotButton="0" quotePrefix="0" xfId="0"/>
    <xf numFmtId="0" fontId="43" fillId="23" borderId="10" pivotButton="0" quotePrefix="0" xfId="0"/>
    <xf numFmtId="0" fontId="43" fillId="24" borderId="15" applyAlignment="1" applyProtection="1" pivotButton="0" quotePrefix="0" xfId="0">
      <alignment horizontal="general" vertical="bottom"/>
      <protection locked="0" hidden="0"/>
    </xf>
    <xf numFmtId="9" fontId="43" fillId="24" borderId="15" applyAlignment="1" pivotButton="0" quotePrefix="0" xfId="0">
      <alignment horizontal="center" vertical="center"/>
    </xf>
    <xf numFmtId="165" fontId="43" fillId="24" borderId="15" applyAlignment="1" applyProtection="1" pivotButton="0" quotePrefix="0" xfId="0">
      <alignment horizontal="center" vertical="center"/>
      <protection locked="0" hidden="0"/>
    </xf>
    <xf numFmtId="0" fontId="43" fillId="24" borderId="15" applyAlignment="1" pivotButton="0" quotePrefix="0" xfId="0">
      <alignment horizontal="center" vertical="center"/>
    </xf>
    <xf numFmtId="0" fontId="42" fillId="7" borderId="1" applyAlignment="1" pivotButton="0" quotePrefix="0" xfId="0">
      <alignment horizontal="left" vertical="center" wrapText="1"/>
    </xf>
    <xf numFmtId="0" fontId="0" fillId="23" borderId="9" pivotButton="0" quotePrefix="0" xfId="0"/>
    <xf numFmtId="0" fontId="0" fillId="23" borderId="10" pivotButton="0" quotePrefix="0" xfId="0"/>
    <xf numFmtId="0" fontId="11" fillId="23" borderId="0" applyAlignment="1" pivotButton="0" quotePrefix="0" xfId="0">
      <alignment horizontal="general" vertical="bottom"/>
    </xf>
    <xf numFmtId="0" fontId="12" fillId="23" borderId="0" applyAlignment="1" pivotButton="0" quotePrefix="0" xfId="0">
      <alignment horizontal="general" vertical="bottom"/>
    </xf>
    <xf numFmtId="166" fontId="12" fillId="23" borderId="0" applyAlignment="1" pivotButton="0" quotePrefix="0" xfId="0">
      <alignment horizontal="general" vertical="bottom"/>
    </xf>
    <xf numFmtId="0" fontId="7" fillId="23" borderId="1" applyAlignment="1" pivotButton="0" quotePrefix="0" xfId="0">
      <alignment horizontal="left" vertical="center"/>
    </xf>
    <xf numFmtId="0" fontId="8" fillId="23" borderId="1" applyAlignment="1" applyProtection="1" pivotButton="0" quotePrefix="0" xfId="0">
      <alignment horizontal="center" vertical="center"/>
      <protection locked="0" hidden="0"/>
    </xf>
    <xf numFmtId="0" fontId="0" fillId="23" borderId="10" applyProtection="1" pivotButton="0" quotePrefix="0" xfId="0">
      <protection locked="0" hidden="0"/>
    </xf>
    <xf numFmtId="0" fontId="4" fillId="23" borderId="1" applyAlignment="1" pivotButton="0" quotePrefix="0" xfId="0">
      <alignment horizontal="general" vertical="bottom"/>
    </xf>
    <xf numFmtId="0" fontId="13" fillId="23" borderId="1" applyAlignment="1" pivotButton="0" quotePrefix="0" xfId="0">
      <alignment horizontal="left" vertical="center"/>
    </xf>
    <xf numFmtId="0" fontId="14" fillId="23" borderId="0" applyAlignment="1" pivotButton="0" quotePrefix="0" xfId="0">
      <alignment horizontal="general" vertical="bottom"/>
    </xf>
    <xf numFmtId="3" fontId="8" fillId="23" borderId="1" applyAlignment="1" applyProtection="1" pivotButton="0" quotePrefix="0" xfId="0">
      <alignment horizontal="center" vertical="center"/>
      <protection locked="0" hidden="0"/>
    </xf>
    <xf numFmtId="0" fontId="44" fillId="25" borderId="1" applyAlignment="1" pivotButton="0" quotePrefix="0" xfId="0">
      <alignment horizontal="center" vertical="center"/>
    </xf>
    <xf numFmtId="0" fontId="44" fillId="25" borderId="9" pivotButton="0" quotePrefix="0" xfId="0"/>
    <xf numFmtId="0" fontId="44" fillId="25" borderId="10" pivotButton="0" quotePrefix="0" xfId="0"/>
    <xf numFmtId="0" fontId="16" fillId="23" borderId="1" applyAlignment="1" pivotButton="0" quotePrefix="0" xfId="0">
      <alignment horizontal="left" vertical="center"/>
    </xf>
    <xf numFmtId="0" fontId="17" fillId="23" borderId="1" applyAlignment="1" pivotButton="0" quotePrefix="0" xfId="0">
      <alignment horizontal="right" vertical="center"/>
    </xf>
    <xf numFmtId="0" fontId="18" fillId="23" borderId="1" applyAlignment="1" pivotButton="0" quotePrefix="0" xfId="0">
      <alignment horizontal="center" vertical="center"/>
    </xf>
    <xf numFmtId="0" fontId="17" fillId="23" borderId="1" applyAlignment="1" pivotButton="0" quotePrefix="0" xfId="0">
      <alignment horizontal="left" vertical="center"/>
    </xf>
    <xf numFmtId="3" fontId="18" fillId="23" borderId="1" applyAlignment="1" pivotButton="0" quotePrefix="0" xfId="0">
      <alignment horizontal="center" vertical="center"/>
    </xf>
    <xf numFmtId="0" fontId="44" fillId="25" borderId="14" applyAlignment="1" pivotButton="0" quotePrefix="0" xfId="0">
      <alignment horizontal="left" vertical="center"/>
    </xf>
    <xf numFmtId="0" fontId="44" fillId="25" borderId="14" applyAlignment="1" pivotButton="0" quotePrefix="0" xfId="0">
      <alignment horizontal="center" vertical="center"/>
    </xf>
    <xf numFmtId="0" fontId="33" fillId="23" borderId="0" applyAlignment="1" pivotButton="0" quotePrefix="0" xfId="0">
      <alignment horizontal="left" vertical="center"/>
    </xf>
    <xf numFmtId="0" fontId="43" fillId="23" borderId="15" pivotButton="0" quotePrefix="0" xfId="0"/>
    <xf numFmtId="49" fontId="33" fillId="23" borderId="0" applyAlignment="1" pivotButton="0" quotePrefix="0" xfId="0">
      <alignment horizontal="center" vertical="center"/>
    </xf>
    <xf numFmtId="0" fontId="43" fillId="23" borderId="15" applyAlignment="1" pivotButton="0" quotePrefix="0" xfId="0">
      <alignment horizontal="left" vertical="center"/>
    </xf>
    <xf numFmtId="168" fontId="43" fillId="23" borderId="15" applyAlignment="1" pivotButton="0" quotePrefix="0" xfId="0">
      <alignment horizontal="right" vertical="center"/>
    </xf>
    <xf numFmtId="0" fontId="42" fillId="23" borderId="1" applyAlignment="1" pivotButton="0" quotePrefix="0" xfId="0">
      <alignment horizontal="left" vertical="center"/>
    </xf>
    <xf numFmtId="0" fontId="42" fillId="23" borderId="0" pivotButton="0" quotePrefix="0" xfId="0"/>
    <xf numFmtId="0" fontId="43" fillId="24" borderId="15" applyAlignment="1" pivotButton="0" quotePrefix="0" xfId="0">
      <alignment horizontal="general" vertical="bottom"/>
    </xf>
    <xf numFmtId="0" fontId="43" fillId="24" borderId="15" pivotButton="0" quotePrefix="0" xfId="0"/>
    <xf numFmtId="0" fontId="43" fillId="23" borderId="15" applyAlignment="1" pivotButton="0" quotePrefix="0" xfId="0">
      <alignment horizontal="general" vertical="bottom"/>
    </xf>
    <xf numFmtId="0" fontId="44" fillId="25" borderId="1" applyAlignment="1" pivotButton="0" quotePrefix="0" xfId="0">
      <alignment horizontal="left" vertical="center"/>
    </xf>
    <xf numFmtId="0" fontId="44" fillId="25" borderId="0" pivotButton="0" quotePrefix="0" xfId="0"/>
    <xf numFmtId="0" fontId="47" fillId="22" borderId="16" applyAlignment="1" pivotButton="0" quotePrefix="0" xfId="0">
      <alignment horizontal="left" vertical="center"/>
    </xf>
    <xf numFmtId="168" fontId="47" fillId="22" borderId="16" applyAlignment="1" pivotButton="0" quotePrefix="0" xfId="0">
      <alignment horizontal="right" vertical="center"/>
    </xf>
    <xf numFmtId="0" fontId="10" fillId="23" borderId="15" applyAlignment="1" pivotButton="0" quotePrefix="0" xfId="0">
      <alignment horizontal="left" vertical="center"/>
    </xf>
    <xf numFmtId="3" fontId="10" fillId="23" borderId="15" applyAlignment="1" pivotButton="0" quotePrefix="0" xfId="0">
      <alignment horizontal="center" vertical="center"/>
    </xf>
    <xf numFmtId="167" fontId="8" fillId="23" borderId="15" applyAlignment="1" applyProtection="1" pivotButton="0" quotePrefix="0" xfId="0">
      <alignment horizontal="center" vertical="center"/>
      <protection locked="0" hidden="0"/>
    </xf>
    <xf numFmtId="167" fontId="10" fillId="23" borderId="15" applyAlignment="1" pivotButton="0" quotePrefix="0" xfId="0">
      <alignment horizontal="right" vertical="center"/>
    </xf>
    <xf numFmtId="10" fontId="10" fillId="23" borderId="15" applyAlignment="1" pivotButton="0" quotePrefix="0" xfId="0">
      <alignment horizontal="center" vertical="center"/>
    </xf>
    <xf numFmtId="0" fontId="35" fillId="23" borderId="15" applyAlignment="1" pivotButton="0" quotePrefix="0" xfId="0">
      <alignment horizontal="left" vertical="center"/>
    </xf>
    <xf numFmtId="0" fontId="43" fillId="23" borderId="1" applyAlignment="1" pivotButton="0" quotePrefix="0" xfId="0">
      <alignment horizontal="left" vertical="center"/>
    </xf>
    <xf numFmtId="3" fontId="43" fillId="23" borderId="1" applyAlignment="1" pivotButton="0" quotePrefix="0" xfId="0">
      <alignment horizontal="right" vertical="center"/>
    </xf>
    <xf numFmtId="0" fontId="14" fillId="23" borderId="1" applyAlignment="1" pivotButton="0" quotePrefix="0" xfId="0">
      <alignment horizontal="general" vertical="bottom"/>
    </xf>
    <xf numFmtId="0" fontId="10" fillId="24" borderId="15" applyAlignment="1" pivotButton="0" quotePrefix="0" xfId="0">
      <alignment horizontal="left" vertical="center"/>
    </xf>
    <xf numFmtId="3" fontId="10" fillId="24" borderId="15" applyAlignment="1" pivotButton="0" quotePrefix="0" xfId="0">
      <alignment horizontal="center" vertical="center"/>
    </xf>
    <xf numFmtId="167" fontId="8" fillId="24" borderId="15" applyAlignment="1" applyProtection="1" pivotButton="0" quotePrefix="0" xfId="0">
      <alignment horizontal="center" vertical="center"/>
      <protection locked="0" hidden="0"/>
    </xf>
    <xf numFmtId="167" fontId="10" fillId="24" borderId="15" applyAlignment="1" pivotButton="0" quotePrefix="0" xfId="0">
      <alignment horizontal="right" vertical="center"/>
    </xf>
    <xf numFmtId="10" fontId="10" fillId="24" borderId="15" applyAlignment="1" pivotButton="0" quotePrefix="0" xfId="0">
      <alignment horizontal="center" vertical="center"/>
    </xf>
    <xf numFmtId="0" fontId="35" fillId="24" borderId="15" applyAlignment="1" pivotButton="0" quotePrefix="0" xfId="0">
      <alignment horizontal="left" vertical="center"/>
    </xf>
    <xf numFmtId="0" fontId="14" fillId="23" borderId="3" applyAlignment="1" pivotButton="0" quotePrefix="0" xfId="0">
      <alignment horizontal="general" vertical="bottom"/>
    </xf>
    <xf numFmtId="3" fontId="8" fillId="23" borderId="15" applyAlignment="1" pivotButton="0" quotePrefix="0" xfId="0">
      <alignment horizontal="center" vertical="center"/>
    </xf>
    <xf numFmtId="0" fontId="10" fillId="23" borderId="15" applyAlignment="1" applyProtection="1" pivotButton="0" quotePrefix="0" xfId="0">
      <alignment horizontal="left" vertical="center"/>
      <protection locked="0" hidden="0"/>
    </xf>
    <xf numFmtId="3" fontId="8" fillId="23" borderId="15" applyAlignment="1" applyProtection="1" pivotButton="0" quotePrefix="0" xfId="0">
      <alignment horizontal="center" vertical="center"/>
      <protection locked="0" hidden="0"/>
    </xf>
    <xf numFmtId="0" fontId="35" fillId="23" borderId="15" applyAlignment="1" applyProtection="1" pivotButton="0" quotePrefix="0" xfId="0">
      <alignment horizontal="left" vertical="center"/>
      <protection locked="0" hidden="0"/>
    </xf>
    <xf numFmtId="0" fontId="42" fillId="23" borderId="1" applyAlignment="1" applyProtection="1" pivotButton="0" quotePrefix="0" xfId="0">
      <alignment horizontal="left" vertical="center" wrapText="1"/>
      <protection locked="0" hidden="0"/>
    </xf>
    <xf numFmtId="0" fontId="10" fillId="24" borderId="15" applyAlignment="1" applyProtection="1" pivotButton="0" quotePrefix="0" xfId="0">
      <alignment horizontal="left" vertical="center"/>
      <protection locked="0" hidden="0"/>
    </xf>
    <xf numFmtId="3" fontId="8" fillId="24" borderId="15" applyAlignment="1" applyProtection="1" pivotButton="0" quotePrefix="0" xfId="0">
      <alignment horizontal="center" vertical="center"/>
      <protection locked="0" hidden="0"/>
    </xf>
    <xf numFmtId="0" fontId="35" fillId="24" borderId="15" applyAlignment="1" applyProtection="1" pivotButton="0" quotePrefix="0" xfId="0">
      <alignment horizontal="left" vertical="center"/>
      <protection locked="0" hidden="0"/>
    </xf>
    <xf numFmtId="0" fontId="9" fillId="23" borderId="1" applyAlignment="1" pivotButton="0" quotePrefix="0" xfId="0">
      <alignment horizontal="left" vertical="center" wrapText="1"/>
    </xf>
    <xf numFmtId="0" fontId="41" fillId="23" borderId="15" applyAlignment="1" pivotButton="0" quotePrefix="0" xfId="0">
      <alignment horizontal="left" vertical="center"/>
    </xf>
    <xf numFmtId="167" fontId="43" fillId="23" borderId="15" applyAlignment="1" pivotButton="0" quotePrefix="0" xfId="0">
      <alignment horizontal="right" vertical="center"/>
    </xf>
    <xf numFmtId="0" fontId="45" fillId="24" borderId="16" applyAlignment="1" pivotButton="0" quotePrefix="0" xfId="0">
      <alignment horizontal="left" vertical="center"/>
    </xf>
    <xf numFmtId="0" fontId="45" fillId="24" borderId="16" pivotButton="0" quotePrefix="0" xfId="0"/>
    <xf numFmtId="167" fontId="45" fillId="24" borderId="16" applyAlignment="1" pivotButton="0" quotePrefix="0" xfId="0">
      <alignment horizontal="right" vertical="center"/>
    </xf>
    <xf numFmtId="0" fontId="45" fillId="24" borderId="16" applyAlignment="1" pivotButton="0" quotePrefix="0" xfId="0">
      <alignment horizontal="general" vertical="bottom"/>
    </xf>
    <xf numFmtId="0" fontId="46" fillId="22" borderId="16" applyAlignment="1" pivotButton="0" quotePrefix="0" xfId="0">
      <alignment horizontal="left" vertical="center"/>
    </xf>
    <xf numFmtId="0" fontId="46" fillId="22" borderId="16" pivotButton="0" quotePrefix="0" xfId="0"/>
    <xf numFmtId="167" fontId="46" fillId="22" borderId="16" applyAlignment="1" pivotButton="0" quotePrefix="0" xfId="0">
      <alignment horizontal="right" vertical="center"/>
    </xf>
    <xf numFmtId="0" fontId="46" fillId="22" borderId="16" applyAlignment="1" pivotButton="0" quotePrefix="0" xfId="0">
      <alignment horizontal="general" vertical="bottom"/>
    </xf>
    <xf numFmtId="0" fontId="41" fillId="23" borderId="1" applyAlignment="1" pivotButton="0" quotePrefix="0" xfId="0">
      <alignment horizontal="left" vertical="center"/>
    </xf>
    <xf numFmtId="168" fontId="26" fillId="23" borderId="1" applyAlignment="1" pivotButton="0" quotePrefix="0" xfId="0">
      <alignment horizontal="center" vertical="center"/>
    </xf>
    <xf numFmtId="167" fontId="26" fillId="23" borderId="1" applyAlignment="1" pivotButton="0" quotePrefix="0" xfId="0">
      <alignment horizontal="center" vertical="center"/>
    </xf>
    <xf numFmtId="0" fontId="27" fillId="23" borderId="1" applyAlignment="1" pivotButton="0" quotePrefix="0" xfId="0">
      <alignment horizontal="left" vertical="center"/>
    </xf>
    <xf numFmtId="0" fontId="41" fillId="24" borderId="0" applyAlignment="1" pivotButton="0" quotePrefix="0" xfId="0">
      <alignment horizontal="center" vertical="center"/>
    </xf>
    <xf numFmtId="0" fontId="41" fillId="24" borderId="0" applyAlignment="1" applyProtection="1" pivotButton="0" quotePrefix="0" xfId="0">
      <alignment horizontal="center" vertical="center"/>
      <protection locked="0" hidden="0"/>
    </xf>
    <xf numFmtId="0" fontId="43" fillId="23" borderId="15" applyAlignment="1" applyProtection="1" pivotButton="0" quotePrefix="0" xfId="0">
      <alignment horizontal="center" vertical="center"/>
      <protection locked="0" hidden="0"/>
    </xf>
    <xf numFmtId="169" fontId="43" fillId="23" borderId="15" applyAlignment="1" applyProtection="1" pivotButton="0" quotePrefix="0" xfId="0">
      <alignment horizontal="center" vertical="center"/>
      <protection locked="0" hidden="0"/>
    </xf>
    <xf numFmtId="0" fontId="41" fillId="24" borderId="15" pivotButton="0" quotePrefix="0" xfId="0"/>
    <xf numFmtId="169" fontId="43" fillId="24" borderId="15" applyAlignment="1" applyProtection="1" pivotButton="0" quotePrefix="0" xfId="0">
      <alignment horizontal="center" vertical="center"/>
      <protection locked="0" hidden="0"/>
    </xf>
    <xf numFmtId="169" fontId="43" fillId="23" borderId="15" applyAlignment="1" pivotButton="0" quotePrefix="0" xfId="0">
      <alignment horizontal="center" vertical="center"/>
    </xf>
    <xf numFmtId="169" fontId="45" fillId="24" borderId="16" applyAlignment="1" pivotButton="0" quotePrefix="0" xfId="0">
      <alignment horizontal="center" vertical="center"/>
    </xf>
    <xf numFmtId="9" fontId="43" fillId="23" borderId="15" applyAlignment="1" pivotButton="0" quotePrefix="0" xfId="0">
      <alignment horizontal="right" vertical="center"/>
    </xf>
    <xf numFmtId="165" fontId="43" fillId="23" borderId="15" applyAlignment="1" pivotButton="0" quotePrefix="0" xfId="0">
      <alignment horizontal="right" vertical="center"/>
    </xf>
    <xf numFmtId="165" fontId="43" fillId="23" borderId="15" applyAlignment="1" pivotButton="0" quotePrefix="0" xfId="0">
      <alignment horizontal="center" vertical="center"/>
    </xf>
    <xf numFmtId="0" fontId="14" fillId="23" borderId="4" applyAlignment="1" pivotButton="0" quotePrefix="0" xfId="0">
      <alignment horizontal="general" vertical="bottom"/>
    </xf>
    <xf numFmtId="0" fontId="43" fillId="23" borderId="15" applyAlignment="1" pivotButton="0" quotePrefix="0" xfId="0">
      <alignment horizontal="center" vertical="center"/>
    </xf>
    <xf numFmtId="0" fontId="41" fillId="23" borderId="15" applyAlignment="1" pivotButton="0" quotePrefix="0" xfId="0">
      <alignment horizontal="general" vertical="bottom"/>
    </xf>
    <xf numFmtId="3" fontId="43" fillId="23" borderId="15" applyAlignment="1" pivotButton="0" quotePrefix="0" xfId="0">
      <alignment horizontal="center" vertical="center"/>
    </xf>
    <xf numFmtId="164" fontId="18" fillId="23" borderId="1" applyAlignment="1" pivotButton="0" quotePrefix="0" xfId="0">
      <alignment horizontal="center" vertical="center"/>
    </xf>
    <xf numFmtId="0" fontId="33" fillId="23" borderId="1" applyAlignment="1" pivotButton="0" quotePrefix="0" xfId="0">
      <alignment horizontal="left" vertical="center"/>
    </xf>
    <xf numFmtId="49" fontId="33" fillId="23" borderId="1" applyAlignment="1" pivotButton="0" quotePrefix="0" xfId="0">
      <alignment horizontal="center" vertical="center"/>
    </xf>
    <xf numFmtId="0" fontId="44" fillId="25" borderId="0" applyAlignment="1" pivotButton="0" quotePrefix="0" xfId="0">
      <alignment horizontal="general" vertical="bottom"/>
    </xf>
    <xf numFmtId="0" fontId="10" fillId="23" borderId="15" applyAlignment="1" applyProtection="1" pivotButton="0" quotePrefix="0" xfId="0">
      <alignment horizontal="general" vertical="bottom"/>
      <protection locked="0" hidden="0"/>
    </xf>
    <xf numFmtId="0" fontId="29" fillId="23" borderId="15" applyAlignment="1" applyProtection="1" pivotButton="0" quotePrefix="0" xfId="0">
      <alignment horizontal="general" vertical="bottom"/>
      <protection locked="0" hidden="0"/>
    </xf>
    <xf numFmtId="0" fontId="9" fillId="23" borderId="15" applyAlignment="1" applyProtection="1" pivotButton="0" quotePrefix="0" xfId="0">
      <alignment horizontal="general" vertical="bottom"/>
      <protection locked="0" hidden="0"/>
    </xf>
    <xf numFmtId="0" fontId="10" fillId="24" borderId="15" applyAlignment="1" applyProtection="1" pivotButton="0" quotePrefix="0" xfId="0">
      <alignment horizontal="general" vertical="bottom"/>
      <protection locked="0" hidden="0"/>
    </xf>
    <xf numFmtId="0" fontId="29" fillId="24" borderId="15" applyAlignment="1" applyProtection="1" pivotButton="0" quotePrefix="0" xfId="0">
      <alignment horizontal="general" vertical="bottom"/>
      <protection locked="0" hidden="0"/>
    </xf>
    <xf numFmtId="0" fontId="9" fillId="24" borderId="15" applyAlignment="1" applyProtection="1" pivotButton="0" quotePrefix="0" xfId="0">
      <alignment horizontal="general" vertical="bottom"/>
      <protection locked="0" hidden="0"/>
    </xf>
    <xf numFmtId="0" fontId="4" fillId="23" borderId="2" applyAlignment="1" pivotButton="0" quotePrefix="0" xfId="0">
      <alignment horizontal="general" vertical="bottom"/>
    </xf>
    <xf numFmtId="0" fontId="4" fillId="23" borderId="3" applyAlignment="1" pivotButton="0" quotePrefix="0" xfId="0">
      <alignment horizontal="general" vertical="bottom"/>
    </xf>
    <xf numFmtId="0" fontId="4" fillId="23" borderId="15" applyAlignment="1" pivotButton="0" quotePrefix="0" xfId="0">
      <alignment horizontal="general" vertical="bottom"/>
    </xf>
    <xf numFmtId="0" fontId="4" fillId="24" borderId="15" applyAlignment="1" pivotButton="0" quotePrefix="0" xfId="0">
      <alignment horizontal="general" vertical="bottom"/>
    </xf>
    <xf numFmtId="168" fontId="45" fillId="24" borderId="16" applyAlignment="1" pivotButton="0" quotePrefix="0" xfId="0">
      <alignment horizontal="right" vertical="center"/>
    </xf>
    <xf numFmtId="0" fontId="10" fillId="23" borderId="15" applyAlignment="1" pivotButton="0" quotePrefix="0" xfId="0">
      <alignment horizontal="general" vertical="bottom"/>
    </xf>
    <xf numFmtId="0" fontId="29" fillId="23" borderId="15" applyAlignment="1" pivotButton="0" quotePrefix="0" xfId="0">
      <alignment horizontal="general" vertical="bottom"/>
    </xf>
    <xf numFmtId="167" fontId="8" fillId="23" borderId="15" applyAlignment="1" pivotButton="0" quotePrefix="0" xfId="0">
      <alignment horizontal="center" vertical="center"/>
    </xf>
    <xf numFmtId="0" fontId="9" fillId="23" borderId="15" applyAlignment="1" pivotButton="0" quotePrefix="0" xfId="0">
      <alignment horizontal="general" vertical="bottom"/>
    </xf>
    <xf numFmtId="0" fontId="10" fillId="24" borderId="15" applyAlignment="1" pivotButton="0" quotePrefix="0" xfId="0">
      <alignment horizontal="general" vertical="bottom"/>
    </xf>
    <xf numFmtId="0" fontId="29" fillId="24" borderId="15" applyAlignment="1" pivotButton="0" quotePrefix="0" xfId="0">
      <alignment horizontal="general" vertical="bottom"/>
    </xf>
    <xf numFmtId="3" fontId="8" fillId="24" borderId="15" applyAlignment="1" pivotButton="0" quotePrefix="0" xfId="0">
      <alignment horizontal="center" vertical="center"/>
    </xf>
    <xf numFmtId="167" fontId="8" fillId="24" borderId="15" applyAlignment="1" pivotButton="0" quotePrefix="0" xfId="0">
      <alignment horizontal="center" vertical="center"/>
    </xf>
    <xf numFmtId="0" fontId="9" fillId="24" borderId="15" applyAlignment="1" pivotButton="0" quotePrefix="0" xfId="0">
      <alignment horizontal="general" vertical="bottom"/>
    </xf>
    <xf numFmtId="0" fontId="6" fillId="23" borderId="1" applyAlignment="1" pivotButton="0" quotePrefix="0" xfId="0">
      <alignment horizontal="left" vertical="center"/>
    </xf>
    <xf numFmtId="169" fontId="43" fillId="24" borderId="15" applyAlignment="1" pivotButton="0" quotePrefix="0" xfId="0">
      <alignment horizontal="center" vertical="center"/>
    </xf>
    <xf numFmtId="0" fontId="4" fillId="23" borderId="4" applyAlignment="1" pivotButton="0" quotePrefix="0" xfId="0">
      <alignment horizontal="general" vertical="bottom"/>
    </xf>
    <xf numFmtId="0" fontId="0" fillId="0" borderId="19" applyProtection="1" pivotButton="0" quotePrefix="0" xfId="0">
      <protection locked="0" hidden="0"/>
    </xf>
    <xf numFmtId="0" fontId="0" fillId="0" borderId="20" pivotButton="0" quotePrefix="0" xfId="0"/>
    <xf numFmtId="0" fontId="0" fillId="0" borderId="19" pivotButton="0" quotePrefix="0" xfId="0"/>
    <xf numFmtId="9" fontId="43" fillId="24" borderId="15" applyAlignment="1" applyProtection="1" pivotButton="0" quotePrefix="0" xfId="0">
      <alignment horizontal="general" vertical="bottom"/>
      <protection locked="0" hidden="0"/>
    </xf>
    <xf numFmtId="9" fontId="43" fillId="24" borderId="15" applyAlignment="1" applyProtection="1" pivotButton="0" quotePrefix="0" xfId="0">
      <alignment horizontal="center" vertical="center"/>
      <protection locked="0" hidden="0"/>
    </xf>
    <xf numFmtId="0" fontId="48" fillId="25" borderId="15" applyAlignment="1" pivotButton="0" quotePrefix="0" xfId="0">
      <alignment horizontal="center"/>
    </xf>
    <xf numFmtId="0" fontId="49" fillId="22" borderId="16" applyAlignment="1" pivotButton="0" quotePrefix="0" xfId="0">
      <alignment horizontal="left" vertical="center"/>
    </xf>
    <xf numFmtId="168" fontId="49" fillId="22" borderId="16" applyAlignment="1" pivotButton="0" quotePrefix="0" xfId="0">
      <alignment horizontal="right" vertical="center"/>
    </xf>
    <xf numFmtId="0" fontId="48" fillId="25" borderId="1" applyAlignment="1" pivotButton="0" quotePrefix="0" xfId="0">
      <alignment horizontal="left" vertical="center"/>
    </xf>
    <xf numFmtId="0" fontId="48" fillId="25" borderId="1" applyAlignment="1" pivotButton="0" quotePrefix="0" xfId="0">
      <alignment horizontal="center" vertical="center"/>
    </xf>
    <xf numFmtId="0" fontId="50" fillId="24" borderId="16" applyAlignment="1" pivotButton="0" quotePrefix="0" xfId="0">
      <alignment horizontal="left" vertical="center"/>
    </xf>
    <xf numFmtId="168" fontId="50" fillId="24" borderId="16" applyAlignment="1" pivotButton="0" quotePrefix="0" xfId="0">
      <alignment horizontal="right" vertical="center"/>
    </xf>
    <xf numFmtId="0" fontId="51" fillId="2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00FFE0E0"/>
          <bgColor rgb="00FFE0E0"/>
        </patternFill>
      </fill>
    </dxf>
    <dxf>
      <fill>
        <patternFill patternType="solid">
          <fgColor rgb="00FFFFF0"/>
          <bgColor rgb="00FFFFF0"/>
        </patternFill>
      </fill>
    </dxf>
    <dxf>
      <fill>
        <patternFill patternType="solid">
          <fgColor rgb="00FFE8CC"/>
          <bgColor rgb="00FFE8CC"/>
        </patternFill>
      </fill>
    </dxf>
    <dxf>
      <fill>
        <patternFill patternType="solid">
          <fgColor rgb="00D5F5D5"/>
        </patternFill>
      </fill>
    </dxf>
    <dxf>
      <fill>
        <patternFill patternType="solid">
          <fgColor rgb="00FFF8DC"/>
        </patternFill>
      </fill>
    </dxf>
    <dxf>
      <fill>
        <patternFill patternType="solid">
          <fgColor rgb="00FFE8CC"/>
        </patternFill>
      </fill>
    </dxf>
    <dxf>
      <fill>
        <patternFill patternType="solid">
          <fgColor rgb="00FFD5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Quill Creative</author>
  </authors>
  <commentList>
    <comment ref="D55" authorId="0" shapeId="0">
      <text>
        <t>Mirrors E55 intentionally. Commission (payout) and CC fee are netted out separately in the profit analysis below.</t>
      </text>
    </comment>
  </commentList>
</comments>
</file>

<file path=xl/comments/comment2.xml><?xml version="1.0" encoding="utf-8"?>
<comments xmlns="http://schemas.openxmlformats.org/spreadsheetml/2006/main">
  <authors>
    <author>Quill Creative</author>
  </authors>
  <commentList>
    <comment ref="D55" authorId="0" shapeId="0">
      <text>
        <t>Mirrors E55 intentionally. Commission (payout) and CC fee are netted out separately in the profit analysis below.</t>
      </text>
    </comment>
  </commentList>
</comments>
</file>

<file path=xl/comments/comment3.xml><?xml version="1.0" encoding="utf-8"?>
<comments xmlns="http://schemas.openxmlformats.org/spreadsheetml/2006/main">
  <authors>
    <author>Quill Creative</author>
  </authors>
  <commentList>
    <comment ref="E82" authorId="0" shapeId="0">
      <text>
        <t>Mirrors F53 intentionally. Production fee is calculated on client-facing totals.</t>
      </text>
    </comment>
  </commentList>
</comments>
</file>

<file path=xl/comments/comment4.xml><?xml version="1.0" encoding="utf-8"?>
<comments xmlns="http://schemas.openxmlformats.org/spreadsheetml/2006/main">
  <authors>
    <author>Quill Creative</author>
  </authors>
  <commentList>
    <comment ref="E82" authorId="0" shapeId="0">
      <text>
        <t>Mirrors F53 intentionally. Production fee is calculated on client-facing totals.</t>
      </text>
    </comment>
  </commentList>
</comment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_rels/drawing5.xml.rels><Relationships xmlns="http://schemas.openxmlformats.org/package/2006/relationships"><Relationship Type="http://schemas.openxmlformats.org/officeDocument/2006/relationships/image" Target="/xl/media/image5.jpeg" Id="rId1" /></Relationships>
</file>

<file path=xl/drawings/_rels/drawing6.xml.rels><Relationships xmlns="http://schemas.openxmlformats.org/package/2006/relationships"><Relationship Type="http://schemas.openxmlformats.org/officeDocument/2006/relationships/image" Target="/xl/media/image6.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5.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6.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filterMode="0">
    <outlinePr summaryBelow="1" summaryRight="1"/>
    <pageSetUpPr fitToPage="1"/>
  </sheetPr>
  <dimension ref="A1:Z101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5" customWidth="1" style="89" min="2" max="2"/>
    <col width="15" customWidth="1" style="89" min="3" max="4"/>
    <col width="35" customWidth="1" style="90" min="4" max="4"/>
    <col width="12" customWidth="1" style="89" min="5" max="5"/>
    <col width="12" customWidth="1" style="89" min="6" max="7"/>
    <col width="12" customWidth="1" style="90" min="7" max="7"/>
    <col width="12" customWidth="1" style="89" min="8"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Client Setup — Complete Once Per Program</t>
        </is>
      </c>
      <c r="B2" s="92" t="n"/>
      <c r="C2" s="92" t="n"/>
      <c r="D2" s="92" t="n"/>
      <c r="E2" s="92" t="n"/>
      <c r="F2" s="92" t="n"/>
      <c r="G2" s="93" t="n"/>
      <c r="H2" s="252" t="n"/>
      <c r="I2" s="94" t="n"/>
      <c r="J2" s="94" t="n"/>
      <c r="K2" s="94"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94" t="n"/>
      <c r="J3" s="94" t="n"/>
      <c r="K3" s="94" t="n"/>
      <c r="L3" s="94" t="n"/>
      <c r="M3" s="94" t="n"/>
      <c r="N3" s="94" t="n"/>
      <c r="O3" s="94" t="n"/>
      <c r="P3" s="94" t="n"/>
      <c r="Q3" s="94" t="n"/>
      <c r="R3" s="94" t="n"/>
      <c r="S3" s="94" t="n"/>
      <c r="T3" s="94" t="n"/>
      <c r="U3" s="94" t="n"/>
      <c r="V3" s="94" t="n"/>
      <c r="W3" s="94" t="n"/>
      <c r="X3" s="94" t="n"/>
      <c r="Y3" s="94" t="n"/>
      <c r="Z3" s="94" t="n"/>
    </row>
    <row r="4" ht="27" customHeight="1" s="90">
      <c r="A4" s="254" t="inlineStr">
        <is>
          <t>EVENT DETAILS</t>
        </is>
      </c>
      <c r="B4" s="92" t="n"/>
      <c r="C4" s="92" t="n"/>
      <c r="D4" s="92" t="n"/>
      <c r="E4" s="92" t="n"/>
      <c r="F4" s="92" t="n"/>
      <c r="G4" s="93" t="n"/>
      <c r="H4" s="257" t="n"/>
      <c r="I4" s="94" t="n"/>
      <c r="J4" s="94" t="n"/>
      <c r="K4" s="94" t="n"/>
      <c r="L4" s="94" t="n"/>
      <c r="M4" s="94" t="n"/>
      <c r="N4" s="94" t="n"/>
      <c r="O4" s="94" t="n"/>
      <c r="P4" s="94" t="n"/>
      <c r="Q4" s="94" t="n"/>
      <c r="R4" s="94" t="n"/>
      <c r="S4" s="94" t="n"/>
      <c r="T4" s="94" t="n"/>
      <c r="U4" s="94" t="n"/>
      <c r="V4" s="94" t="n"/>
      <c r="W4" s="94" t="n"/>
      <c r="X4" s="94" t="n"/>
      <c r="Y4" s="94" t="n"/>
      <c r="Z4" s="94" t="n"/>
    </row>
    <row r="5" ht="20" customHeight="1" s="90">
      <c r="A5" s="258" t="inlineStr">
        <is>
          <t>Client Name:</t>
        </is>
      </c>
      <c r="B5" s="259" t="inlineStr">
        <is>
          <t>TEST CLIENT</t>
        </is>
      </c>
      <c r="C5" s="413" t="n"/>
      <c r="D5" s="261" t="n"/>
      <c r="E5" s="261" t="n"/>
      <c r="F5" s="261" t="n"/>
      <c r="G5" s="261" t="n"/>
      <c r="H5" s="262" t="n"/>
      <c r="I5" s="94" t="n"/>
      <c r="J5" s="94" t="n"/>
      <c r="K5" s="94" t="n"/>
      <c r="L5" s="94" t="n"/>
      <c r="M5" s="94" t="n"/>
      <c r="N5" s="94" t="n"/>
      <c r="O5" s="94" t="n"/>
      <c r="P5" s="94" t="n"/>
      <c r="Q5" s="94" t="n"/>
      <c r="R5" s="94" t="n"/>
      <c r="S5" s="94" t="n"/>
      <c r="T5" s="94" t="n"/>
      <c r="U5" s="94" t="n"/>
      <c r="V5" s="94" t="n"/>
      <c r="W5" s="94" t="n"/>
      <c r="X5" s="94" t="n"/>
      <c r="Y5" s="94" t="n"/>
      <c r="Z5" s="94" t="n"/>
    </row>
    <row r="6" ht="20" customHeight="1" s="90">
      <c r="A6" s="258" t="inlineStr">
        <is>
          <t>Event Date:</t>
        </is>
      </c>
      <c r="B6" s="263" t="inlineStr">
        <is>
          <t>2026-06-15</t>
        </is>
      </c>
      <c r="C6" s="413" t="n"/>
      <c r="D6" s="261" t="n"/>
      <c r="E6" s="261" t="n"/>
      <c r="F6" s="261" t="n"/>
      <c r="G6" s="261" t="n"/>
      <c r="H6" s="262" t="n"/>
      <c r="I6" s="94" t="n"/>
      <c r="J6" s="94" t="n"/>
      <c r="K6" s="94" t="n"/>
      <c r="L6" s="94" t="n"/>
      <c r="M6" s="94" t="n"/>
      <c r="N6" s="94" t="n"/>
      <c r="O6" s="94" t="n"/>
      <c r="P6" s="94" t="n"/>
      <c r="Q6" s="94" t="n"/>
      <c r="R6" s="94" t="n"/>
      <c r="S6" s="94" t="n"/>
      <c r="T6" s="94" t="n"/>
      <c r="U6" s="94" t="n"/>
      <c r="V6" s="94" t="n"/>
      <c r="W6" s="94" t="n"/>
      <c r="X6" s="94" t="n"/>
      <c r="Y6" s="94" t="n"/>
      <c r="Z6" s="94" t="n"/>
    </row>
    <row r="7" ht="20" customHeight="1" s="90">
      <c r="A7" s="258" t="inlineStr">
        <is>
          <t>Guest Count:</t>
        </is>
      </c>
      <c r="B7" s="264" t="n">
        <v>100</v>
      </c>
      <c r="C7" s="413" t="n"/>
      <c r="D7" s="261" t="n"/>
      <c r="E7" s="261" t="n"/>
      <c r="F7" s="261" t="n"/>
      <c r="G7" s="261" t="n"/>
      <c r="H7" s="262" t="n"/>
      <c r="I7" s="94" t="n"/>
      <c r="J7" s="94" t="n"/>
      <c r="K7" s="94" t="n"/>
      <c r="L7" s="94" t="n"/>
      <c r="M7" s="94" t="n"/>
      <c r="N7" s="94" t="n"/>
      <c r="O7" s="94" t="n"/>
      <c r="P7" s="94" t="n"/>
      <c r="Q7" s="94" t="n"/>
      <c r="R7" s="94" t="n"/>
      <c r="S7" s="94" t="n"/>
      <c r="T7" s="94" t="n"/>
      <c r="U7" s="94" t="n"/>
      <c r="V7" s="94" t="n"/>
      <c r="W7" s="94" t="n"/>
      <c r="X7" s="94" t="n"/>
      <c r="Y7" s="94" t="n"/>
      <c r="Z7" s="94" t="n"/>
    </row>
    <row r="8" ht="20" customHeight="1" s="90">
      <c r="A8" s="258" t="inlineStr">
        <is>
          <t>Service Style:</t>
        </is>
      </c>
      <c r="B8" s="259" t="inlineStr">
        <is>
          <t>Plated</t>
        </is>
      </c>
      <c r="C8" s="413" t="n"/>
      <c r="D8" s="261" t="n"/>
      <c r="E8" s="261" t="n"/>
      <c r="F8" s="261" t="n"/>
      <c r="G8" s="261" t="n"/>
      <c r="H8" s="262" t="n"/>
      <c r="I8" s="94" t="n"/>
      <c r="J8" s="94" t="n"/>
      <c r="K8" s="94" t="n"/>
      <c r="L8" s="94" t="n"/>
      <c r="M8" s="94" t="n"/>
      <c r="N8" s="94" t="n"/>
      <c r="O8" s="94" t="n"/>
      <c r="P8" s="94" t="n"/>
      <c r="Q8" s="94" t="n"/>
      <c r="R8" s="94" t="n"/>
      <c r="S8" s="94" t="n"/>
      <c r="T8" s="94" t="n"/>
      <c r="U8" s="94" t="n"/>
      <c r="V8" s="94" t="n"/>
      <c r="W8" s="94" t="n"/>
      <c r="X8" s="94" t="n"/>
      <c r="Y8" s="94" t="n"/>
      <c r="Z8" s="94" t="n"/>
    </row>
    <row r="9" ht="20" customHeight="1" s="90">
      <c r="A9" s="258" t="inlineStr">
        <is>
          <t>Alcohol:</t>
        </is>
      </c>
      <c r="B9" s="259" t="inlineStr">
        <is>
          <t>Full Bar</t>
        </is>
      </c>
      <c r="C9" s="413" t="n"/>
      <c r="D9" s="261" t="n"/>
      <c r="E9" s="261" t="n"/>
      <c r="F9" s="261" t="n"/>
      <c r="G9" s="261" t="n"/>
      <c r="H9" s="262" t="n"/>
      <c r="I9" s="94" t="n"/>
      <c r="J9" s="94" t="n"/>
      <c r="K9" s="94" t="n"/>
      <c r="L9" s="94" t="n"/>
      <c r="M9" s="94" t="n"/>
      <c r="N9" s="94" t="n"/>
      <c r="O9" s="94" t="n"/>
      <c r="P9" s="94" t="n"/>
      <c r="Q9" s="94" t="n"/>
      <c r="R9" s="94" t="n"/>
      <c r="S9" s="94" t="n"/>
      <c r="T9" s="94" t="n"/>
      <c r="U9" s="94" t="n"/>
      <c r="V9" s="94" t="n"/>
      <c r="W9" s="94" t="n"/>
      <c r="X9" s="94" t="n"/>
      <c r="Y9" s="94" t="n"/>
      <c r="Z9" s="94" t="n"/>
    </row>
    <row r="10" ht="20" customHeight="1" s="90">
      <c r="A10" s="258" t="inlineStr">
        <is>
          <t>Event Time:</t>
        </is>
      </c>
      <c r="B10" s="265" t="inlineStr">
        <is>
          <t>6-10</t>
        </is>
      </c>
      <c r="C10" s="413" t="n"/>
      <c r="D10" s="261" t="n"/>
      <c r="E10" s="261" t="n"/>
      <c r="F10" s="261" t="n"/>
      <c r="G10" s="261" t="n"/>
      <c r="H10" s="262" t="n"/>
      <c r="I10" s="94" t="n"/>
      <c r="J10" s="94" t="n"/>
      <c r="K10" s="94" t="n"/>
      <c r="L10" s="94" t="n"/>
      <c r="M10" s="94" t="n"/>
      <c r="N10" s="94" t="n"/>
      <c r="O10" s="94" t="n"/>
      <c r="P10" s="94" t="n"/>
      <c r="Q10" s="94" t="n"/>
      <c r="R10" s="94" t="n"/>
      <c r="S10" s="94" t="n"/>
      <c r="T10" s="94" t="n"/>
      <c r="U10" s="94" t="n"/>
      <c r="V10" s="94" t="n"/>
      <c r="W10" s="94" t="n"/>
      <c r="X10" s="94" t="n"/>
      <c r="Y10" s="94" t="n"/>
      <c r="Z10" s="94" t="n"/>
    </row>
    <row r="11" ht="20" customHeight="1" s="90">
      <c r="A11" s="266" t="inlineStr">
        <is>
          <t>Company Name:</t>
        </is>
      </c>
      <c r="B11" s="259" t="inlineStr">
        <is>
          <t>Acme Corp</t>
        </is>
      </c>
      <c r="C11" s="413" t="n"/>
      <c r="D11" s="267" t="n"/>
      <c r="E11" s="267" t="n"/>
      <c r="F11" s="267" t="n"/>
      <c r="G11" s="267" t="n"/>
      <c r="H11" s="268" t="n"/>
    </row>
    <row r="12" ht="20" customHeight="1" s="90">
      <c r="A12" s="266" t="inlineStr">
        <is>
          <t>Program Name:</t>
        </is>
      </c>
      <c r="B12" s="259" t="inlineStr">
        <is>
          <t>Summer Gala 2026</t>
        </is>
      </c>
      <c r="C12" s="413" t="n"/>
      <c r="D12" s="267" t="n"/>
      <c r="E12" s="267" t="n"/>
      <c r="F12" s="267" t="n"/>
      <c r="G12" s="267" t="n"/>
      <c r="H12" s="268" t="n"/>
    </row>
    <row r="13" ht="20" customHeight="1" s="90">
      <c r="A13" s="266" t="inlineStr">
        <is>
          <t>Client Hotel:</t>
        </is>
      </c>
      <c r="B13" s="259" t="inlineStr">
        <is>
          <t>The Watergate Hotel</t>
        </is>
      </c>
      <c r="C13" s="413" t="n"/>
      <c r="D13" s="267" t="n"/>
      <c r="E13" s="267" t="n"/>
      <c r="F13" s="267" t="n"/>
      <c r="G13" s="267" t="n"/>
      <c r="H13" s="268" t="n"/>
    </row>
    <row r="14" ht="25.5" customHeight="1" s="90">
      <c r="A14" s="253" t="n"/>
      <c r="B14" s="253" t="n"/>
      <c r="C14" s="253" t="n"/>
      <c r="D14" s="253" t="n"/>
      <c r="E14" s="253" t="n"/>
      <c r="F14" s="253" t="n"/>
      <c r="G14" s="253" t="n"/>
      <c r="H14" s="253" t="n"/>
      <c r="I14" s="94" t="n"/>
      <c r="J14" s="94" t="n"/>
      <c r="K14" s="94" t="n"/>
      <c r="L14" s="94" t="n"/>
      <c r="M14" s="94" t="n"/>
      <c r="N14" s="94" t="n"/>
      <c r="O14" s="94" t="n"/>
      <c r="P14" s="94" t="n"/>
      <c r="Q14" s="94" t="n"/>
      <c r="R14" s="94" t="n"/>
      <c r="S14" s="94" t="n"/>
      <c r="T14" s="94" t="n"/>
      <c r="U14" s="94" t="n"/>
      <c r="V14" s="94" t="n"/>
      <c r="W14" s="94" t="n"/>
      <c r="X14" s="94" t="n"/>
      <c r="Y14" s="94" t="n"/>
      <c r="Z14" s="94" t="n"/>
    </row>
    <row r="15" ht="27" customHeight="1" s="90">
      <c r="A15" s="254" t="inlineStr">
        <is>
          <t>LOCATION &amp; TAX RATES</t>
        </is>
      </c>
      <c r="B15" s="269" t="n"/>
      <c r="C15" s="269" t="n"/>
      <c r="D15" s="269" t="n"/>
      <c r="E15" s="269" t="n"/>
      <c r="F15" s="269" t="n"/>
      <c r="G15" s="269" t="n"/>
      <c r="H15" s="257" t="n"/>
      <c r="I15" s="94" t="n"/>
      <c r="J15" s="94" t="n"/>
      <c r="K15" s="94" t="n"/>
      <c r="L15" s="94" t="n"/>
      <c r="M15" s="94" t="n"/>
      <c r="N15" s="94" t="n"/>
      <c r="O15" s="94" t="n"/>
      <c r="P15" s="94" t="n"/>
      <c r="Q15" s="94" t="n"/>
      <c r="R15" s="94" t="n"/>
      <c r="S15" s="94" t="n"/>
      <c r="T15" s="94" t="n"/>
      <c r="U15" s="94" t="n"/>
      <c r="V15" s="94" t="n"/>
      <c r="W15" s="94" t="n"/>
      <c r="X15" s="94" t="n"/>
      <c r="Y15" s="94" t="n"/>
      <c r="Z15" s="94" t="n"/>
    </row>
    <row r="16" ht="20" customHeight="1" s="90">
      <c r="A16" s="258" t="inlineStr">
        <is>
          <t>State / Location:</t>
        </is>
      </c>
      <c r="B16" s="270" t="inlineStr">
        <is>
          <t>DC</t>
        </is>
      </c>
      <c r="C16" s="268" t="n"/>
      <c r="D16" s="261" t="inlineStr">
        <is>
          <t>Tax rates auto-populate from location</t>
        </is>
      </c>
      <c r="E16" s="268" t="n"/>
      <c r="F16" s="268" t="n"/>
      <c r="G16" s="268" t="n"/>
      <c r="H16" s="262" t="n"/>
      <c r="I16" s="94" t="n"/>
      <c r="J16" s="94" t="n"/>
      <c r="K16" s="94" t="n"/>
      <c r="L16" s="94" t="n"/>
      <c r="M16" s="94" t="n"/>
      <c r="N16" s="94" t="n"/>
      <c r="O16" s="94" t="n"/>
      <c r="P16" s="94" t="n"/>
      <c r="Q16" s="94" t="n"/>
      <c r="R16" s="94" t="n"/>
      <c r="S16" s="94" t="n"/>
      <c r="T16" s="94" t="n"/>
      <c r="U16" s="94" t="n"/>
      <c r="V16" s="94" t="n"/>
      <c r="W16" s="94" t="n"/>
      <c r="X16" s="94" t="n"/>
      <c r="Y16" s="94" t="n"/>
      <c r="Z16" s="94" t="n"/>
    </row>
    <row r="17" ht="20" customHeight="1" s="90">
      <c r="A17" s="258" t="inlineStr">
        <is>
          <t>Food Tax Rate:</t>
        </is>
      </c>
      <c r="B17" s="271">
        <f>IF(B16="","",VLOOKUP(B16,$A$75:$D$96,2,FALSE()))</f>
        <v/>
      </c>
      <c r="C17" s="261" t="n"/>
      <c r="D17" s="261" t="inlineStr">
        <is>
          <t>Tax on food &amp; NA beverages</t>
        </is>
      </c>
      <c r="E17" s="268" t="n"/>
      <c r="F17" s="268" t="n"/>
      <c r="G17" s="268" t="n"/>
      <c r="H17" s="262" t="n"/>
      <c r="I17" s="94" t="n"/>
      <c r="J17" s="94" t="n"/>
      <c r="K17" s="94" t="n"/>
      <c r="L17" s="94" t="n"/>
      <c r="M17" s="94" t="n"/>
      <c r="N17" s="94" t="n"/>
      <c r="O17" s="94" t="n"/>
      <c r="P17" s="94" t="n"/>
      <c r="Q17" s="94" t="n"/>
      <c r="R17" s="94" t="n"/>
      <c r="S17" s="94" t="n"/>
      <c r="T17" s="94" t="n"/>
      <c r="U17" s="94" t="n"/>
      <c r="V17" s="94" t="n"/>
      <c r="W17" s="94" t="n"/>
      <c r="X17" s="94" t="n"/>
      <c r="Y17" s="94" t="n"/>
      <c r="Z17" s="94" t="n"/>
    </row>
    <row r="18" ht="20" customHeight="1" s="90">
      <c r="A18" s="258" t="inlineStr">
        <is>
          <t>Alcohol Tax Rate:</t>
        </is>
      </c>
      <c r="B18" s="271">
        <f>IF(B16="","",VLOOKUP(B16,$A$75:$D$96,3,FALSE()))</f>
        <v/>
      </c>
      <c r="C18" s="261" t="n"/>
      <c r="D18" s="261" t="inlineStr">
        <is>
          <t>Tax on bar/alcohol</t>
        </is>
      </c>
      <c r="E18" s="268" t="n"/>
      <c r="F18" s="268" t="n"/>
      <c r="G18" s="268" t="n"/>
      <c r="H18" s="262" t="n"/>
      <c r="I18" s="94" t="n"/>
      <c r="J18" s="94" t="n"/>
      <c r="K18" s="94" t="n"/>
      <c r="L18" s="94" t="n"/>
      <c r="M18" s="94" t="n"/>
      <c r="N18" s="94" t="n"/>
      <c r="O18" s="94" t="n"/>
      <c r="P18" s="94" t="n"/>
      <c r="Q18" s="94" t="n"/>
      <c r="R18" s="94" t="n"/>
      <c r="S18" s="94" t="n"/>
      <c r="T18" s="94" t="n"/>
      <c r="U18" s="94" t="n"/>
      <c r="V18" s="94" t="n"/>
      <c r="W18" s="94" t="n"/>
      <c r="X18" s="94" t="n"/>
      <c r="Y18" s="94" t="n"/>
      <c r="Z18" s="94" t="n"/>
    </row>
    <row r="19" ht="20" customHeight="1" s="90">
      <c r="A19" s="258" t="inlineStr">
        <is>
          <t>General Sales Tax Rate:</t>
        </is>
      </c>
      <c r="B19" s="271">
        <f>IF(B16="","",VLOOKUP(B16,$A$75:$D$96,4,FALSE()))</f>
        <v/>
      </c>
      <c r="C19" s="261" t="n"/>
      <c r="D19" s="261" t="inlineStr">
        <is>
          <t>Tax on equipment, rentals, staffing</t>
        </is>
      </c>
      <c r="E19" s="268" t="n"/>
      <c r="F19" s="268" t="n"/>
      <c r="G19" s="268" t="n"/>
      <c r="H19" s="262"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253" t="n"/>
      <c r="B20" s="253" t="n"/>
      <c r="C20" s="253" t="n"/>
      <c r="D20" s="253" t="n"/>
      <c r="E20" s="253" t="n"/>
      <c r="F20" s="253" t="n"/>
      <c r="G20" s="253" t="n"/>
      <c r="H20" s="253" t="n"/>
      <c r="I20" s="94" t="n"/>
      <c r="J20" s="94" t="n"/>
      <c r="K20" s="94" t="n"/>
      <c r="L20" s="94" t="n"/>
      <c r="M20" s="94" t="n"/>
      <c r="N20" s="94" t="n"/>
      <c r="O20" s="94" t="n"/>
      <c r="P20" s="94" t="n"/>
      <c r="Q20" s="94" t="n"/>
      <c r="R20" s="94" t="n"/>
      <c r="S20" s="94" t="n"/>
      <c r="T20" s="94" t="n"/>
      <c r="U20" s="94" t="n"/>
      <c r="V20" s="94" t="n"/>
      <c r="W20" s="94" t="n"/>
      <c r="X20" s="94" t="n"/>
      <c r="Y20" s="94" t="n"/>
      <c r="Z20" s="94" t="n"/>
    </row>
    <row r="21" ht="27" customHeight="1" s="90">
      <c r="A21" s="254" t="inlineStr">
        <is>
          <t>PRICING &amp; COMMISSION</t>
        </is>
      </c>
      <c r="B21" s="269" t="n"/>
      <c r="C21" s="269" t="n"/>
      <c r="D21" s="269" t="n"/>
      <c r="E21" s="269" t="n"/>
      <c r="F21" s="269" t="n"/>
      <c r="G21" s="269" t="n"/>
      <c r="H21" s="257" t="n"/>
      <c r="I21" s="94" t="n"/>
      <c r="J21" s="94" t="n"/>
      <c r="K21" s="94" t="n"/>
      <c r="L21" s="94" t="n"/>
      <c r="M21" s="94" t="n"/>
      <c r="N21" s="94" t="n"/>
      <c r="O21" s="94" t="n"/>
      <c r="P21" s="94" t="n"/>
      <c r="Q21" s="94" t="n"/>
      <c r="R21" s="94" t="n"/>
      <c r="S21" s="94" t="n"/>
      <c r="T21" s="94" t="n"/>
      <c r="U21" s="94" t="n"/>
      <c r="V21" s="94" t="n"/>
      <c r="W21" s="94" t="n"/>
      <c r="X21" s="94" t="n"/>
      <c r="Y21" s="94" t="n"/>
      <c r="Z21" s="94" t="n"/>
    </row>
    <row r="22" ht="23" customHeight="1" s="90">
      <c r="A22" s="272" t="inlineStr">
        <is>
          <t>Category</t>
        </is>
      </c>
      <c r="B22" s="273" t="inlineStr">
        <is>
          <t>Markup %</t>
        </is>
      </c>
      <c r="C22" s="274" t="inlineStr">
        <is>
          <t>Note</t>
        </is>
      </c>
      <c r="D22" s="272" t="n"/>
      <c r="E22" s="275" t="n"/>
      <c r="F22" s="275" t="n"/>
      <c r="G22" s="275" t="n"/>
      <c r="H22" s="276"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277" t="inlineStr">
        <is>
          <t>Catering &amp; F&amp;B</t>
        </is>
      </c>
      <c r="B23" s="278" t="n">
        <v>0.55</v>
      </c>
      <c r="C23" s="279" t="inlineStr">
        <is>
          <t>Floor — clients compare per-head pricing</t>
        </is>
      </c>
      <c r="D23" s="105" t="n"/>
      <c r="E23" s="105" t="n"/>
      <c r="F23" s="105" t="n"/>
      <c r="G23" s="105" t="n"/>
      <c r="H23" s="280" t="n"/>
    </row>
    <row r="24" ht="27.75" customHeight="1" s="90">
      <c r="A24" s="281" t="inlineStr">
        <is>
          <t>Venues &amp; Room Rentals</t>
        </is>
      </c>
      <c r="B24" s="282" t="n">
        <v>0.6</v>
      </c>
      <c r="C24" s="283" t="inlineStr">
        <is>
          <t>Full venue relationship management</t>
        </is>
      </c>
      <c r="D24" s="105" t="n"/>
      <c r="E24" s="105" t="n"/>
      <c r="F24" s="105" t="n"/>
      <c r="G24" s="105" t="n"/>
      <c r="H24" s="280" t="n"/>
    </row>
    <row r="25" ht="25.5" customHeight="1" s="90">
      <c r="A25" s="277" t="inlineStr">
        <is>
          <t>AV &amp; Production</t>
        </is>
      </c>
      <c r="B25" s="278" t="n">
        <v>0.65</v>
      </c>
      <c r="C25" s="279" t="inlineStr">
        <is>
          <t>Technical coordination, hard to price-shop</t>
        </is>
      </c>
      <c r="D25" s="105" t="n"/>
      <c r="E25" s="105" t="n"/>
      <c r="F25" s="105" t="n"/>
      <c r="G25" s="105" t="n"/>
      <c r="H25" s="280" t="n"/>
    </row>
    <row r="26" ht="25.5" customHeight="1" s="90">
      <c r="A26" s="281" t="inlineStr">
        <is>
          <t>Décor &amp; Design</t>
        </is>
      </c>
      <c r="B26" s="282" t="n">
        <v>0.85</v>
      </c>
      <c r="C26" s="283" t="inlineStr">
        <is>
          <t>Custom creative — no comparison exists</t>
        </is>
      </c>
      <c r="D26" s="105" t="n"/>
      <c r="E26" s="105" t="n"/>
      <c r="F26" s="105" t="n"/>
      <c r="G26" s="105" t="n"/>
      <c r="H26" s="280" t="n"/>
    </row>
    <row r="27" ht="25.5" customHeight="1" s="90">
      <c r="A27" s="277" t="inlineStr">
        <is>
          <t>Entertainment</t>
        </is>
      </c>
      <c r="B27" s="278" t="n">
        <v>0.75</v>
      </c>
      <c r="C27" s="279" t="inlineStr">
        <is>
          <t>Talent sourcing, contracts, riders</t>
        </is>
      </c>
      <c r="D27" s="105" t="n"/>
      <c r="E27" s="105" t="n"/>
      <c r="F27" s="105" t="n"/>
      <c r="G27" s="105" t="n"/>
      <c r="H27" s="280" t="n"/>
    </row>
    <row r="28" ht="6" customHeight="1" s="90">
      <c r="A28" s="281" t="inlineStr">
        <is>
          <t>Activities &amp; Experiences</t>
        </is>
      </c>
      <c r="B28" s="282" t="n">
        <v>0.75</v>
      </c>
      <c r="C28" s="283" t="inlineStr">
        <is>
          <t>Curation, coordination, permitting</t>
        </is>
      </c>
      <c r="D28" s="105" t="n"/>
      <c r="E28" s="105" t="n"/>
      <c r="F28" s="105" t="n"/>
      <c r="G28" s="105" t="n"/>
      <c r="H28" s="280" t="n"/>
    </row>
    <row r="29" ht="27.75" customHeight="1" s="90">
      <c r="A29" s="277" t="inlineStr">
        <is>
          <t>Transportation</t>
        </is>
      </c>
      <c r="B29" s="278" t="n">
        <v>0.75</v>
      </c>
      <c r="C29" s="279" t="inlineStr">
        <is>
          <t>Route planning, high-liability</t>
        </is>
      </c>
      <c r="D29" s="105" t="n"/>
      <c r="E29" s="105" t="n"/>
      <c r="F29" s="105" t="n"/>
      <c r="G29" s="105" t="n"/>
      <c r="H29" s="280" t="n"/>
    </row>
    <row r="30" ht="24" customHeight="1" s="90">
      <c r="A30" s="281" t="inlineStr">
        <is>
          <t>Staffing &amp; Labor</t>
        </is>
      </c>
      <c r="B30" s="282" t="n">
        <v>0.9</v>
      </c>
      <c r="C30" s="283" t="inlineStr">
        <is>
          <t>Recruitment, scheduling, management</t>
        </is>
      </c>
      <c r="D30" s="105" t="n"/>
      <c r="E30" s="105" t="n"/>
      <c r="F30" s="105" t="n"/>
      <c r="G30" s="105" t="n"/>
      <c r="H30" s="280" t="n"/>
    </row>
    <row r="31" ht="24" customHeight="1" s="90">
      <c r="A31" s="277" t="inlineStr">
        <is>
          <t>Purchased / Sourced Items</t>
        </is>
      </c>
      <c r="B31" s="278" t="n">
        <v>2</v>
      </c>
      <c r="C31" s="279" t="inlineStr">
        <is>
          <t>Small items, disproportionate time (3×)</t>
        </is>
      </c>
      <c r="D31" s="105" t="n"/>
      <c r="E31" s="105" t="n"/>
      <c r="F31" s="105" t="n"/>
      <c r="G31" s="105" t="n"/>
      <c r="H31" s="280" t="n"/>
    </row>
    <row r="32" ht="24" customHeight="1" s="90">
      <c r="A32" s="281" t="inlineStr">
        <is>
          <t>Delivery &amp; Logistics</t>
        </is>
      </c>
      <c r="B32" s="282" t="n">
        <v>0.85</v>
      </c>
      <c r="C32" s="283" t="inlineStr">
        <is>
          <t>Timing risk, damage liability</t>
        </is>
      </c>
      <c r="D32" s="105" t="n"/>
      <c r="E32" s="105" t="n"/>
      <c r="F32" s="105" t="n"/>
      <c r="G32" s="105" t="n"/>
      <c r="H32" s="280" t="n"/>
    </row>
    <row r="33" ht="24" customHeight="1" s="90">
      <c r="A33" s="277" t="inlineStr">
        <is>
          <t>Tours &amp; Guided Experiences</t>
        </is>
      </c>
      <c r="B33" s="278" t="n">
        <v>0.65</v>
      </c>
      <c r="C33" s="279" t="inlineStr">
        <is>
          <t>Guide sourcing, route design</t>
        </is>
      </c>
      <c r="D33" s="105" t="n"/>
      <c r="E33" s="105" t="n"/>
      <c r="F33" s="105" t="n"/>
      <c r="G33" s="105" t="n"/>
      <c r="H33" s="280" t="n"/>
    </row>
    <row r="34" ht="18" customHeight="1" s="90">
      <c r="A34" s="284" t="inlineStr">
        <is>
          <t>Absolute Floor: 54%</t>
        </is>
      </c>
      <c r="B34" s="118" t="n"/>
      <c r="C34" s="119" t="inlineStr">
        <is>
          <t>No exceptions without owner approval</t>
        </is>
      </c>
      <c r="D34" s="118" t="n"/>
      <c r="E34" s="118" t="n"/>
      <c r="F34" s="118" t="n"/>
      <c r="G34" s="118" t="n"/>
      <c r="H34" s="280" t="n"/>
    </row>
    <row r="35" ht="20" customHeight="1" s="90">
      <c r="A35" s="285" t="inlineStr">
        <is>
          <t>CC Processing Fee %:</t>
        </is>
      </c>
      <c r="B35" s="286" t="n">
        <v>0.035</v>
      </c>
      <c r="C35" s="294" t="inlineStr">
        <is>
          <t>Applied to subtotal</t>
        </is>
      </c>
      <c r="D35" s="288" t="n"/>
      <c r="E35" s="414" t="n"/>
      <c r="F35" s="414" t="n"/>
      <c r="G35" s="415" t="n"/>
      <c r="H35" s="262" t="n"/>
      <c r="I35" s="94" t="n"/>
      <c r="J35" s="94" t="n"/>
      <c r="K35" s="94" t="n"/>
      <c r="L35" s="94" t="n"/>
      <c r="M35" s="94" t="n"/>
      <c r="N35" s="94" t="n"/>
      <c r="O35" s="94" t="n"/>
      <c r="P35" s="94" t="n"/>
      <c r="Q35" s="94" t="n"/>
      <c r="R35" s="94" t="n"/>
      <c r="S35" s="94" t="n"/>
      <c r="T35" s="94" t="n"/>
      <c r="U35" s="94" t="n"/>
      <c r="V35" s="94" t="n"/>
      <c r="W35" s="94" t="n"/>
      <c r="X35" s="94" t="n"/>
      <c r="Y35" s="94" t="n"/>
      <c r="Z35" s="94" t="n"/>
    </row>
    <row r="36" ht="20" customHeight="1" s="90">
      <c r="A36" s="285" t="inlineStr">
        <is>
          <t>Client Commission %:</t>
        </is>
      </c>
      <c r="B36" s="416" t="n">
        <v>0</v>
      </c>
      <c r="C36" s="294" t="inlineStr">
        <is>
          <t>Select commission rate (if applicable)</t>
        </is>
      </c>
      <c r="D36" s="288" t="n"/>
      <c r="E36" s="414" t="n"/>
      <c r="F36" s="414" t="n"/>
      <c r="G36" s="415" t="n"/>
      <c r="H36" s="262" t="n"/>
      <c r="I36" s="94" t="n"/>
      <c r="J36" s="94" t="n"/>
      <c r="K36" s="94" t="n"/>
      <c r="L36" s="94" t="n"/>
      <c r="M36" s="94" t="n"/>
      <c r="N36" s="94" t="n"/>
      <c r="O36" s="94" t="n"/>
      <c r="P36" s="94" t="n"/>
      <c r="Q36" s="94" t="n"/>
      <c r="R36" s="94" t="n"/>
      <c r="S36" s="94" t="n"/>
      <c r="T36" s="94" t="n"/>
      <c r="U36" s="94" t="n"/>
      <c r="V36" s="94" t="n"/>
      <c r="W36" s="94" t="n"/>
      <c r="X36" s="94" t="n"/>
      <c r="Y36" s="94" t="n"/>
      <c r="Z36" s="94" t="n"/>
    </row>
    <row r="37" ht="20" customHeight="1" s="90">
      <c r="A37" s="285" t="inlineStr">
        <is>
          <t>GDP Commission (6.5%):</t>
        </is>
      </c>
      <c r="B37" s="291" t="inlineStr">
        <is>
          <t>Yes</t>
        </is>
      </c>
      <c r="C37" s="259" t="inlineStr">
        <is>
          <t>Yes = 6.5% applied</t>
        </is>
      </c>
      <c r="D37" s="288" t="n"/>
      <c r="E37" s="414" t="n"/>
      <c r="F37" s="414" t="n"/>
      <c r="G37" s="415" t="n"/>
      <c r="H37" s="262"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253" t="n"/>
      <c r="B38" s="253" t="n"/>
      <c r="C38" s="253" t="n"/>
      <c r="D38" s="253" t="n"/>
      <c r="E38" s="253" t="n"/>
      <c r="F38" s="253" t="n"/>
      <c r="G38" s="253" t="n"/>
      <c r="H38" s="253" t="n"/>
      <c r="I38" s="94" t="n"/>
      <c r="J38" s="94" t="n"/>
      <c r="K38" s="94" t="n"/>
      <c r="L38" s="94" t="n"/>
      <c r="M38" s="94" t="n"/>
      <c r="N38" s="94" t="n"/>
      <c r="O38" s="94" t="n"/>
      <c r="P38" s="94" t="n"/>
      <c r="Q38" s="94" t="n"/>
      <c r="R38" s="94" t="n"/>
      <c r="S38" s="94" t="n"/>
      <c r="T38" s="94" t="n"/>
      <c r="U38" s="94" t="n"/>
      <c r="V38" s="94" t="n"/>
      <c r="W38" s="94" t="n"/>
      <c r="X38" s="94" t="n"/>
      <c r="Y38" s="94" t="n"/>
      <c r="Z38" s="94" t="n"/>
    </row>
    <row r="39" ht="27" customHeight="1" s="90">
      <c r="A39" s="254" t="inlineStr">
        <is>
          <t>RESTAURANT FEE DEFAULTS (can be overridden per venue)</t>
        </is>
      </c>
      <c r="B39" s="92" t="n"/>
      <c r="C39" s="92" t="n"/>
      <c r="D39" s="92" t="n"/>
      <c r="E39" s="92" t="n"/>
      <c r="F39" s="92" t="n"/>
      <c r="G39" s="93" t="n"/>
      <c r="H39" s="257" t="n"/>
      <c r="I39" s="94" t="n"/>
      <c r="J39" s="94" t="n"/>
      <c r="K39" s="94" t="n"/>
      <c r="L39" s="94" t="n"/>
      <c r="M39" s="94" t="n"/>
      <c r="N39" s="94" t="n"/>
      <c r="O39" s="94" t="n"/>
      <c r="P39" s="94" t="n"/>
      <c r="Q39" s="94" t="n"/>
      <c r="R39" s="94" t="n"/>
      <c r="S39" s="94" t="n"/>
      <c r="T39" s="94" t="n"/>
      <c r="U39" s="94" t="n"/>
      <c r="V39" s="94" t="n"/>
      <c r="W39" s="94" t="n"/>
      <c r="X39" s="94" t="n"/>
      <c r="Y39" s="94" t="n"/>
      <c r="Z39" s="94" t="n"/>
    </row>
    <row r="40" ht="20" customHeight="1" s="90">
      <c r="A40" s="285" t="inlineStr">
        <is>
          <t>Service Charge:</t>
        </is>
      </c>
      <c r="B40" s="291" t="inlineStr">
        <is>
          <t>20%</t>
        </is>
      </c>
      <c r="C40" s="294" t="inlineStr">
        <is>
          <t>20%, 21.5%, or None</t>
        </is>
      </c>
      <c r="D40" s="288" t="n"/>
      <c r="E40" s="414" t="n"/>
      <c r="F40" s="414" t="n"/>
      <c r="G40" s="415" t="n"/>
      <c r="H40" s="262" t="n"/>
      <c r="I40" s="94" t="n"/>
      <c r="J40" s="94" t="n"/>
      <c r="K40" s="94" t="n"/>
      <c r="L40" s="94" t="n"/>
      <c r="M40" s="94" t="n"/>
      <c r="N40" s="94" t="n"/>
      <c r="O40" s="94" t="n"/>
      <c r="P40" s="94" t="n"/>
      <c r="Q40" s="94" t="n"/>
      <c r="R40" s="94" t="n"/>
      <c r="S40" s="94" t="n"/>
      <c r="T40" s="94" t="n"/>
      <c r="U40" s="94" t="n"/>
      <c r="V40" s="94" t="n"/>
      <c r="W40" s="94" t="n"/>
      <c r="X40" s="94" t="n"/>
      <c r="Y40" s="94" t="n"/>
      <c r="Z40" s="94" t="n"/>
    </row>
    <row r="41" ht="20" customHeight="1" s="90">
      <c r="A41" s="285" t="inlineStr">
        <is>
          <t>Gratuity:</t>
        </is>
      </c>
      <c r="B41" s="291" t="inlineStr">
        <is>
          <t>20%</t>
        </is>
      </c>
      <c r="C41" s="294" t="inlineStr">
        <is>
          <t>20% or None</t>
        </is>
      </c>
      <c r="D41" s="288" t="n"/>
      <c r="E41" s="414" t="n"/>
      <c r="F41" s="414" t="n"/>
      <c r="G41" s="415" t="n"/>
      <c r="H41" s="262" t="n"/>
      <c r="I41" s="94" t="n"/>
      <c r="J41" s="94" t="n"/>
      <c r="K41" s="94" t="n"/>
      <c r="L41" s="94" t="n"/>
      <c r="M41" s="94" t="n"/>
      <c r="N41" s="94" t="n"/>
      <c r="O41" s="94" t="n"/>
      <c r="P41" s="94" t="n"/>
      <c r="Q41" s="94" t="n"/>
      <c r="R41" s="94" t="n"/>
      <c r="S41" s="94" t="n"/>
      <c r="T41" s="94" t="n"/>
      <c r="U41" s="94" t="n"/>
      <c r="V41" s="94" t="n"/>
      <c r="W41" s="94" t="n"/>
      <c r="X41" s="94" t="n"/>
      <c r="Y41" s="94" t="n"/>
      <c r="Z41" s="94" t="n"/>
    </row>
    <row r="42" ht="20" customHeight="1" s="90">
      <c r="A42" s="285" t="inlineStr">
        <is>
          <t>Admin Fee:</t>
        </is>
      </c>
      <c r="B42" s="291" t="inlineStr">
        <is>
          <t>5%</t>
        </is>
      </c>
      <c r="C42" s="294" t="inlineStr">
        <is>
          <t>5% or None</t>
        </is>
      </c>
      <c r="D42" s="288" t="n"/>
      <c r="E42" s="414" t="n"/>
      <c r="F42" s="414" t="n"/>
      <c r="G42" s="415" t="n"/>
      <c r="H42" s="262"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253" t="n"/>
      <c r="B43" s="253" t="n"/>
      <c r="C43" s="253" t="n"/>
      <c r="D43" s="253" t="n"/>
      <c r="E43" s="253" t="n"/>
      <c r="F43" s="253" t="n"/>
      <c r="G43" s="253" t="n"/>
      <c r="H43" s="253" t="n"/>
      <c r="I43" s="94" t="n"/>
      <c r="J43" s="94" t="n"/>
      <c r="K43" s="94" t="n"/>
      <c r="L43" s="94" t="n"/>
      <c r="M43" s="94" t="n"/>
      <c r="N43" s="94" t="n"/>
      <c r="O43" s="94" t="n"/>
      <c r="P43" s="94" t="n"/>
      <c r="Q43" s="94" t="n"/>
      <c r="R43" s="94" t="n"/>
      <c r="S43" s="94" t="n"/>
      <c r="T43" s="94" t="n"/>
      <c r="U43" s="94" t="n"/>
      <c r="V43" s="94" t="n"/>
      <c r="W43" s="94" t="n"/>
      <c r="X43" s="94" t="n"/>
      <c r="Y43" s="94" t="n"/>
      <c r="Z43" s="94" t="n"/>
    </row>
    <row r="44" ht="27" customHeight="1" s="90">
      <c r="A44" s="254" t="inlineStr">
        <is>
          <t>HOW TO USE</t>
        </is>
      </c>
      <c r="B44" s="92" t="n"/>
      <c r="C44" s="92" t="n"/>
      <c r="D44" s="92" t="n"/>
      <c r="E44" s="92" t="n"/>
      <c r="F44" s="92" t="n"/>
      <c r="G44" s="93" t="n"/>
      <c r="H44" s="257" t="n"/>
      <c r="I44" s="94" t="n"/>
      <c r="J44" s="94" t="n"/>
      <c r="K44" s="94" t="n"/>
      <c r="L44" s="94" t="n"/>
      <c r="M44" s="94" t="n"/>
      <c r="N44" s="94" t="n"/>
      <c r="O44" s="94" t="n"/>
      <c r="P44" s="94" t="n"/>
      <c r="Q44" s="94" t="n"/>
      <c r="R44" s="94" t="n"/>
      <c r="S44" s="94" t="n"/>
      <c r="T44" s="94" t="n"/>
      <c r="U44" s="94" t="n"/>
      <c r="V44" s="94" t="n"/>
      <c r="W44" s="94" t="n"/>
      <c r="X44" s="94" t="n"/>
      <c r="Y44" s="94" t="n"/>
      <c r="Z44" s="94" t="n"/>
    </row>
    <row r="45" ht="18" customHeight="1" s="90">
      <c r="A45" s="295" t="inlineStr">
        <is>
          <t>1.  Fill out all fields above — this information feeds into every estimate tab.</t>
        </is>
      </c>
      <c r="B45" s="92" t="n"/>
      <c r="C45" s="92" t="n"/>
      <c r="D45" s="92" t="n"/>
      <c r="E45" s="92" t="n"/>
      <c r="F45" s="92" t="n"/>
      <c r="G45" s="93" t="n"/>
      <c r="H45" s="253" t="n"/>
      <c r="I45" s="94" t="n"/>
      <c r="J45" s="94" t="n"/>
      <c r="K45" s="94" t="n"/>
      <c r="L45" s="94" t="n"/>
      <c r="M45" s="94" t="n"/>
      <c r="N45" s="94" t="n"/>
      <c r="O45" s="94" t="n"/>
      <c r="P45" s="94" t="n"/>
      <c r="Q45" s="94" t="n"/>
      <c r="R45" s="94" t="n"/>
      <c r="S45" s="94" t="n"/>
      <c r="T45" s="94" t="n"/>
      <c r="U45" s="94" t="n"/>
      <c r="V45" s="94" t="n"/>
      <c r="W45" s="94" t="n"/>
      <c r="X45" s="94" t="n"/>
      <c r="Y45" s="94" t="n"/>
      <c r="Z45" s="94" t="n"/>
    </row>
    <row r="46" ht="18" customHeight="1" s="90">
      <c r="A46" s="295" t="inlineStr">
        <is>
          <t>2.  Right-click the 'Venue Estimate' tab → 'Move or Copy' → check 'Create a copy'.</t>
        </is>
      </c>
      <c r="B46" s="92" t="n"/>
      <c r="C46" s="92" t="n"/>
      <c r="D46" s="92" t="n"/>
      <c r="E46" s="92" t="n"/>
      <c r="F46" s="92" t="n"/>
      <c r="G46" s="93" t="n"/>
      <c r="H46" s="253" t="n"/>
      <c r="I46" s="94" t="n"/>
      <c r="J46" s="94" t="n"/>
      <c r="K46" s="94" t="n"/>
      <c r="L46" s="94" t="n"/>
      <c r="M46" s="94" t="n"/>
      <c r="N46" s="94" t="n"/>
      <c r="O46" s="94" t="n"/>
      <c r="P46" s="94" t="n"/>
      <c r="Q46" s="94" t="n"/>
      <c r="R46" s="94" t="n"/>
      <c r="S46" s="94" t="n"/>
      <c r="T46" s="94" t="n"/>
      <c r="U46" s="94" t="n"/>
      <c r="V46" s="94" t="n"/>
      <c r="W46" s="94" t="n"/>
      <c r="X46" s="94" t="n"/>
      <c r="Y46" s="94" t="n"/>
      <c r="Z46" s="94" t="n"/>
    </row>
    <row r="47" ht="18" customHeight="1" s="90">
      <c r="A47" s="295" t="inlineStr">
        <is>
          <t>3.  Rename the copied tab to the restaurant/venue name.</t>
        </is>
      </c>
      <c r="B47" s="92" t="n"/>
      <c r="C47" s="92" t="n"/>
      <c r="D47" s="92" t="n"/>
      <c r="E47" s="92" t="n"/>
      <c r="F47" s="92" t="n"/>
      <c r="G47" s="93" t="n"/>
      <c r="H47" s="253" t="n"/>
      <c r="I47" s="94" t="n"/>
      <c r="J47" s="94" t="n"/>
      <c r="K47" s="94" t="n"/>
      <c r="L47" s="94" t="n"/>
      <c r="M47" s="94" t="n"/>
      <c r="N47" s="94" t="n"/>
      <c r="O47" s="94" t="n"/>
      <c r="P47" s="94" t="n"/>
      <c r="Q47" s="94" t="n"/>
      <c r="R47" s="94" t="n"/>
      <c r="S47" s="94" t="n"/>
      <c r="T47" s="94" t="n"/>
      <c r="U47" s="94" t="n"/>
      <c r="V47" s="94" t="n"/>
      <c r="W47" s="94" t="n"/>
      <c r="X47" s="94" t="n"/>
      <c r="Y47" s="94" t="n"/>
      <c r="Z47" s="94" t="n"/>
    </row>
    <row r="48" ht="18" customHeight="1" s="90">
      <c r="A48" s="295" t="inlineStr">
        <is>
          <t>4.  On the new tab, enter venue name, F&amp;B minimum, and line item pricing.</t>
        </is>
      </c>
      <c r="B48" s="92" t="n"/>
      <c r="C48" s="92" t="n"/>
      <c r="D48" s="92" t="n"/>
      <c r="E48" s="92" t="n"/>
      <c r="F48" s="92" t="n"/>
      <c r="G48" s="93" t="n"/>
      <c r="H48" s="253" t="n"/>
      <c r="I48" s="94" t="n"/>
      <c r="J48" s="94" t="n"/>
      <c r="K48" s="94" t="n"/>
      <c r="L48" s="94" t="n"/>
      <c r="M48" s="94" t="n"/>
      <c r="N48" s="94" t="n"/>
      <c r="O48" s="94" t="n"/>
      <c r="P48" s="94" t="n"/>
      <c r="Q48" s="94" t="n"/>
      <c r="R48" s="94" t="n"/>
      <c r="S48" s="94" t="n"/>
      <c r="T48" s="94" t="n"/>
      <c r="U48" s="94" t="n"/>
      <c r="V48" s="94" t="n"/>
      <c r="W48" s="94" t="n"/>
      <c r="X48" s="94" t="n"/>
      <c r="Y48" s="94" t="n"/>
      <c r="Z48" s="94" t="n"/>
    </row>
    <row r="49" ht="18" customHeight="1" s="90">
      <c r="A49" s="295" t="inlineStr">
        <is>
          <t>5.  Fee structure defaults from this tab but can be overridden per venue (yellow fields).</t>
        </is>
      </c>
      <c r="B49" s="92" t="n"/>
      <c r="C49" s="92" t="n"/>
      <c r="D49" s="92" t="n"/>
      <c r="E49" s="92" t="n"/>
      <c r="F49" s="92" t="n"/>
      <c r="G49" s="93" t="n"/>
      <c r="H49" s="253" t="n"/>
      <c r="I49" s="94" t="n"/>
      <c r="J49" s="94" t="n"/>
      <c r="K49" s="94" t="n"/>
      <c r="L49" s="94" t="n"/>
      <c r="M49" s="94" t="n"/>
      <c r="N49" s="94" t="n"/>
      <c r="O49" s="94" t="n"/>
      <c r="P49" s="94" t="n"/>
      <c r="Q49" s="94" t="n"/>
      <c r="R49" s="94" t="n"/>
      <c r="S49" s="94" t="n"/>
      <c r="T49" s="94" t="n"/>
      <c r="U49" s="94" t="n"/>
      <c r="V49" s="94" t="n"/>
      <c r="W49" s="94" t="n"/>
      <c r="X49" s="94" t="n"/>
      <c r="Y49" s="94" t="n"/>
      <c r="Z49" s="94" t="n"/>
    </row>
    <row r="50" ht="18" customHeight="1" s="90">
      <c r="A50" s="295" t="inlineStr">
        <is>
          <t>6.  The Client-Ready Table auto-generates rounded numbers for Canva export.</t>
        </is>
      </c>
      <c r="B50" s="92" t="n"/>
      <c r="C50" s="92" t="n"/>
      <c r="D50" s="92" t="n"/>
      <c r="E50" s="92" t="n"/>
      <c r="F50" s="92" t="n"/>
      <c r="G50" s="93" t="n"/>
      <c r="H50" s="253"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253" t="n"/>
      <c r="B51" s="253" t="n"/>
      <c r="C51" s="253" t="n"/>
      <c r="D51" s="253" t="n"/>
      <c r="E51" s="253" t="n"/>
      <c r="F51" s="253" t="n"/>
      <c r="G51" s="253" t="n"/>
      <c r="H51" s="253"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253" t="n"/>
      <c r="H52" s="253"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253" t="n"/>
      <c r="H53" s="253"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253" t="n"/>
      <c r="H54" s="253"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253" t="n"/>
      <c r="H55" s="253"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253" t="n"/>
      <c r="H56" s="253"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253" t="n"/>
      <c r="H57" s="253"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253" t="n"/>
      <c r="H58" s="253"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253" t="n"/>
      <c r="H59" s="253"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253" t="n"/>
      <c r="H60" s="253"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253" t="n"/>
      <c r="H61" s="253"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253" t="n"/>
      <c r="H62" s="253"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253" t="n"/>
      <c r="H63" s="253"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253" t="n"/>
      <c r="B64" s="253" t="n"/>
      <c r="C64" s="253" t="n"/>
      <c r="D64" s="253" t="n"/>
      <c r="E64" s="253" t="n"/>
      <c r="F64" s="253" t="n"/>
      <c r="G64" s="253" t="n"/>
      <c r="H64" s="253"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253" t="n"/>
      <c r="D65" s="253" t="n"/>
      <c r="E65" s="253" t="n"/>
      <c r="F65" s="253" t="n"/>
      <c r="G65" s="253" t="n"/>
      <c r="H65" s="253"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253" t="n"/>
      <c r="D66" s="253" t="n"/>
      <c r="E66" s="253" t="n"/>
      <c r="F66" s="253" t="n"/>
      <c r="G66" s="253" t="n"/>
      <c r="H66" s="253"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253" t="n"/>
      <c r="D67" s="253" t="n"/>
      <c r="E67" s="253" t="n"/>
      <c r="F67" s="253" t="n"/>
      <c r="G67" s="253" t="n"/>
      <c r="H67" s="253"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253" t="n"/>
      <c r="D68" s="253" t="n"/>
      <c r="E68" s="253" t="n"/>
      <c r="F68" s="253" t="n"/>
      <c r="G68" s="253" t="n"/>
      <c r="H68" s="253"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253" t="n"/>
      <c r="D69" s="253" t="n"/>
      <c r="E69" s="253" t="n"/>
      <c r="F69" s="253" t="n"/>
      <c r="G69" s="253" t="n"/>
      <c r="H69" s="253"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253" t="n"/>
      <c r="D70" s="253" t="n"/>
      <c r="E70" s="253" t="n"/>
      <c r="F70" s="253" t="n"/>
      <c r="G70" s="253" t="n"/>
      <c r="H70" s="253"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253" t="n"/>
      <c r="D71" s="253" t="n"/>
      <c r="E71" s="253" t="n"/>
      <c r="F71" s="253" t="n"/>
      <c r="G71" s="253" t="n"/>
      <c r="H71" s="253"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253" t="n"/>
      <c r="D72" s="253" t="n"/>
      <c r="E72" s="253" t="n"/>
      <c r="F72" s="253" t="n"/>
      <c r="G72" s="253" t="n"/>
      <c r="H72" s="253"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53" t="n"/>
      <c r="B73" s="253" t="n"/>
      <c r="C73" s="253" t="n"/>
      <c r="D73" s="253" t="n"/>
      <c r="E73" s="253" t="n"/>
      <c r="F73" s="253" t="n"/>
      <c r="G73" s="253" t="n"/>
      <c r="H73" s="253"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298" t="inlineStr">
        <is>
          <t>LOCATION</t>
        </is>
      </c>
      <c r="B74" s="298" t="inlineStr">
        <is>
          <t>FOOD TAX</t>
        </is>
      </c>
      <c r="C74" s="298" t="inlineStr">
        <is>
          <t>ALCOHOL TAX</t>
        </is>
      </c>
      <c r="D74" s="298" t="inlineStr">
        <is>
          <t>GENERAL TAX</t>
        </is>
      </c>
      <c r="E74" s="253" t="n"/>
      <c r="F74" s="253" t="n"/>
      <c r="G74" s="253" t="n"/>
      <c r="H74" s="253"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299" t="inlineStr">
        <is>
          <t>Mecklenburg County NC (Charlotte)</t>
        </is>
      </c>
      <c r="B75" s="300" t="n">
        <v>0.0725</v>
      </c>
      <c r="C75" s="300" t="n">
        <v>0.0725</v>
      </c>
      <c r="D75" s="300" t="n">
        <v>0.0725</v>
      </c>
      <c r="E75" s="253" t="n"/>
      <c r="F75" s="253" t="n"/>
      <c r="G75" s="253" t="n"/>
      <c r="H75" s="253"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299" t="inlineStr">
        <is>
          <t>Wake County NC (Raleigh)</t>
        </is>
      </c>
      <c r="B76" s="300" t="n">
        <v>0.0725</v>
      </c>
      <c r="C76" s="300" t="n">
        <v>0.0725</v>
      </c>
      <c r="D76" s="300" t="n">
        <v>0.0725</v>
      </c>
      <c r="E76" s="253" t="n"/>
      <c r="F76" s="253" t="n"/>
      <c r="G76" s="253" t="n"/>
      <c r="H76" s="253"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299" t="inlineStr">
        <is>
          <t>Durham County NC</t>
        </is>
      </c>
      <c r="B77" s="300" t="n">
        <v>0.075</v>
      </c>
      <c r="C77" s="300" t="n">
        <v>0.075</v>
      </c>
      <c r="D77" s="300" t="n">
        <v>0.075</v>
      </c>
      <c r="E77" s="253" t="n"/>
      <c r="F77" s="253" t="n"/>
      <c r="G77" s="253" t="n"/>
      <c r="H77" s="253"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299" t="inlineStr">
        <is>
          <t>Cabarrus County NC (Concord)</t>
        </is>
      </c>
      <c r="B78" s="300" t="n">
        <v>0.07000000000000001</v>
      </c>
      <c r="C78" s="300" t="n">
        <v>0.07000000000000001</v>
      </c>
      <c r="D78" s="300" t="n">
        <v>0.07000000000000001</v>
      </c>
      <c r="E78" s="253" t="n"/>
      <c r="F78" s="253" t="n"/>
      <c r="G78" s="253" t="n"/>
      <c r="H78" s="253"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299" t="inlineStr">
        <is>
          <t>Buncombe County NC (Asheville)</t>
        </is>
      </c>
      <c r="B79" s="300" t="n">
        <v>0.07000000000000001</v>
      </c>
      <c r="C79" s="300" t="n">
        <v>0.07000000000000001</v>
      </c>
      <c r="D79" s="300" t="n">
        <v>0.07000000000000001</v>
      </c>
      <c r="E79" s="253" t="n"/>
      <c r="F79" s="253" t="n"/>
      <c r="G79" s="253" t="n"/>
      <c r="H79" s="253"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299" t="inlineStr">
        <is>
          <t>Wilson NC</t>
        </is>
      </c>
      <c r="B80" s="300" t="n">
        <v>0.0675</v>
      </c>
      <c r="C80" s="300" t="n">
        <v>0.0675</v>
      </c>
      <c r="D80" s="300" t="n">
        <v>0.0675</v>
      </c>
      <c r="E80" s="253" t="n"/>
      <c r="F80" s="253" t="n"/>
      <c r="G80" s="253" t="n"/>
      <c r="H80" s="253"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299" t="inlineStr">
        <is>
          <t>DC</t>
        </is>
      </c>
      <c r="B81" s="300" t="n">
        <v>0.1</v>
      </c>
      <c r="C81" s="300" t="n">
        <v>0.1025</v>
      </c>
      <c r="D81" s="300" t="n">
        <v>0.06</v>
      </c>
      <c r="E81" s="253" t="n"/>
      <c r="F81" s="253" t="n"/>
      <c r="G81" s="253" t="n"/>
      <c r="H81" s="253"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299" t="inlineStr">
        <is>
          <t>Maryland</t>
        </is>
      </c>
      <c r="B82" s="300" t="n">
        <v>0.06</v>
      </c>
      <c r="C82" s="300" t="n">
        <v>0.09</v>
      </c>
      <c r="D82" s="300" t="n">
        <v>0.06</v>
      </c>
      <c r="E82" s="253" t="n"/>
      <c r="F82" s="253" t="n"/>
      <c r="G82" s="253" t="n"/>
      <c r="H82" s="253"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99" t="inlineStr">
        <is>
          <t>Richmond VA</t>
        </is>
      </c>
      <c r="B83" s="300" t="n">
        <v>0.075</v>
      </c>
      <c r="C83" s="300" t="n">
        <v>0.075</v>
      </c>
      <c r="D83" s="300" t="n">
        <v>0.06</v>
      </c>
      <c r="E83" s="253" t="n"/>
      <c r="F83" s="253" t="n"/>
      <c r="G83" s="253" t="n"/>
      <c r="H83" s="253"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99" t="inlineStr">
        <is>
          <t>Leesburg VA</t>
        </is>
      </c>
      <c r="B84" s="300" t="n">
        <v>0.06</v>
      </c>
      <c r="C84" s="300" t="n">
        <v>0.06</v>
      </c>
      <c r="D84" s="300" t="n">
        <v>0.06</v>
      </c>
      <c r="E84" s="253" t="n"/>
      <c r="F84" s="253" t="n"/>
      <c r="G84" s="253" t="n"/>
      <c r="H84" s="253"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99" t="inlineStr">
        <is>
          <t>Atlanta GA</t>
        </is>
      </c>
      <c r="B85" s="300" t="n">
        <v>0.089</v>
      </c>
      <c r="C85" s="300" t="n">
        <v>0.089</v>
      </c>
      <c r="D85" s="300" t="n">
        <v>0.089</v>
      </c>
      <c r="E85" s="253" t="n"/>
      <c r="F85" s="253" t="n"/>
      <c r="G85" s="253" t="n"/>
      <c r="H85" s="253"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99" t="inlineStr">
        <is>
          <t>Cobb County GA</t>
        </is>
      </c>
      <c r="B86" s="300" t="n">
        <v>0.06</v>
      </c>
      <c r="C86" s="300" t="n">
        <v>0.06</v>
      </c>
      <c r="D86" s="300" t="n">
        <v>0.06</v>
      </c>
      <c r="E86" s="253" t="n"/>
      <c r="F86" s="253" t="n"/>
      <c r="G86" s="253" t="n"/>
      <c r="H86" s="253"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99" t="inlineStr">
        <is>
          <t>DeKalb County GA</t>
        </is>
      </c>
      <c r="B87" s="300" t="n">
        <v>0.08</v>
      </c>
      <c r="C87" s="300" t="n">
        <v>0.08</v>
      </c>
      <c r="D87" s="300" t="n">
        <v>0.08</v>
      </c>
      <c r="E87" s="253" t="n"/>
      <c r="F87" s="253" t="n"/>
      <c r="G87" s="253" t="n"/>
      <c r="H87" s="253"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299" t="inlineStr">
        <is>
          <t>Chatham County GA (Savannah)</t>
        </is>
      </c>
      <c r="B88" s="300" t="n">
        <v>0.07000000000000001</v>
      </c>
      <c r="C88" s="300" t="n">
        <v>0.07000000000000001</v>
      </c>
      <c r="D88" s="300" t="n">
        <v>0.07000000000000001</v>
      </c>
      <c r="E88" s="253" t="n"/>
      <c r="F88" s="253" t="n"/>
      <c r="G88" s="253" t="n"/>
      <c r="H88" s="253"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99" t="inlineStr">
        <is>
          <t>Greene County GA (Greensboro)</t>
        </is>
      </c>
      <c r="B89" s="300" t="n">
        <v>0.08</v>
      </c>
      <c r="C89" s="300" t="n">
        <v>0.08</v>
      </c>
      <c r="D89" s="300" t="n">
        <v>0.08</v>
      </c>
      <c r="E89" s="253" t="n"/>
      <c r="F89" s="253" t="n"/>
      <c r="G89" s="253" t="n"/>
      <c r="H89" s="253"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99" t="inlineStr">
        <is>
          <t>Philadelphia PA</t>
        </is>
      </c>
      <c r="B90" s="300" t="n">
        <v>0.08</v>
      </c>
      <c r="C90" s="300" t="n">
        <v>0.08</v>
      </c>
      <c r="D90" s="300" t="n">
        <v>0.08</v>
      </c>
      <c r="E90" s="253" t="n"/>
      <c r="F90" s="253" t="n"/>
      <c r="G90" s="253" t="n"/>
      <c r="H90" s="253"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99" t="inlineStr">
        <is>
          <t>NYC</t>
        </is>
      </c>
      <c r="B91" s="300" t="n">
        <v>0.08875</v>
      </c>
      <c r="C91" s="300" t="n">
        <v>0.08875</v>
      </c>
      <c r="D91" s="300" t="n">
        <v>0.08875</v>
      </c>
      <c r="E91" s="253" t="n"/>
      <c r="F91" s="253" t="n"/>
      <c r="G91" s="253" t="n"/>
      <c r="H91" s="253"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99" t="inlineStr">
        <is>
          <t>Charleston SC</t>
        </is>
      </c>
      <c r="B92" s="300" t="n">
        <v>0.08</v>
      </c>
      <c r="C92" s="300" t="n">
        <v>0.08</v>
      </c>
      <c r="D92" s="300" t="n">
        <v>0.08</v>
      </c>
      <c r="E92" s="253" t="n"/>
      <c r="F92" s="253" t="n"/>
      <c r="G92" s="253" t="n"/>
      <c r="H92" s="253"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99" t="inlineStr">
        <is>
          <t>Union SC</t>
        </is>
      </c>
      <c r="B93" s="300" t="n">
        <v>0.07000000000000001</v>
      </c>
      <c r="C93" s="300" t="n">
        <v>0.07000000000000001</v>
      </c>
      <c r="D93" s="300" t="n">
        <v>0.07000000000000001</v>
      </c>
      <c r="E93" s="253" t="n"/>
      <c r="F93" s="253" t="n"/>
      <c r="G93" s="253" t="n"/>
      <c r="H93" s="253"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299" t="inlineStr">
        <is>
          <t>York SC</t>
        </is>
      </c>
      <c r="B94" s="300" t="n">
        <v>0.07000000000000001</v>
      </c>
      <c r="C94" s="300" t="n">
        <v>0.07000000000000001</v>
      </c>
      <c r="D94" s="300" t="n">
        <v>0.07000000000000001</v>
      </c>
      <c r="E94" s="253" t="n"/>
      <c r="F94" s="253" t="n"/>
      <c r="G94" s="253" t="n"/>
      <c r="H94" s="253"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299" t="inlineStr">
        <is>
          <t>Greenville SC</t>
        </is>
      </c>
      <c r="B95" s="300" t="n">
        <v>0.06</v>
      </c>
      <c r="C95" s="300" t="n">
        <v>0.06</v>
      </c>
      <c r="D95" s="300" t="n">
        <v>0.06</v>
      </c>
      <c r="E95" s="253" t="n"/>
      <c r="F95" s="253" t="n"/>
      <c r="G95" s="253" t="n"/>
      <c r="H95" s="253"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299" t="inlineStr">
        <is>
          <t>New Jersey</t>
        </is>
      </c>
      <c r="B96" s="300" t="n">
        <v>0.06625</v>
      </c>
      <c r="C96" s="300" t="n">
        <v>0.06625</v>
      </c>
      <c r="D96" s="300" t="n">
        <v>0.06625</v>
      </c>
      <c r="E96" s="253" t="n"/>
      <c r="F96" s="253" t="n"/>
      <c r="G96" s="253" t="n"/>
      <c r="H96" s="253"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sheetProtection selectLockedCells="0" selectUnlockedCells="0" sheet="1" objects="0" insertRows="0" insertHyperlinks="1" autoFilter="0" scenarios="0" formatColumns="0" deleteColumns="1" insertColumns="1" pivotTables="1" deleteRows="1" formatCells="0" formatRows="0" sort="0" password="CE4B"/>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errorStyle="stop" operator="between">
      <formula1>"20%,None"</formula1>
      <formula2>0</formula2>
    </dataValidation>
    <dataValidation sqref="C27" showDropDown="0" showInputMessage="0" showErrorMessage="0" allowBlank="1" type="list" errorStyle="stop" operator="between">
      <formula1>"5%,None"</formula1>
      <formula2>0</formula2>
    </dataValidation>
    <dataValidation sqref="C21" showDropDown="0" showInputMessage="0" showErrorMessage="0" allowBlank="1" type="list" errorStyle="stop" operator="between">
      <formula1>"0.00,0.05,0.07,0.08,0.10,0.12,0.15"</formula1>
      <formula2>0</formula2>
    </dataValidation>
    <dataValidation sqref="C25"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"Plated,Buffet,Family Style,Stations,Passed,Reception"</formula1>
      <formula2>0</formula2>
    </dataValidation>
    <dataValidation sqref="B9" showDropDown="0" showInputMessage="0" showErrorMessage="0" allowBlank="1" type="list" errorStyle="stop" operator="between">
      <formula1>"Beer and Wine,2 Glasses of Wine PP,Full Bar,On Consumption"</formula1>
      <formula2>0</formula2>
    </dataValidation>
    <dataValidation sqref="C22" showDropDown="0" showInputMessage="0" showErrorMessage="0" allowBlank="1" type="list" errorStyle="stop" operator="between">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'Client Setup - Sample'!$A$75:$A$96</formula1>
    </dataValidation>
    <dataValidation sqref="C35" showDropDown="0" showInputMessage="0" showErrorMessage="0" allowBlank="0" type="list">
      <formula1>"0,0.035,0.04,0.045,0.05"</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Z1015"/>
  <sheetViews>
    <sheetView workbookViewId="0">
      <selection activeCell="A1" sqref="A1"/>
    </sheetView>
  </sheetViews>
  <sheetFormatPr baseColWidth="8" defaultColWidth="14.43359375" defaultRowHeight="15" zeroHeight="0" outlineLevelRow="0"/>
  <cols>
    <col width="30" customWidth="1" style="89" min="1" max="1"/>
    <col width="15" customWidth="1" style="89" min="2" max="2"/>
    <col width="15" customWidth="1" style="89" min="3" max="4"/>
    <col width="35" customWidth="1" style="90" min="4" max="4"/>
    <col width="12" customWidth="1" style="89" min="5" max="5"/>
    <col width="12" customWidth="1" style="89" min="6" max="7"/>
    <col width="12" customWidth="1" style="90" min="7" max="7"/>
    <col width="12" customWidth="1" style="89" min="8"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Client Setup — Complete Once Per Program</t>
        </is>
      </c>
      <c r="B2" s="92" t="n"/>
      <c r="C2" s="92" t="n"/>
      <c r="D2" s="92" t="n"/>
      <c r="E2" s="92" t="n"/>
      <c r="F2" s="92" t="n"/>
      <c r="G2" s="93" t="n"/>
      <c r="H2" s="252" t="n"/>
      <c r="I2" s="94" t="n"/>
      <c r="J2" s="94" t="n"/>
      <c r="K2" s="94"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94" t="n"/>
      <c r="J3" s="94" t="n"/>
      <c r="K3" s="94" t="n"/>
      <c r="L3" s="94" t="n"/>
      <c r="M3" s="94" t="n"/>
      <c r="N3" s="94" t="n"/>
      <c r="O3" s="94" t="n"/>
      <c r="P3" s="94" t="n"/>
      <c r="Q3" s="94" t="n"/>
      <c r="R3" s="94" t="n"/>
      <c r="S3" s="94" t="n"/>
      <c r="T3" s="94" t="n"/>
      <c r="U3" s="94" t="n"/>
      <c r="V3" s="94" t="n"/>
      <c r="W3" s="94" t="n"/>
      <c r="X3" s="94" t="n"/>
      <c r="Y3" s="94" t="n"/>
      <c r="Z3" s="94" t="n"/>
    </row>
    <row r="4" ht="27" customHeight="1" s="90">
      <c r="A4" s="254" t="inlineStr">
        <is>
          <t>EVENT DETAILS</t>
        </is>
      </c>
      <c r="B4" s="92" t="n"/>
      <c r="C4" s="92" t="n"/>
      <c r="D4" s="92" t="n"/>
      <c r="E4" s="92" t="n"/>
      <c r="F4" s="92" t="n"/>
      <c r="G4" s="93" t="n"/>
      <c r="H4" s="257" t="n"/>
      <c r="I4" s="94" t="n"/>
      <c r="J4" s="94" t="n"/>
      <c r="K4" s="94" t="n"/>
      <c r="L4" s="94" t="n"/>
      <c r="M4" s="94" t="n"/>
      <c r="N4" s="94" t="n"/>
      <c r="O4" s="94" t="n"/>
      <c r="P4" s="94" t="n"/>
      <c r="Q4" s="94" t="n"/>
      <c r="R4" s="94" t="n"/>
      <c r="S4" s="94" t="n"/>
      <c r="T4" s="94" t="n"/>
      <c r="U4" s="94" t="n"/>
      <c r="V4" s="94" t="n"/>
      <c r="W4" s="94" t="n"/>
      <c r="X4" s="94" t="n"/>
      <c r="Y4" s="94" t="n"/>
      <c r="Z4" s="94" t="n"/>
    </row>
    <row r="5" ht="20" customHeight="1" s="90">
      <c r="A5" s="258" t="inlineStr">
        <is>
          <t>Client Name:</t>
        </is>
      </c>
      <c r="B5" s="259" t="n"/>
      <c r="C5" s="413" t="n"/>
      <c r="D5" s="261" t="n"/>
      <c r="E5" s="261" t="n"/>
      <c r="F5" s="261" t="n"/>
      <c r="G5" s="261" t="n"/>
      <c r="H5" s="262" t="n"/>
      <c r="I5" s="94" t="n"/>
      <c r="J5" s="94" t="n"/>
      <c r="K5" s="94" t="n"/>
      <c r="L5" s="94" t="n"/>
      <c r="M5" s="94" t="n"/>
      <c r="N5" s="94" t="n"/>
      <c r="O5" s="94" t="n"/>
      <c r="P5" s="94" t="n"/>
      <c r="Q5" s="94" t="n"/>
      <c r="R5" s="94" t="n"/>
      <c r="S5" s="94" t="n"/>
      <c r="T5" s="94" t="n"/>
      <c r="U5" s="94" t="n"/>
      <c r="V5" s="94" t="n"/>
      <c r="W5" s="94" t="n"/>
      <c r="X5" s="94" t="n"/>
      <c r="Y5" s="94" t="n"/>
      <c r="Z5" s="94" t="n"/>
    </row>
    <row r="6" ht="20" customHeight="1" s="90">
      <c r="A6" s="258" t="inlineStr">
        <is>
          <t>Event Date:</t>
        </is>
      </c>
      <c r="B6" s="263" t="n"/>
      <c r="C6" s="413" t="n"/>
      <c r="D6" s="261" t="n"/>
      <c r="E6" s="261" t="n"/>
      <c r="F6" s="261" t="n"/>
      <c r="G6" s="261" t="n"/>
      <c r="H6" s="262" t="n"/>
      <c r="I6" s="94" t="n"/>
      <c r="J6" s="94" t="n"/>
      <c r="K6" s="94" t="n"/>
      <c r="L6" s="94" t="n"/>
      <c r="M6" s="94" t="n"/>
      <c r="N6" s="94" t="n"/>
      <c r="O6" s="94" t="n"/>
      <c r="P6" s="94" t="n"/>
      <c r="Q6" s="94" t="n"/>
      <c r="R6" s="94" t="n"/>
      <c r="S6" s="94" t="n"/>
      <c r="T6" s="94" t="n"/>
      <c r="U6" s="94" t="n"/>
      <c r="V6" s="94" t="n"/>
      <c r="W6" s="94" t="n"/>
      <c r="X6" s="94" t="n"/>
      <c r="Y6" s="94" t="n"/>
      <c r="Z6" s="94" t="n"/>
    </row>
    <row r="7" ht="20" customHeight="1" s="90">
      <c r="A7" s="258" t="inlineStr">
        <is>
          <t>Guest Count:</t>
        </is>
      </c>
      <c r="B7" s="264" t="n"/>
      <c r="C7" s="413" t="n"/>
      <c r="D7" s="261" t="n"/>
      <c r="E7" s="261" t="n"/>
      <c r="F7" s="261" t="n"/>
      <c r="G7" s="261" t="n"/>
      <c r="H7" s="262" t="n"/>
      <c r="I7" s="94" t="n"/>
      <c r="J7" s="94" t="n"/>
      <c r="K7" s="94" t="n"/>
      <c r="L7" s="94" t="n"/>
      <c r="M7" s="94" t="n"/>
      <c r="N7" s="94" t="n"/>
      <c r="O7" s="94" t="n"/>
      <c r="P7" s="94" t="n"/>
      <c r="Q7" s="94" t="n"/>
      <c r="R7" s="94" t="n"/>
      <c r="S7" s="94" t="n"/>
      <c r="T7" s="94" t="n"/>
      <c r="U7" s="94" t="n"/>
      <c r="V7" s="94" t="n"/>
      <c r="W7" s="94" t="n"/>
      <c r="X7" s="94" t="n"/>
      <c r="Y7" s="94" t="n"/>
      <c r="Z7" s="94" t="n"/>
    </row>
    <row r="8" ht="20" customHeight="1" s="90">
      <c r="A8" s="258" t="inlineStr">
        <is>
          <t>Service Style:</t>
        </is>
      </c>
      <c r="B8" s="259" t="n"/>
      <c r="C8" s="413" t="n"/>
      <c r="D8" s="261" t="n"/>
      <c r="E8" s="261" t="n"/>
      <c r="F8" s="261" t="n"/>
      <c r="G8" s="261" t="n"/>
      <c r="H8" s="262" t="n"/>
      <c r="I8" s="94" t="n"/>
      <c r="J8" s="94" t="n"/>
      <c r="K8" s="94" t="n"/>
      <c r="L8" s="94" t="n"/>
      <c r="M8" s="94" t="n"/>
      <c r="N8" s="94" t="n"/>
      <c r="O8" s="94" t="n"/>
      <c r="P8" s="94" t="n"/>
      <c r="Q8" s="94" t="n"/>
      <c r="R8" s="94" t="n"/>
      <c r="S8" s="94" t="n"/>
      <c r="T8" s="94" t="n"/>
      <c r="U8" s="94" t="n"/>
      <c r="V8" s="94" t="n"/>
      <c r="W8" s="94" t="n"/>
      <c r="X8" s="94" t="n"/>
      <c r="Y8" s="94" t="n"/>
      <c r="Z8" s="94" t="n"/>
    </row>
    <row r="9" ht="20" customHeight="1" s="90">
      <c r="A9" s="258" t="inlineStr">
        <is>
          <t>Alcohol:</t>
        </is>
      </c>
      <c r="B9" s="259" t="n"/>
      <c r="C9" s="413" t="n"/>
      <c r="D9" s="261" t="n"/>
      <c r="E9" s="261" t="n"/>
      <c r="F9" s="261" t="n"/>
      <c r="G9" s="261" t="n"/>
      <c r="H9" s="262" t="n"/>
      <c r="I9" s="94" t="n"/>
      <c r="J9" s="94" t="n"/>
      <c r="K9" s="94" t="n"/>
      <c r="L9" s="94" t="n"/>
      <c r="M9" s="94" t="n"/>
      <c r="N9" s="94" t="n"/>
      <c r="O9" s="94" t="n"/>
      <c r="P9" s="94" t="n"/>
      <c r="Q9" s="94" t="n"/>
      <c r="R9" s="94" t="n"/>
      <c r="S9" s="94" t="n"/>
      <c r="T9" s="94" t="n"/>
      <c r="U9" s="94" t="n"/>
      <c r="V9" s="94" t="n"/>
      <c r="W9" s="94" t="n"/>
      <c r="X9" s="94" t="n"/>
      <c r="Y9" s="94" t="n"/>
      <c r="Z9" s="94" t="n"/>
    </row>
    <row r="10" ht="20" customHeight="1" s="90">
      <c r="A10" s="258" t="inlineStr">
        <is>
          <t>Event Time:</t>
        </is>
      </c>
      <c r="B10" s="265" t="n"/>
      <c r="C10" s="413" t="n"/>
      <c r="D10" s="261" t="n"/>
      <c r="E10" s="261" t="n"/>
      <c r="F10" s="261" t="n"/>
      <c r="G10" s="261" t="n"/>
      <c r="H10" s="262" t="n"/>
      <c r="I10" s="94" t="n"/>
      <c r="J10" s="94" t="n"/>
      <c r="K10" s="94" t="n"/>
      <c r="L10" s="94" t="n"/>
      <c r="M10" s="94" t="n"/>
      <c r="N10" s="94" t="n"/>
      <c r="O10" s="94" t="n"/>
      <c r="P10" s="94" t="n"/>
      <c r="Q10" s="94" t="n"/>
      <c r="R10" s="94" t="n"/>
      <c r="S10" s="94" t="n"/>
      <c r="T10" s="94" t="n"/>
      <c r="U10" s="94" t="n"/>
      <c r="V10" s="94" t="n"/>
      <c r="W10" s="94" t="n"/>
      <c r="X10" s="94" t="n"/>
      <c r="Y10" s="94" t="n"/>
      <c r="Z10" s="94" t="n"/>
    </row>
    <row r="11" ht="20" customHeight="1" s="90">
      <c r="A11" s="266" t="inlineStr">
        <is>
          <t>Company Name:</t>
        </is>
      </c>
      <c r="B11" s="259" t="n"/>
      <c r="C11" s="413" t="n"/>
      <c r="D11" s="267" t="n"/>
      <c r="E11" s="267" t="n"/>
      <c r="F11" s="267" t="n"/>
      <c r="G11" s="267" t="n"/>
      <c r="H11" s="268" t="n"/>
    </row>
    <row r="12" ht="20" customHeight="1" s="90">
      <c r="A12" s="266" t="inlineStr">
        <is>
          <t>Program Name:</t>
        </is>
      </c>
      <c r="B12" s="259" t="n"/>
      <c r="C12" s="413" t="n"/>
      <c r="D12" s="267" t="n"/>
      <c r="E12" s="267" t="n"/>
      <c r="F12" s="267" t="n"/>
      <c r="G12" s="267" t="n"/>
      <c r="H12" s="268" t="n"/>
    </row>
    <row r="13" ht="20" customHeight="1" s="90">
      <c r="A13" s="266" t="inlineStr">
        <is>
          <t>Client Hotel:</t>
        </is>
      </c>
      <c r="B13" s="259" t="n"/>
      <c r="C13" s="413" t="n"/>
      <c r="D13" s="267" t="n"/>
      <c r="E13" s="267" t="n"/>
      <c r="F13" s="267" t="n"/>
      <c r="G13" s="267" t="n"/>
      <c r="H13" s="268" t="n"/>
    </row>
    <row r="14" ht="25.5" customHeight="1" s="90">
      <c r="A14" s="253" t="n"/>
      <c r="B14" s="253" t="n"/>
      <c r="C14" s="253" t="n"/>
      <c r="D14" s="253" t="n"/>
      <c r="E14" s="253" t="n"/>
      <c r="F14" s="253" t="n"/>
      <c r="G14" s="253" t="n"/>
      <c r="H14" s="253" t="n"/>
      <c r="I14" s="94" t="n"/>
      <c r="J14" s="94" t="n"/>
      <c r="K14" s="94" t="n"/>
      <c r="L14" s="94" t="n"/>
      <c r="M14" s="94" t="n"/>
      <c r="N14" s="94" t="n"/>
      <c r="O14" s="94" t="n"/>
      <c r="P14" s="94" t="n"/>
      <c r="Q14" s="94" t="n"/>
      <c r="R14" s="94" t="n"/>
      <c r="S14" s="94" t="n"/>
      <c r="T14" s="94" t="n"/>
      <c r="U14" s="94" t="n"/>
      <c r="V14" s="94" t="n"/>
      <c r="W14" s="94" t="n"/>
      <c r="X14" s="94" t="n"/>
      <c r="Y14" s="94" t="n"/>
      <c r="Z14" s="94" t="n"/>
    </row>
    <row r="15" ht="27" customHeight="1" s="90">
      <c r="A15" s="254" t="inlineStr">
        <is>
          <t>LOCATION &amp; TAX RATES</t>
        </is>
      </c>
      <c r="B15" s="269" t="n"/>
      <c r="C15" s="269" t="n"/>
      <c r="D15" s="269" t="n"/>
      <c r="E15" s="269" t="n"/>
      <c r="F15" s="269" t="n"/>
      <c r="G15" s="269" t="n"/>
      <c r="H15" s="257" t="n"/>
      <c r="I15" s="94" t="n"/>
      <c r="J15" s="94" t="n"/>
      <c r="K15" s="94" t="n"/>
      <c r="L15" s="94" t="n"/>
      <c r="M15" s="94" t="n"/>
      <c r="N15" s="94" t="n"/>
      <c r="O15" s="94" t="n"/>
      <c r="P15" s="94" t="n"/>
      <c r="Q15" s="94" t="n"/>
      <c r="R15" s="94" t="n"/>
      <c r="S15" s="94" t="n"/>
      <c r="T15" s="94" t="n"/>
      <c r="U15" s="94" t="n"/>
      <c r="V15" s="94" t="n"/>
      <c r="W15" s="94" t="n"/>
      <c r="X15" s="94" t="n"/>
      <c r="Y15" s="94" t="n"/>
      <c r="Z15" s="94" t="n"/>
    </row>
    <row r="16" ht="20" customHeight="1" s="90">
      <c r="A16" s="258" t="inlineStr">
        <is>
          <t>State / Location:</t>
        </is>
      </c>
      <c r="B16" s="270" t="n"/>
      <c r="C16" s="268" t="n"/>
      <c r="D16" s="261" t="inlineStr">
        <is>
          <t>Tax rates auto-populate from location</t>
        </is>
      </c>
      <c r="E16" s="268" t="n"/>
      <c r="F16" s="268" t="n"/>
      <c r="G16" s="268" t="n"/>
      <c r="H16" s="262" t="n"/>
      <c r="I16" s="94" t="n"/>
      <c r="J16" s="94" t="n"/>
      <c r="K16" s="94" t="n"/>
      <c r="L16" s="94" t="n"/>
      <c r="M16" s="94" t="n"/>
      <c r="N16" s="94" t="n"/>
      <c r="O16" s="94" t="n"/>
      <c r="P16" s="94" t="n"/>
      <c r="Q16" s="94" t="n"/>
      <c r="R16" s="94" t="n"/>
      <c r="S16" s="94" t="n"/>
      <c r="T16" s="94" t="n"/>
      <c r="U16" s="94" t="n"/>
      <c r="V16" s="94" t="n"/>
      <c r="W16" s="94" t="n"/>
      <c r="X16" s="94" t="n"/>
      <c r="Y16" s="94" t="n"/>
      <c r="Z16" s="94" t="n"/>
    </row>
    <row r="17" ht="20" customHeight="1" s="90">
      <c r="A17" s="258" t="inlineStr">
        <is>
          <t>Food Tax Rate:</t>
        </is>
      </c>
      <c r="B17" s="271">
        <f>IF(B16="","",VLOOKUP(B16,$A$75:$D$96,2,FALSE()))</f>
        <v/>
      </c>
      <c r="C17" s="261" t="n"/>
      <c r="D17" s="261" t="inlineStr">
        <is>
          <t>Tax on food &amp; NA beverages</t>
        </is>
      </c>
      <c r="E17" s="268" t="n"/>
      <c r="F17" s="268" t="n"/>
      <c r="G17" s="268" t="n"/>
      <c r="H17" s="262" t="n"/>
      <c r="I17" s="94" t="n"/>
      <c r="J17" s="94" t="n"/>
      <c r="K17" s="94" t="n"/>
      <c r="L17" s="94" t="n"/>
      <c r="M17" s="94" t="n"/>
      <c r="N17" s="94" t="n"/>
      <c r="O17" s="94" t="n"/>
      <c r="P17" s="94" t="n"/>
      <c r="Q17" s="94" t="n"/>
      <c r="R17" s="94" t="n"/>
      <c r="S17" s="94" t="n"/>
      <c r="T17" s="94" t="n"/>
      <c r="U17" s="94" t="n"/>
      <c r="V17" s="94" t="n"/>
      <c r="W17" s="94" t="n"/>
      <c r="X17" s="94" t="n"/>
      <c r="Y17" s="94" t="n"/>
      <c r="Z17" s="94" t="n"/>
    </row>
    <row r="18" ht="20" customHeight="1" s="90">
      <c r="A18" s="258" t="inlineStr">
        <is>
          <t>Alcohol Tax Rate:</t>
        </is>
      </c>
      <c r="B18" s="271">
        <f>IF(B16="","",VLOOKUP(B16,$A$75:$D$96,3,FALSE()))</f>
        <v/>
      </c>
      <c r="C18" s="261" t="n"/>
      <c r="D18" s="261" t="inlineStr">
        <is>
          <t>Tax on bar/alcohol</t>
        </is>
      </c>
      <c r="E18" s="268" t="n"/>
      <c r="F18" s="268" t="n"/>
      <c r="G18" s="268" t="n"/>
      <c r="H18" s="262" t="n"/>
      <c r="I18" s="94" t="n"/>
      <c r="J18" s="94" t="n"/>
      <c r="K18" s="94" t="n"/>
      <c r="L18" s="94" t="n"/>
      <c r="M18" s="94" t="n"/>
      <c r="N18" s="94" t="n"/>
      <c r="O18" s="94" t="n"/>
      <c r="P18" s="94" t="n"/>
      <c r="Q18" s="94" t="n"/>
      <c r="R18" s="94" t="n"/>
      <c r="S18" s="94" t="n"/>
      <c r="T18" s="94" t="n"/>
      <c r="U18" s="94" t="n"/>
      <c r="V18" s="94" t="n"/>
      <c r="W18" s="94" t="n"/>
      <c r="X18" s="94" t="n"/>
      <c r="Y18" s="94" t="n"/>
      <c r="Z18" s="94" t="n"/>
    </row>
    <row r="19" ht="20" customHeight="1" s="90">
      <c r="A19" s="258" t="inlineStr">
        <is>
          <t>General Sales Tax Rate:</t>
        </is>
      </c>
      <c r="B19" s="271">
        <f>IF(B16="","",VLOOKUP(B16,$A$75:$D$96,4,FALSE()))</f>
        <v/>
      </c>
      <c r="C19" s="261" t="n"/>
      <c r="D19" s="261" t="inlineStr">
        <is>
          <t>Tax on equipment, rentals, staffing</t>
        </is>
      </c>
      <c r="E19" s="268" t="n"/>
      <c r="F19" s="268" t="n"/>
      <c r="G19" s="268" t="n"/>
      <c r="H19" s="262"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253" t="n"/>
      <c r="B20" s="253" t="n"/>
      <c r="C20" s="253" t="n"/>
      <c r="D20" s="253" t="n"/>
      <c r="E20" s="253" t="n"/>
      <c r="F20" s="253" t="n"/>
      <c r="G20" s="253" t="n"/>
      <c r="H20" s="253" t="n"/>
      <c r="I20" s="94" t="n"/>
      <c r="J20" s="94" t="n"/>
      <c r="K20" s="94" t="n"/>
      <c r="L20" s="94" t="n"/>
      <c r="M20" s="94" t="n"/>
      <c r="N20" s="94" t="n"/>
      <c r="O20" s="94" t="n"/>
      <c r="P20" s="94" t="n"/>
      <c r="Q20" s="94" t="n"/>
      <c r="R20" s="94" t="n"/>
      <c r="S20" s="94" t="n"/>
      <c r="T20" s="94" t="n"/>
      <c r="U20" s="94" t="n"/>
      <c r="V20" s="94" t="n"/>
      <c r="W20" s="94" t="n"/>
      <c r="X20" s="94" t="n"/>
      <c r="Y20" s="94" t="n"/>
      <c r="Z20" s="94" t="n"/>
    </row>
    <row r="21" ht="27" customHeight="1" s="90">
      <c r="A21" s="254" t="inlineStr">
        <is>
          <t>PRICING &amp; COMMISSION</t>
        </is>
      </c>
      <c r="B21" s="269" t="n"/>
      <c r="C21" s="269" t="n"/>
      <c r="D21" s="269" t="n"/>
      <c r="E21" s="269" t="n"/>
      <c r="F21" s="269" t="n"/>
      <c r="G21" s="269" t="n"/>
      <c r="H21" s="257" t="n"/>
      <c r="I21" s="94" t="n"/>
      <c r="J21" s="94" t="n"/>
      <c r="K21" s="94" t="n"/>
      <c r="L21" s="94" t="n"/>
      <c r="M21" s="94" t="n"/>
      <c r="N21" s="94" t="n"/>
      <c r="O21" s="94" t="n"/>
      <c r="P21" s="94" t="n"/>
      <c r="Q21" s="94" t="n"/>
      <c r="R21" s="94" t="n"/>
      <c r="S21" s="94" t="n"/>
      <c r="T21" s="94" t="n"/>
      <c r="U21" s="94" t="n"/>
      <c r="V21" s="94" t="n"/>
      <c r="W21" s="94" t="n"/>
      <c r="X21" s="94" t="n"/>
      <c r="Y21" s="94" t="n"/>
      <c r="Z21" s="94" t="n"/>
    </row>
    <row r="22" ht="23" customHeight="1" s="90">
      <c r="A22" s="272" t="inlineStr">
        <is>
          <t>Category</t>
        </is>
      </c>
      <c r="B22" s="273" t="inlineStr">
        <is>
          <t>Markup %</t>
        </is>
      </c>
      <c r="C22" s="274" t="inlineStr">
        <is>
          <t>Note</t>
        </is>
      </c>
      <c r="D22" s="272" t="n"/>
      <c r="E22" s="275" t="n"/>
      <c r="F22" s="275" t="n"/>
      <c r="G22" s="275" t="n"/>
      <c r="H22" s="276"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277" t="inlineStr">
        <is>
          <t>Catering &amp; F&amp;B</t>
        </is>
      </c>
      <c r="B23" s="278" t="n">
        <v>0.55</v>
      </c>
      <c r="C23" s="279" t="inlineStr">
        <is>
          <t>Floor — clients compare per-head pricing</t>
        </is>
      </c>
      <c r="D23" s="105" t="n"/>
      <c r="E23" s="105" t="n"/>
      <c r="F23" s="105" t="n"/>
      <c r="G23" s="105" t="n"/>
      <c r="H23" s="280" t="n"/>
    </row>
    <row r="24" ht="27.75" customHeight="1" s="90">
      <c r="A24" s="281" t="inlineStr">
        <is>
          <t>Venues &amp; Room Rentals</t>
        </is>
      </c>
      <c r="B24" s="282" t="n">
        <v>0.6</v>
      </c>
      <c r="C24" s="283" t="inlineStr">
        <is>
          <t>Full venue relationship management</t>
        </is>
      </c>
      <c r="D24" s="105" t="n"/>
      <c r="E24" s="105" t="n"/>
      <c r="F24" s="105" t="n"/>
      <c r="G24" s="105" t="n"/>
      <c r="H24" s="280" t="n"/>
    </row>
    <row r="25" ht="25.5" customHeight="1" s="90">
      <c r="A25" s="277" t="inlineStr">
        <is>
          <t>AV &amp; Production</t>
        </is>
      </c>
      <c r="B25" s="278" t="n">
        <v>0.65</v>
      </c>
      <c r="C25" s="279" t="inlineStr">
        <is>
          <t>Technical coordination, hard to price-shop</t>
        </is>
      </c>
      <c r="D25" s="105" t="n"/>
      <c r="E25" s="105" t="n"/>
      <c r="F25" s="105" t="n"/>
      <c r="G25" s="105" t="n"/>
      <c r="H25" s="280" t="n"/>
    </row>
    <row r="26" ht="25.5" customHeight="1" s="90">
      <c r="A26" s="281" t="inlineStr">
        <is>
          <t>Décor &amp; Design</t>
        </is>
      </c>
      <c r="B26" s="282" t="n">
        <v>0.85</v>
      </c>
      <c r="C26" s="283" t="inlineStr">
        <is>
          <t>Custom creative — no comparison exists</t>
        </is>
      </c>
      <c r="D26" s="105" t="n"/>
      <c r="E26" s="105" t="n"/>
      <c r="F26" s="105" t="n"/>
      <c r="G26" s="105" t="n"/>
      <c r="H26" s="280" t="n"/>
    </row>
    <row r="27" ht="25.5" customHeight="1" s="90">
      <c r="A27" s="277" t="inlineStr">
        <is>
          <t>Entertainment</t>
        </is>
      </c>
      <c r="B27" s="278" t="n">
        <v>0.75</v>
      </c>
      <c r="C27" s="279" t="inlineStr">
        <is>
          <t>Talent sourcing, contracts, riders</t>
        </is>
      </c>
      <c r="D27" s="105" t="n"/>
      <c r="E27" s="105" t="n"/>
      <c r="F27" s="105" t="n"/>
      <c r="G27" s="105" t="n"/>
      <c r="H27" s="280" t="n"/>
    </row>
    <row r="28" ht="6" customHeight="1" s="90">
      <c r="A28" s="281" t="inlineStr">
        <is>
          <t>Activities &amp; Experiences</t>
        </is>
      </c>
      <c r="B28" s="282" t="n">
        <v>0.75</v>
      </c>
      <c r="C28" s="283" t="inlineStr">
        <is>
          <t>Curation, coordination, permitting</t>
        </is>
      </c>
      <c r="D28" s="105" t="n"/>
      <c r="E28" s="105" t="n"/>
      <c r="F28" s="105" t="n"/>
      <c r="G28" s="105" t="n"/>
      <c r="H28" s="280" t="n"/>
    </row>
    <row r="29" ht="27.75" customHeight="1" s="90">
      <c r="A29" s="277" t="inlineStr">
        <is>
          <t>Transportation</t>
        </is>
      </c>
      <c r="B29" s="278" t="n">
        <v>0.75</v>
      </c>
      <c r="C29" s="279" t="inlineStr">
        <is>
          <t>Route planning, high-liability</t>
        </is>
      </c>
      <c r="D29" s="105" t="n"/>
      <c r="E29" s="105" t="n"/>
      <c r="F29" s="105" t="n"/>
      <c r="G29" s="105" t="n"/>
      <c r="H29" s="280" t="n"/>
    </row>
    <row r="30" ht="24" customHeight="1" s="90">
      <c r="A30" s="281" t="inlineStr">
        <is>
          <t>Staffing &amp; Labor</t>
        </is>
      </c>
      <c r="B30" s="282" t="n">
        <v>0.9</v>
      </c>
      <c r="C30" s="283" t="inlineStr">
        <is>
          <t>Recruitment, scheduling, management</t>
        </is>
      </c>
      <c r="D30" s="105" t="n"/>
      <c r="E30" s="105" t="n"/>
      <c r="F30" s="105" t="n"/>
      <c r="G30" s="105" t="n"/>
      <c r="H30" s="280" t="n"/>
    </row>
    <row r="31" ht="24" customHeight="1" s="90">
      <c r="A31" s="277" t="inlineStr">
        <is>
          <t>Purchased / Sourced Items</t>
        </is>
      </c>
      <c r="B31" s="278" t="n">
        <v>2</v>
      </c>
      <c r="C31" s="279" t="inlineStr">
        <is>
          <t>Small items, disproportionate time (3×)</t>
        </is>
      </c>
      <c r="D31" s="105" t="n"/>
      <c r="E31" s="105" t="n"/>
      <c r="F31" s="105" t="n"/>
      <c r="G31" s="105" t="n"/>
      <c r="H31" s="280" t="n"/>
    </row>
    <row r="32" ht="24" customHeight="1" s="90">
      <c r="A32" s="281" t="inlineStr">
        <is>
          <t>Delivery &amp; Logistics</t>
        </is>
      </c>
      <c r="B32" s="282" t="n">
        <v>0.85</v>
      </c>
      <c r="C32" s="283" t="inlineStr">
        <is>
          <t>Timing risk, damage liability</t>
        </is>
      </c>
      <c r="D32" s="105" t="n"/>
      <c r="E32" s="105" t="n"/>
      <c r="F32" s="105" t="n"/>
      <c r="G32" s="105" t="n"/>
      <c r="H32" s="280" t="n"/>
    </row>
    <row r="33" ht="24" customHeight="1" s="90">
      <c r="A33" s="277" t="inlineStr">
        <is>
          <t>Tours &amp; Guided Experiences</t>
        </is>
      </c>
      <c r="B33" s="278" t="n">
        <v>0.65</v>
      </c>
      <c r="C33" s="279" t="inlineStr">
        <is>
          <t>Guide sourcing, route design</t>
        </is>
      </c>
      <c r="D33" s="105" t="n"/>
      <c r="E33" s="105" t="n"/>
      <c r="F33" s="105" t="n"/>
      <c r="G33" s="105" t="n"/>
      <c r="H33" s="280" t="n"/>
    </row>
    <row r="34" ht="18" customHeight="1" s="90">
      <c r="A34" s="284" t="inlineStr">
        <is>
          <t>Absolute Floor: 54%</t>
        </is>
      </c>
      <c r="B34" s="118" t="n"/>
      <c r="C34" s="119" t="inlineStr">
        <is>
          <t>No exceptions without owner approval</t>
        </is>
      </c>
      <c r="D34" s="118" t="n"/>
      <c r="E34" s="118" t="n"/>
      <c r="F34" s="118" t="n"/>
      <c r="G34" s="118" t="n"/>
      <c r="H34" s="280" t="n"/>
    </row>
    <row r="35" ht="20" customHeight="1" s="90">
      <c r="A35" s="285" t="inlineStr">
        <is>
          <t>CC Processing Fee %:</t>
        </is>
      </c>
      <c r="B35" s="286" t="n">
        <v>0.035</v>
      </c>
      <c r="C35" s="294" t="inlineStr">
        <is>
          <t>Applied to subtotal</t>
        </is>
      </c>
      <c r="D35" s="288" t="n"/>
      <c r="E35" s="414" t="n"/>
      <c r="F35" s="414" t="n"/>
      <c r="G35" s="415" t="n"/>
      <c r="H35" s="262" t="n"/>
      <c r="I35" s="94" t="n"/>
      <c r="J35" s="94" t="n"/>
      <c r="K35" s="94" t="n"/>
      <c r="L35" s="94" t="n"/>
      <c r="M35" s="94" t="n"/>
      <c r="N35" s="94" t="n"/>
      <c r="O35" s="94" t="n"/>
      <c r="P35" s="94" t="n"/>
      <c r="Q35" s="94" t="n"/>
      <c r="R35" s="94" t="n"/>
      <c r="S35" s="94" t="n"/>
      <c r="T35" s="94" t="n"/>
      <c r="U35" s="94" t="n"/>
      <c r="V35" s="94" t="n"/>
      <c r="W35" s="94" t="n"/>
      <c r="X35" s="94" t="n"/>
      <c r="Y35" s="94" t="n"/>
      <c r="Z35" s="94" t="n"/>
    </row>
    <row r="36" ht="20" customHeight="1" s="90">
      <c r="A36" s="285" t="inlineStr">
        <is>
          <t>Client Commission %:</t>
        </is>
      </c>
      <c r="B36" s="416" t="n">
        <v>0</v>
      </c>
      <c r="C36" s="294" t="inlineStr">
        <is>
          <t>Select commission rate (if applicable)</t>
        </is>
      </c>
      <c r="D36" s="288" t="n"/>
      <c r="E36" s="414" t="n"/>
      <c r="F36" s="414" t="n"/>
      <c r="G36" s="415" t="n"/>
      <c r="H36" s="262" t="n"/>
      <c r="I36" s="94" t="n"/>
      <c r="J36" s="94" t="n"/>
      <c r="K36" s="94" t="n"/>
      <c r="L36" s="94" t="n"/>
      <c r="M36" s="94" t="n"/>
      <c r="N36" s="94" t="n"/>
      <c r="O36" s="94" t="n"/>
      <c r="P36" s="94" t="n"/>
      <c r="Q36" s="94" t="n"/>
      <c r="R36" s="94" t="n"/>
      <c r="S36" s="94" t="n"/>
      <c r="T36" s="94" t="n"/>
      <c r="U36" s="94" t="n"/>
      <c r="V36" s="94" t="n"/>
      <c r="W36" s="94" t="n"/>
      <c r="X36" s="94" t="n"/>
      <c r="Y36" s="94" t="n"/>
      <c r="Z36" s="94" t="n"/>
    </row>
    <row r="37" ht="20" customHeight="1" s="90">
      <c r="A37" s="285" t="inlineStr">
        <is>
          <t>GDP Commission (6.5%):</t>
        </is>
      </c>
      <c r="B37" s="291" t="inlineStr">
        <is>
          <t>Yes</t>
        </is>
      </c>
      <c r="C37" s="259" t="inlineStr">
        <is>
          <t>Yes = 6.5% applied</t>
        </is>
      </c>
      <c r="D37" s="288" t="n"/>
      <c r="E37" s="414" t="n"/>
      <c r="F37" s="414" t="n"/>
      <c r="G37" s="415" t="n"/>
      <c r="H37" s="262"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253" t="n"/>
      <c r="B38" s="253" t="n"/>
      <c r="C38" s="253" t="n"/>
      <c r="D38" s="253" t="n"/>
      <c r="E38" s="253" t="n"/>
      <c r="F38" s="253" t="n"/>
      <c r="G38" s="253" t="n"/>
      <c r="H38" s="253" t="n"/>
      <c r="I38" s="94" t="n"/>
      <c r="J38" s="94" t="n"/>
      <c r="K38" s="94" t="n"/>
      <c r="L38" s="94" t="n"/>
      <c r="M38" s="94" t="n"/>
      <c r="N38" s="94" t="n"/>
      <c r="O38" s="94" t="n"/>
      <c r="P38" s="94" t="n"/>
      <c r="Q38" s="94" t="n"/>
      <c r="R38" s="94" t="n"/>
      <c r="S38" s="94" t="n"/>
      <c r="T38" s="94" t="n"/>
      <c r="U38" s="94" t="n"/>
      <c r="V38" s="94" t="n"/>
      <c r="W38" s="94" t="n"/>
      <c r="X38" s="94" t="n"/>
      <c r="Y38" s="94" t="n"/>
      <c r="Z38" s="94" t="n"/>
    </row>
    <row r="39" ht="27" customHeight="1" s="90">
      <c r="A39" s="254" t="inlineStr">
        <is>
          <t>RESTAURANT FEE DEFAULTS (can be overridden per venue)</t>
        </is>
      </c>
      <c r="B39" s="92" t="n"/>
      <c r="C39" s="92" t="n"/>
      <c r="D39" s="92" t="n"/>
      <c r="E39" s="92" t="n"/>
      <c r="F39" s="92" t="n"/>
      <c r="G39" s="93" t="n"/>
      <c r="H39" s="257" t="n"/>
      <c r="I39" s="94" t="n"/>
      <c r="J39" s="94" t="n"/>
      <c r="K39" s="94" t="n"/>
      <c r="L39" s="94" t="n"/>
      <c r="M39" s="94" t="n"/>
      <c r="N39" s="94" t="n"/>
      <c r="O39" s="94" t="n"/>
      <c r="P39" s="94" t="n"/>
      <c r="Q39" s="94" t="n"/>
      <c r="R39" s="94" t="n"/>
      <c r="S39" s="94" t="n"/>
      <c r="T39" s="94" t="n"/>
      <c r="U39" s="94" t="n"/>
      <c r="V39" s="94" t="n"/>
      <c r="W39" s="94" t="n"/>
      <c r="X39" s="94" t="n"/>
      <c r="Y39" s="94" t="n"/>
      <c r="Z39" s="94" t="n"/>
    </row>
    <row r="40" ht="20" customHeight="1" s="90">
      <c r="A40" s="285" t="inlineStr">
        <is>
          <t>Service Charge:</t>
        </is>
      </c>
      <c r="B40" s="291" t="inlineStr">
        <is>
          <t>20%</t>
        </is>
      </c>
      <c r="C40" s="294" t="inlineStr">
        <is>
          <t>20%, 21.5%, or None</t>
        </is>
      </c>
      <c r="D40" s="288" t="n"/>
      <c r="E40" s="414" t="n"/>
      <c r="F40" s="414" t="n"/>
      <c r="G40" s="415" t="n"/>
      <c r="H40" s="262" t="n"/>
      <c r="I40" s="94" t="n"/>
      <c r="J40" s="94" t="n"/>
      <c r="K40" s="94" t="n"/>
      <c r="L40" s="94" t="n"/>
      <c r="M40" s="94" t="n"/>
      <c r="N40" s="94" t="n"/>
      <c r="O40" s="94" t="n"/>
      <c r="P40" s="94" t="n"/>
      <c r="Q40" s="94" t="n"/>
      <c r="R40" s="94" t="n"/>
      <c r="S40" s="94" t="n"/>
      <c r="T40" s="94" t="n"/>
      <c r="U40" s="94" t="n"/>
      <c r="V40" s="94" t="n"/>
      <c r="W40" s="94" t="n"/>
      <c r="X40" s="94" t="n"/>
      <c r="Y40" s="94" t="n"/>
      <c r="Z40" s="94" t="n"/>
    </row>
    <row r="41" ht="20" customHeight="1" s="90">
      <c r="A41" s="285" t="inlineStr">
        <is>
          <t>Gratuity:</t>
        </is>
      </c>
      <c r="B41" s="291" t="inlineStr">
        <is>
          <t>20%</t>
        </is>
      </c>
      <c r="C41" s="294" t="inlineStr">
        <is>
          <t>20% or None</t>
        </is>
      </c>
      <c r="D41" s="288" t="n"/>
      <c r="E41" s="414" t="n"/>
      <c r="F41" s="414" t="n"/>
      <c r="G41" s="415" t="n"/>
      <c r="H41" s="262" t="n"/>
      <c r="I41" s="94" t="n"/>
      <c r="J41" s="94" t="n"/>
      <c r="K41" s="94" t="n"/>
      <c r="L41" s="94" t="n"/>
      <c r="M41" s="94" t="n"/>
      <c r="N41" s="94" t="n"/>
      <c r="O41" s="94" t="n"/>
      <c r="P41" s="94" t="n"/>
      <c r="Q41" s="94" t="n"/>
      <c r="R41" s="94" t="n"/>
      <c r="S41" s="94" t="n"/>
      <c r="T41" s="94" t="n"/>
      <c r="U41" s="94" t="n"/>
      <c r="V41" s="94" t="n"/>
      <c r="W41" s="94" t="n"/>
      <c r="X41" s="94" t="n"/>
      <c r="Y41" s="94" t="n"/>
      <c r="Z41" s="94" t="n"/>
    </row>
    <row r="42" ht="20" customHeight="1" s="90">
      <c r="A42" s="285" t="inlineStr">
        <is>
          <t>Admin Fee:</t>
        </is>
      </c>
      <c r="B42" s="291" t="inlineStr">
        <is>
          <t>5%</t>
        </is>
      </c>
      <c r="C42" s="294" t="inlineStr">
        <is>
          <t>5% or None</t>
        </is>
      </c>
      <c r="D42" s="288" t="n"/>
      <c r="E42" s="414" t="n"/>
      <c r="F42" s="414" t="n"/>
      <c r="G42" s="415" t="n"/>
      <c r="H42" s="262"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253" t="n"/>
      <c r="B43" s="253" t="n"/>
      <c r="C43" s="253" t="n"/>
      <c r="D43" s="253" t="n"/>
      <c r="E43" s="253" t="n"/>
      <c r="F43" s="253" t="n"/>
      <c r="G43" s="253" t="n"/>
      <c r="H43" s="253" t="n"/>
      <c r="I43" s="94" t="n"/>
      <c r="J43" s="94" t="n"/>
      <c r="K43" s="94" t="n"/>
      <c r="L43" s="94" t="n"/>
      <c r="M43" s="94" t="n"/>
      <c r="N43" s="94" t="n"/>
      <c r="O43" s="94" t="n"/>
      <c r="P43" s="94" t="n"/>
      <c r="Q43" s="94" t="n"/>
      <c r="R43" s="94" t="n"/>
      <c r="S43" s="94" t="n"/>
      <c r="T43" s="94" t="n"/>
      <c r="U43" s="94" t="n"/>
      <c r="V43" s="94" t="n"/>
      <c r="W43" s="94" t="n"/>
      <c r="X43" s="94" t="n"/>
      <c r="Y43" s="94" t="n"/>
      <c r="Z43" s="94" t="n"/>
    </row>
    <row r="44" ht="27" customHeight="1" s="90">
      <c r="A44" s="254" t="inlineStr">
        <is>
          <t>HOW TO USE</t>
        </is>
      </c>
      <c r="B44" s="92" t="n"/>
      <c r="C44" s="92" t="n"/>
      <c r="D44" s="92" t="n"/>
      <c r="E44" s="92" t="n"/>
      <c r="F44" s="92" t="n"/>
      <c r="G44" s="93" t="n"/>
      <c r="H44" s="257" t="n"/>
      <c r="I44" s="94" t="n"/>
      <c r="J44" s="94" t="n"/>
      <c r="K44" s="94" t="n"/>
      <c r="L44" s="94" t="n"/>
      <c r="M44" s="94" t="n"/>
      <c r="N44" s="94" t="n"/>
      <c r="O44" s="94" t="n"/>
      <c r="P44" s="94" t="n"/>
      <c r="Q44" s="94" t="n"/>
      <c r="R44" s="94" t="n"/>
      <c r="S44" s="94" t="n"/>
      <c r="T44" s="94" t="n"/>
      <c r="U44" s="94" t="n"/>
      <c r="V44" s="94" t="n"/>
      <c r="W44" s="94" t="n"/>
      <c r="X44" s="94" t="n"/>
      <c r="Y44" s="94" t="n"/>
      <c r="Z44" s="94" t="n"/>
    </row>
    <row r="45" ht="18" customHeight="1" s="90">
      <c r="A45" s="295" t="inlineStr">
        <is>
          <t>1.  Fill out all fields above — this information feeds into every estimate tab.</t>
        </is>
      </c>
      <c r="B45" s="92" t="n"/>
      <c r="C45" s="92" t="n"/>
      <c r="D45" s="92" t="n"/>
      <c r="E45" s="92" t="n"/>
      <c r="F45" s="92" t="n"/>
      <c r="G45" s="93" t="n"/>
      <c r="H45" s="253" t="n"/>
      <c r="I45" s="94" t="n"/>
      <c r="J45" s="94" t="n"/>
      <c r="K45" s="94" t="n"/>
      <c r="L45" s="94" t="n"/>
      <c r="M45" s="94" t="n"/>
      <c r="N45" s="94" t="n"/>
      <c r="O45" s="94" t="n"/>
      <c r="P45" s="94" t="n"/>
      <c r="Q45" s="94" t="n"/>
      <c r="R45" s="94" t="n"/>
      <c r="S45" s="94" t="n"/>
      <c r="T45" s="94" t="n"/>
      <c r="U45" s="94" t="n"/>
      <c r="V45" s="94" t="n"/>
      <c r="W45" s="94" t="n"/>
      <c r="X45" s="94" t="n"/>
      <c r="Y45" s="94" t="n"/>
      <c r="Z45" s="94" t="n"/>
    </row>
    <row r="46" ht="18" customHeight="1" s="90">
      <c r="A46" s="295" t="inlineStr">
        <is>
          <t>2.  Right-click the 'Venue Estimate' tab → 'Move or Copy' → check 'Create a copy'.</t>
        </is>
      </c>
      <c r="B46" s="92" t="n"/>
      <c r="C46" s="92" t="n"/>
      <c r="D46" s="92" t="n"/>
      <c r="E46" s="92" t="n"/>
      <c r="F46" s="92" t="n"/>
      <c r="G46" s="93" t="n"/>
      <c r="H46" s="253" t="n"/>
      <c r="I46" s="94" t="n"/>
      <c r="J46" s="94" t="n"/>
      <c r="K46" s="94" t="n"/>
      <c r="L46" s="94" t="n"/>
      <c r="M46" s="94" t="n"/>
      <c r="N46" s="94" t="n"/>
      <c r="O46" s="94" t="n"/>
      <c r="P46" s="94" t="n"/>
      <c r="Q46" s="94" t="n"/>
      <c r="R46" s="94" t="n"/>
      <c r="S46" s="94" t="n"/>
      <c r="T46" s="94" t="n"/>
      <c r="U46" s="94" t="n"/>
      <c r="V46" s="94" t="n"/>
      <c r="W46" s="94" t="n"/>
      <c r="X46" s="94" t="n"/>
      <c r="Y46" s="94" t="n"/>
      <c r="Z46" s="94" t="n"/>
    </row>
    <row r="47" ht="18" customHeight="1" s="90">
      <c r="A47" s="295" t="inlineStr">
        <is>
          <t>3.  Rename the copied tab to the restaurant/venue name.</t>
        </is>
      </c>
      <c r="B47" s="92" t="n"/>
      <c r="C47" s="92" t="n"/>
      <c r="D47" s="92" t="n"/>
      <c r="E47" s="92" t="n"/>
      <c r="F47" s="92" t="n"/>
      <c r="G47" s="93" t="n"/>
      <c r="H47" s="253" t="n"/>
      <c r="I47" s="94" t="n"/>
      <c r="J47" s="94" t="n"/>
      <c r="K47" s="94" t="n"/>
      <c r="L47" s="94" t="n"/>
      <c r="M47" s="94" t="n"/>
      <c r="N47" s="94" t="n"/>
      <c r="O47" s="94" t="n"/>
      <c r="P47" s="94" t="n"/>
      <c r="Q47" s="94" t="n"/>
      <c r="R47" s="94" t="n"/>
      <c r="S47" s="94" t="n"/>
      <c r="T47" s="94" t="n"/>
      <c r="U47" s="94" t="n"/>
      <c r="V47" s="94" t="n"/>
      <c r="W47" s="94" t="n"/>
      <c r="X47" s="94" t="n"/>
      <c r="Y47" s="94" t="n"/>
      <c r="Z47" s="94" t="n"/>
    </row>
    <row r="48" ht="18" customHeight="1" s="90">
      <c r="A48" s="295" t="inlineStr">
        <is>
          <t>4.  On the new tab, enter venue name, F&amp;B minimum, and line item pricing.</t>
        </is>
      </c>
      <c r="B48" s="92" t="n"/>
      <c r="C48" s="92" t="n"/>
      <c r="D48" s="92" t="n"/>
      <c r="E48" s="92" t="n"/>
      <c r="F48" s="92" t="n"/>
      <c r="G48" s="93" t="n"/>
      <c r="H48" s="253" t="n"/>
      <c r="I48" s="94" t="n"/>
      <c r="J48" s="94" t="n"/>
      <c r="K48" s="94" t="n"/>
      <c r="L48" s="94" t="n"/>
      <c r="M48" s="94" t="n"/>
      <c r="N48" s="94" t="n"/>
      <c r="O48" s="94" t="n"/>
      <c r="P48" s="94" t="n"/>
      <c r="Q48" s="94" t="n"/>
      <c r="R48" s="94" t="n"/>
      <c r="S48" s="94" t="n"/>
      <c r="T48" s="94" t="n"/>
      <c r="U48" s="94" t="n"/>
      <c r="V48" s="94" t="n"/>
      <c r="W48" s="94" t="n"/>
      <c r="X48" s="94" t="n"/>
      <c r="Y48" s="94" t="n"/>
      <c r="Z48" s="94" t="n"/>
    </row>
    <row r="49" ht="18" customHeight="1" s="90">
      <c r="A49" s="295" t="inlineStr">
        <is>
          <t>5.  Fee structure defaults from this tab but can be overridden per venue (yellow fields).</t>
        </is>
      </c>
      <c r="B49" s="92" t="n"/>
      <c r="C49" s="92" t="n"/>
      <c r="D49" s="92" t="n"/>
      <c r="E49" s="92" t="n"/>
      <c r="F49" s="92" t="n"/>
      <c r="G49" s="93" t="n"/>
      <c r="H49" s="253" t="n"/>
      <c r="I49" s="94" t="n"/>
      <c r="J49" s="94" t="n"/>
      <c r="K49" s="94" t="n"/>
      <c r="L49" s="94" t="n"/>
      <c r="M49" s="94" t="n"/>
      <c r="N49" s="94" t="n"/>
      <c r="O49" s="94" t="n"/>
      <c r="P49" s="94" t="n"/>
      <c r="Q49" s="94" t="n"/>
      <c r="R49" s="94" t="n"/>
      <c r="S49" s="94" t="n"/>
      <c r="T49" s="94" t="n"/>
      <c r="U49" s="94" t="n"/>
      <c r="V49" s="94" t="n"/>
      <c r="W49" s="94" t="n"/>
      <c r="X49" s="94" t="n"/>
      <c r="Y49" s="94" t="n"/>
      <c r="Z49" s="94" t="n"/>
    </row>
    <row r="50" ht="18" customHeight="1" s="90">
      <c r="A50" s="295" t="inlineStr">
        <is>
          <t>6.  The Client-Ready Table auto-generates rounded numbers for Canva export.</t>
        </is>
      </c>
      <c r="B50" s="92" t="n"/>
      <c r="C50" s="92" t="n"/>
      <c r="D50" s="92" t="n"/>
      <c r="E50" s="92" t="n"/>
      <c r="F50" s="92" t="n"/>
      <c r="G50" s="93" t="n"/>
      <c r="H50" s="253"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253" t="n"/>
      <c r="B51" s="253" t="n"/>
      <c r="C51" s="253" t="n"/>
      <c r="D51" s="253" t="n"/>
      <c r="E51" s="253" t="n"/>
      <c r="F51" s="253" t="n"/>
      <c r="G51" s="253" t="n"/>
      <c r="H51" s="253"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253" t="n"/>
      <c r="H52" s="253"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253" t="n"/>
      <c r="H53" s="253"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253" t="n"/>
      <c r="H54" s="253"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253" t="n"/>
      <c r="H55" s="253"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253" t="n"/>
      <c r="H56" s="253"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253" t="n"/>
      <c r="H57" s="253"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253" t="n"/>
      <c r="H58" s="253"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253" t="n"/>
      <c r="H59" s="253"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253" t="n"/>
      <c r="H60" s="253"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253" t="n"/>
      <c r="H61" s="253"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253" t="n"/>
      <c r="H62" s="253"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253" t="n"/>
      <c r="H63" s="253"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253" t="n"/>
      <c r="B64" s="253" t="n"/>
      <c r="C64" s="253" t="n"/>
      <c r="D64" s="253" t="n"/>
      <c r="E64" s="253" t="n"/>
      <c r="F64" s="253" t="n"/>
      <c r="G64" s="253" t="n"/>
      <c r="H64" s="253"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253" t="n"/>
      <c r="D65" s="253" t="n"/>
      <c r="E65" s="253" t="n"/>
      <c r="F65" s="253" t="n"/>
      <c r="G65" s="253" t="n"/>
      <c r="H65" s="253"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253" t="n"/>
      <c r="D66" s="253" t="n"/>
      <c r="E66" s="253" t="n"/>
      <c r="F66" s="253" t="n"/>
      <c r="G66" s="253" t="n"/>
      <c r="H66" s="253"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253" t="n"/>
      <c r="D67" s="253" t="n"/>
      <c r="E67" s="253" t="n"/>
      <c r="F67" s="253" t="n"/>
      <c r="G67" s="253" t="n"/>
      <c r="H67" s="253"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253" t="n"/>
      <c r="D68" s="253" t="n"/>
      <c r="E68" s="253" t="n"/>
      <c r="F68" s="253" t="n"/>
      <c r="G68" s="253" t="n"/>
      <c r="H68" s="253"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253" t="n"/>
      <c r="D69" s="253" t="n"/>
      <c r="E69" s="253" t="n"/>
      <c r="F69" s="253" t="n"/>
      <c r="G69" s="253" t="n"/>
      <c r="H69" s="253"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253" t="n"/>
      <c r="D70" s="253" t="n"/>
      <c r="E70" s="253" t="n"/>
      <c r="F70" s="253" t="n"/>
      <c r="G70" s="253" t="n"/>
      <c r="H70" s="253"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253" t="n"/>
      <c r="D71" s="253" t="n"/>
      <c r="E71" s="253" t="n"/>
      <c r="F71" s="253" t="n"/>
      <c r="G71" s="253" t="n"/>
      <c r="H71" s="253"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253" t="n"/>
      <c r="D72" s="253" t="n"/>
      <c r="E72" s="253" t="n"/>
      <c r="F72" s="253" t="n"/>
      <c r="G72" s="253" t="n"/>
      <c r="H72" s="253"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53" t="n"/>
      <c r="B73" s="253" t="n"/>
      <c r="C73" s="253" t="n"/>
      <c r="D73" s="253" t="n"/>
      <c r="E73" s="253" t="n"/>
      <c r="F73" s="253" t="n"/>
      <c r="G73" s="253" t="n"/>
      <c r="H73" s="253"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298" t="inlineStr">
        <is>
          <t>LOCATION</t>
        </is>
      </c>
      <c r="B74" s="298" t="inlineStr">
        <is>
          <t>FOOD TAX</t>
        </is>
      </c>
      <c r="C74" s="298" t="inlineStr">
        <is>
          <t>ALCOHOL TAX</t>
        </is>
      </c>
      <c r="D74" s="298" t="inlineStr">
        <is>
          <t>GENERAL TAX</t>
        </is>
      </c>
      <c r="E74" s="253" t="n"/>
      <c r="F74" s="253" t="n"/>
      <c r="G74" s="253" t="n"/>
      <c r="H74" s="253"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299" t="inlineStr">
        <is>
          <t>Mecklenburg County NC (Charlotte)</t>
        </is>
      </c>
      <c r="B75" s="300" t="n">
        <v>0.0725</v>
      </c>
      <c r="C75" s="300" t="n">
        <v>0.0725</v>
      </c>
      <c r="D75" s="300" t="n">
        <v>0.0725</v>
      </c>
      <c r="E75" s="253" t="n"/>
      <c r="F75" s="253" t="n"/>
      <c r="G75" s="253" t="n"/>
      <c r="H75" s="253"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299" t="inlineStr">
        <is>
          <t>Wake County NC (Raleigh)</t>
        </is>
      </c>
      <c r="B76" s="300" t="n">
        <v>0.0725</v>
      </c>
      <c r="C76" s="300" t="n">
        <v>0.0725</v>
      </c>
      <c r="D76" s="300" t="n">
        <v>0.0725</v>
      </c>
      <c r="E76" s="253" t="n"/>
      <c r="F76" s="253" t="n"/>
      <c r="G76" s="253" t="n"/>
      <c r="H76" s="253"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299" t="inlineStr">
        <is>
          <t>Durham County NC</t>
        </is>
      </c>
      <c r="B77" s="300" t="n">
        <v>0.075</v>
      </c>
      <c r="C77" s="300" t="n">
        <v>0.075</v>
      </c>
      <c r="D77" s="300" t="n">
        <v>0.075</v>
      </c>
      <c r="E77" s="253" t="n"/>
      <c r="F77" s="253" t="n"/>
      <c r="G77" s="253" t="n"/>
      <c r="H77" s="253"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299" t="inlineStr">
        <is>
          <t>Cabarrus County NC (Concord)</t>
        </is>
      </c>
      <c r="B78" s="300" t="n">
        <v>0.07000000000000001</v>
      </c>
      <c r="C78" s="300" t="n">
        <v>0.07000000000000001</v>
      </c>
      <c r="D78" s="300" t="n">
        <v>0.07000000000000001</v>
      </c>
      <c r="E78" s="253" t="n"/>
      <c r="F78" s="253" t="n"/>
      <c r="G78" s="253" t="n"/>
      <c r="H78" s="253"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299" t="inlineStr">
        <is>
          <t>Buncombe County NC (Asheville)</t>
        </is>
      </c>
      <c r="B79" s="300" t="n">
        <v>0.07000000000000001</v>
      </c>
      <c r="C79" s="300" t="n">
        <v>0.07000000000000001</v>
      </c>
      <c r="D79" s="300" t="n">
        <v>0.07000000000000001</v>
      </c>
      <c r="E79" s="253" t="n"/>
      <c r="F79" s="253" t="n"/>
      <c r="G79" s="253" t="n"/>
      <c r="H79" s="253"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299" t="inlineStr">
        <is>
          <t>Wilson NC</t>
        </is>
      </c>
      <c r="B80" s="300" t="n">
        <v>0.0675</v>
      </c>
      <c r="C80" s="300" t="n">
        <v>0.0675</v>
      </c>
      <c r="D80" s="300" t="n">
        <v>0.0675</v>
      </c>
      <c r="E80" s="253" t="n"/>
      <c r="F80" s="253" t="n"/>
      <c r="G80" s="253" t="n"/>
      <c r="H80" s="253"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299" t="inlineStr">
        <is>
          <t>DC</t>
        </is>
      </c>
      <c r="B81" s="300" t="n">
        <v>0.1</v>
      </c>
      <c r="C81" s="300" t="n">
        <v>0.1025</v>
      </c>
      <c r="D81" s="300" t="n">
        <v>0.06</v>
      </c>
      <c r="E81" s="253" t="n"/>
      <c r="F81" s="253" t="n"/>
      <c r="G81" s="253" t="n"/>
      <c r="H81" s="253"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299" t="inlineStr">
        <is>
          <t>Maryland</t>
        </is>
      </c>
      <c r="B82" s="300" t="n">
        <v>0.06</v>
      </c>
      <c r="C82" s="300" t="n">
        <v>0.09</v>
      </c>
      <c r="D82" s="300" t="n">
        <v>0.06</v>
      </c>
      <c r="E82" s="253" t="n"/>
      <c r="F82" s="253" t="n"/>
      <c r="G82" s="253" t="n"/>
      <c r="H82" s="253"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99" t="inlineStr">
        <is>
          <t>Richmond VA</t>
        </is>
      </c>
      <c r="B83" s="300" t="n">
        <v>0.075</v>
      </c>
      <c r="C83" s="300" t="n">
        <v>0.075</v>
      </c>
      <c r="D83" s="300" t="n">
        <v>0.06</v>
      </c>
      <c r="E83" s="253" t="n"/>
      <c r="F83" s="253" t="n"/>
      <c r="G83" s="253" t="n"/>
      <c r="H83" s="253"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99" t="inlineStr">
        <is>
          <t>Leesburg VA</t>
        </is>
      </c>
      <c r="B84" s="300" t="n">
        <v>0.06</v>
      </c>
      <c r="C84" s="300" t="n">
        <v>0.06</v>
      </c>
      <c r="D84" s="300" t="n">
        <v>0.06</v>
      </c>
      <c r="E84" s="253" t="n"/>
      <c r="F84" s="253" t="n"/>
      <c r="G84" s="253" t="n"/>
      <c r="H84" s="253"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99" t="inlineStr">
        <is>
          <t>Atlanta GA</t>
        </is>
      </c>
      <c r="B85" s="300" t="n">
        <v>0.089</v>
      </c>
      <c r="C85" s="300" t="n">
        <v>0.089</v>
      </c>
      <c r="D85" s="300" t="n">
        <v>0.089</v>
      </c>
      <c r="E85" s="253" t="n"/>
      <c r="F85" s="253" t="n"/>
      <c r="G85" s="253" t="n"/>
      <c r="H85" s="253"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99" t="inlineStr">
        <is>
          <t>Cobb County GA</t>
        </is>
      </c>
      <c r="B86" s="300" t="n">
        <v>0.06</v>
      </c>
      <c r="C86" s="300" t="n">
        <v>0.06</v>
      </c>
      <c r="D86" s="300" t="n">
        <v>0.06</v>
      </c>
      <c r="E86" s="253" t="n"/>
      <c r="F86" s="253" t="n"/>
      <c r="G86" s="253" t="n"/>
      <c r="H86" s="253"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99" t="inlineStr">
        <is>
          <t>DeKalb County GA</t>
        </is>
      </c>
      <c r="B87" s="300" t="n">
        <v>0.08</v>
      </c>
      <c r="C87" s="300" t="n">
        <v>0.08</v>
      </c>
      <c r="D87" s="300" t="n">
        <v>0.08</v>
      </c>
      <c r="E87" s="253" t="n"/>
      <c r="F87" s="253" t="n"/>
      <c r="G87" s="253" t="n"/>
      <c r="H87" s="253"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299" t="inlineStr">
        <is>
          <t>Chatham County GA (Savannah)</t>
        </is>
      </c>
      <c r="B88" s="300" t="n">
        <v>0.07000000000000001</v>
      </c>
      <c r="C88" s="300" t="n">
        <v>0.07000000000000001</v>
      </c>
      <c r="D88" s="300" t="n">
        <v>0.07000000000000001</v>
      </c>
      <c r="E88" s="253" t="n"/>
      <c r="F88" s="253" t="n"/>
      <c r="G88" s="253" t="n"/>
      <c r="H88" s="253"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99" t="inlineStr">
        <is>
          <t>Greene County GA (Greensboro)</t>
        </is>
      </c>
      <c r="B89" s="300" t="n">
        <v>0.08</v>
      </c>
      <c r="C89" s="300" t="n">
        <v>0.08</v>
      </c>
      <c r="D89" s="300" t="n">
        <v>0.08</v>
      </c>
      <c r="E89" s="253" t="n"/>
      <c r="F89" s="253" t="n"/>
      <c r="G89" s="253" t="n"/>
      <c r="H89" s="253"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99" t="inlineStr">
        <is>
          <t>Philadelphia PA</t>
        </is>
      </c>
      <c r="B90" s="300" t="n">
        <v>0.08</v>
      </c>
      <c r="C90" s="300" t="n">
        <v>0.08</v>
      </c>
      <c r="D90" s="300" t="n">
        <v>0.08</v>
      </c>
      <c r="E90" s="253" t="n"/>
      <c r="F90" s="253" t="n"/>
      <c r="G90" s="253" t="n"/>
      <c r="H90" s="253"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99" t="inlineStr">
        <is>
          <t>NYC</t>
        </is>
      </c>
      <c r="B91" s="300" t="n">
        <v>0.08875</v>
      </c>
      <c r="C91" s="300" t="n">
        <v>0.08875</v>
      </c>
      <c r="D91" s="300" t="n">
        <v>0.08875</v>
      </c>
      <c r="E91" s="253" t="n"/>
      <c r="F91" s="253" t="n"/>
      <c r="G91" s="253" t="n"/>
      <c r="H91" s="253"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99" t="inlineStr">
        <is>
          <t>Charleston SC</t>
        </is>
      </c>
      <c r="B92" s="300" t="n">
        <v>0.08</v>
      </c>
      <c r="C92" s="300" t="n">
        <v>0.08</v>
      </c>
      <c r="D92" s="300" t="n">
        <v>0.08</v>
      </c>
      <c r="E92" s="253" t="n"/>
      <c r="F92" s="253" t="n"/>
      <c r="G92" s="253" t="n"/>
      <c r="H92" s="253"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99" t="inlineStr">
        <is>
          <t>Union SC</t>
        </is>
      </c>
      <c r="B93" s="300" t="n">
        <v>0.07000000000000001</v>
      </c>
      <c r="C93" s="300" t="n">
        <v>0.07000000000000001</v>
      </c>
      <c r="D93" s="300" t="n">
        <v>0.07000000000000001</v>
      </c>
      <c r="E93" s="253" t="n"/>
      <c r="F93" s="253" t="n"/>
      <c r="G93" s="253" t="n"/>
      <c r="H93" s="253"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299" t="inlineStr">
        <is>
          <t>York SC</t>
        </is>
      </c>
      <c r="B94" s="300" t="n">
        <v>0.07000000000000001</v>
      </c>
      <c r="C94" s="300" t="n">
        <v>0.07000000000000001</v>
      </c>
      <c r="D94" s="300" t="n">
        <v>0.07000000000000001</v>
      </c>
      <c r="E94" s="253" t="n"/>
      <c r="F94" s="253" t="n"/>
      <c r="G94" s="253" t="n"/>
      <c r="H94" s="253"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299" t="inlineStr">
        <is>
          <t>Greenville SC</t>
        </is>
      </c>
      <c r="B95" s="300" t="n">
        <v>0.06</v>
      </c>
      <c r="C95" s="300" t="n">
        <v>0.06</v>
      </c>
      <c r="D95" s="300" t="n">
        <v>0.06</v>
      </c>
      <c r="E95" s="253" t="n"/>
      <c r="F95" s="253" t="n"/>
      <c r="G95" s="253" t="n"/>
      <c r="H95" s="253"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299" t="inlineStr">
        <is>
          <t>New Jersey</t>
        </is>
      </c>
      <c r="B96" s="300" t="n">
        <v>0.06625</v>
      </c>
      <c r="C96" s="300" t="n">
        <v>0.06625</v>
      </c>
      <c r="D96" s="300" t="n">
        <v>0.06625</v>
      </c>
      <c r="E96" s="253" t="n"/>
      <c r="F96" s="253" t="n"/>
      <c r="G96" s="253" t="n"/>
      <c r="H96" s="253"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sheetProtection selectLockedCells="0" selectUnlockedCells="0" sheet="1" objects="0" insertRows="0" insertHyperlinks="1" autoFilter="0" scenarios="0" formatColumns="0" deleteColumns="1" insertColumns="1" pivotTables="1" deleteRows="1" formatCells="0" formatRows="0" sort="0" password="CE4B"/>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5">
    <dataValidation sqref="C26" showDropDown="0" showInputMessage="0" showErrorMessage="0" allowBlank="1" type="list">
      <formula1>"20%,None"</formula1>
      <formula2>0</formula2>
    </dataValidation>
    <dataValidation sqref="C27" showDropDown="0" showInputMessage="0" showErrorMessage="0" allowBlank="1" type="list">
      <formula1>"5%,None"</formula1>
      <formula2>0</formula2>
    </dataValidation>
    <dataValidation sqref="C21" showDropDown="0" showInputMessage="0" showErrorMessage="0" allowBlank="1" type="list">
      <formula1>"0.00,0.05,0.07,0.08,0.10,0.12,0.15"</formula1>
      <formula2>0</formula2>
    </dataValidation>
    <dataValidation sqref="C25" showDropDown="0" showInputMessage="0" showErrorMessage="0" allowBlank="1" type="list">
      <formula1>"20%,21.5%,None"</formula1>
      <formula2>0</formula2>
    </dataValidation>
    <dataValidation sqref="B8" showDropDown="0" showInputMessage="0" showErrorMessage="0" allowBlank="1" type="list">
      <formula1>"Plated,Buffet,Family Style,Stations,Passed,Reception"</formula1>
      <formula2>0</formula2>
    </dataValidation>
    <dataValidation sqref="B9" showDropDown="0" showInputMessage="0" showErrorMessage="0" allowBlank="1" type="list">
      <formula1>"Beer and Wine,2 Glasses of Wine PP,Full Bar,On Consumption"</formula1>
      <formula2>0</formula2>
    </dataValidation>
    <dataValidation sqref="C22" showDropDown="0" showInputMessage="0" showErrorMessage="0" allowBlank="1" type="list">
      <formula1>"Yes,No"</formula1>
      <formula2>0</formula2>
    </dataValidation>
    <dataValidation sqref="B23" showDropDown="0" showInputMessage="0" showErrorMessage="0" allowBlank="0" prompt="Select markup percentage" type="list">
      <formula1>"0.50,0.55,0.60,0.65,0.70,0.75,0.80,0.85,0.90,0.95,1.00,1.25,1.50,1.75,2.00"</formula1>
    </dataValidation>
    <dataValidation sqref="B24" showDropDown="0" showInputMessage="0" showErrorMessage="0" allowBlank="0" prompt="Select markup percentage" type="list">
      <formula1>"0.50,0.55,0.60,0.65,0.70,0.75,0.80,0.85,0.90,0.95,1.00,1.25,1.50,1.75,2.00"</formula1>
    </dataValidation>
    <dataValidation sqref="B25" showDropDown="0" showInputMessage="0" showErrorMessage="0" allowBlank="0" prompt="Select markup percentage" type="list">
      <formula1>"0.50,0.55,0.60,0.65,0.70,0.75,0.80,0.85,0.90,0.95,1.00,1.25,1.50,1.75,2.00"</formula1>
    </dataValidation>
    <dataValidation sqref="B26" showDropDown="0" showInputMessage="0" showErrorMessage="0" allowBlank="0" prompt="Select markup percentage" type="list">
      <formula1>"0.50,0.55,0.60,0.65,0.70,0.75,0.80,0.85,0.90,0.95,1.00,1.25,1.50,1.75,2.00"</formula1>
    </dataValidation>
    <dataValidation sqref="B27" showDropDown="0" showInputMessage="0" showErrorMessage="0" allowBlank="0" prompt="Select markup percentage" type="list">
      <formula1>"0.50,0.55,0.60,0.65,0.70,0.75,0.80,0.85,0.90,0.95,1.00,1.25,1.50,1.75,2.00"</formula1>
    </dataValidation>
    <dataValidation sqref="B28" showDropDown="0" showInputMessage="0" showErrorMessage="0" allowBlank="0" prompt="Select markup percentage" type="list">
      <formula1>"0.50,0.55,0.60,0.65,0.70,0.75,0.80,0.85,0.90,0.95,1.00,1.25,1.50,1.75,2.00"</formula1>
    </dataValidation>
    <dataValidation sqref="B29" showDropDown="0" showInputMessage="0" showErrorMessage="0" allowBlank="0" prompt="Select markup percentage" type="list">
      <formula1>"0.50,0.55,0.60,0.65,0.70,0.75,0.80,0.85,0.90,0.95,1.00,1.25,1.50,1.75,2.00"</formula1>
    </dataValidation>
    <dataValidation sqref="B30" showDropDown="0" showInputMessage="0" showErrorMessage="0" allowBlank="0" prompt="Select markup percentage" type="list">
      <formula1>"0.50,0.55,0.60,0.65,0.70,0.75,0.80,0.85,0.90,0.95,1.00,1.25,1.50,1.75,2.00"</formula1>
    </dataValidation>
    <dataValidation sqref="B31" showDropDown="0" showInputMessage="0" showErrorMessage="0" allowBlank="0" prompt="Select markup percentage" type="list">
      <formula1>"0.50,0.55,0.60,0.65,0.70,0.75,0.80,0.85,0.90,0.95,1.00,1.25,1.50,1.75,2.00"</formula1>
    </dataValidation>
    <dataValidation sqref="B32" showDropDown="0" showInputMessage="0" showErrorMessage="0" allowBlank="0" prompt="Select markup percentage" type="list">
      <formula1>"0.50,0.55,0.60,0.65,0.70,0.75,0.80,0.85,0.90,0.95,1.00,1.25,1.50,1.75,2.00"</formula1>
    </dataValidation>
    <dataValidation sqref="B33" showDropDown="0" showInputMessage="0" showErrorMessage="0" allowBlank="0" prompt="Select markup percentage" type="list">
      <formula1>"0.50,0.55,0.60,0.65,0.70,0.75,0.80,0.85,0.90,0.95,1.00,1.25,1.50,1.75,2.00"</formula1>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C36" showDropDown="0" showInputMessage="0" showErrorMessage="0" allowBlank="0" type="list">
      <formula1>"0.00,0.05,0.07,0.08,0.10,0.12,0.15"</formula1>
    </dataValidation>
    <dataValidation sqref="B16" showDropDown="0" showInputMessage="0" showErrorMessage="0" allowBlank="1" type="list">
      <formula1>'Client Setup - Blank'!$A$75:$A$96</formula1>
    </dataValidation>
    <dataValidation sqref="C35" showDropDown="0" showInputMessage="0" showErrorMessage="0" allowBlank="0" type="list">
      <formula1>"0,0.035,0.04,0.045,0.05"</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3"/>
    <col width="13" customWidth="1" style="90" min="3" max="3"/>
    <col width="15" customWidth="1" style="89" min="4" max="5"/>
    <col width="15" customWidth="1" style="90" min="5" max="5"/>
    <col width="11" customWidth="1" style="89" min="6" max="6"/>
    <col width="21" customWidth="1" style="89" min="7" max="7"/>
    <col width="32" customWidth="1" style="89" min="8" max="8"/>
    <col width="22" customWidth="1" style="89" min="9" max="9"/>
    <col width="14" customWidth="1" style="89" min="10" max="10"/>
    <col width="12" customWidth="1" style="89" min="11" max="11"/>
    <col width="8.710000000000001" customWidth="1" style="89" min="12"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Restaurant / Venue Estimate</t>
        </is>
      </c>
      <c r="B2" s="92" t="n"/>
      <c r="C2" s="92" t="n"/>
      <c r="D2" s="92" t="n"/>
      <c r="E2" s="92" t="n"/>
      <c r="F2" s="92" t="n"/>
      <c r="G2" s="93" t="n"/>
      <c r="H2" s="252" t="n"/>
      <c r="I2" s="252" t="n"/>
      <c r="J2" s="252" t="n"/>
      <c r="K2" s="252"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94" t="n"/>
      <c r="M3" s="94" t="n"/>
      <c r="N3" s="94" t="n"/>
      <c r="O3" s="94" t="n"/>
      <c r="P3" s="94" t="n"/>
      <c r="Q3" s="94" t="n"/>
      <c r="R3" s="94" t="n"/>
      <c r="S3" s="94" t="n"/>
      <c r="T3" s="94" t="n"/>
      <c r="U3" s="94" t="n"/>
      <c r="V3" s="94" t="n"/>
      <c r="W3" s="94" t="n"/>
      <c r="X3" s="94" t="n"/>
      <c r="Y3" s="94" t="n"/>
      <c r="Z3" s="94" t="n"/>
    </row>
    <row r="4" ht="27" customHeight="1" s="90">
      <c r="A4" s="254" t="inlineStr">
        <is>
          <t>VENUE DETAILS</t>
        </is>
      </c>
      <c r="B4" s="92" t="n"/>
      <c r="C4" s="92" t="n"/>
      <c r="D4" s="92" t="n"/>
      <c r="E4" s="92" t="n"/>
      <c r="F4" s="92" t="n"/>
      <c r="G4" s="93" t="n"/>
      <c r="H4" s="257" t="n"/>
      <c r="I4" s="254"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301" t="inlineStr">
        <is>
          <t>Venue / Restaurant Name:</t>
        </is>
      </c>
      <c r="B5" s="302" t="inlineStr">
        <is>
          <t>TEST RESTAURANT</t>
        </is>
      </c>
      <c r="C5" s="244" t="n"/>
      <c r="D5" s="304" t="n"/>
      <c r="E5" s="304" t="n"/>
      <c r="F5" s="304" t="n"/>
      <c r="G5" s="304" t="n"/>
      <c r="H5" s="253" t="n"/>
      <c r="I5" s="305"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301" t="inlineStr">
        <is>
          <t>Room / Space:</t>
        </is>
      </c>
      <c r="B6" s="302" t="inlineStr">
        <is>
          <t>Main Dining Room</t>
        </is>
      </c>
      <c r="C6" s="244" t="n"/>
      <c r="D6" s="304" t="n"/>
      <c r="E6" s="304" t="n"/>
      <c r="F6" s="304" t="n"/>
      <c r="G6" s="304" t="n"/>
      <c r="H6" s="253" t="n"/>
      <c r="I6" s="306" t="n"/>
      <c r="J6" s="306" t="n"/>
      <c r="K6" s="306" t="n"/>
      <c r="L6" s="94" t="n"/>
      <c r="M6" s="94" t="n"/>
      <c r="N6" s="94" t="n"/>
      <c r="O6" s="94" t="n"/>
      <c r="P6" s="94" t="n"/>
      <c r="Q6" s="94" t="n"/>
      <c r="R6" s="94" t="n"/>
      <c r="S6" s="94" t="n"/>
      <c r="T6" s="94" t="n"/>
      <c r="U6" s="94" t="n"/>
      <c r="V6" s="94" t="n"/>
      <c r="W6" s="94" t="n"/>
      <c r="X6" s="94" t="n"/>
      <c r="Y6" s="94" t="n"/>
      <c r="Z6" s="94" t="n"/>
    </row>
    <row r="7" ht="27.75" customHeight="1" s="90">
      <c r="A7" s="301" t="inlineStr">
        <is>
          <t>F&amp;B Minimum:</t>
        </is>
      </c>
      <c r="B7" s="307" t="n">
        <v>15000</v>
      </c>
      <c r="C7" s="244" t="n"/>
      <c r="D7" s="304" t="n"/>
      <c r="E7" s="304" t="n"/>
      <c r="F7" s="304" t="n"/>
      <c r="G7" s="304" t="n"/>
      <c r="H7" s="253" t="n"/>
      <c r="I7" s="308"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301" t="inlineStr">
        <is>
          <t>Is Venue Rental Taxable?</t>
        </is>
      </c>
      <c r="B8" s="302" t="inlineStr">
        <is>
          <t>Yes</t>
        </is>
      </c>
      <c r="C8" s="244" t="n"/>
      <c r="D8" s="304" t="n"/>
      <c r="E8" s="304" t="n"/>
      <c r="F8" s="304" t="n"/>
      <c r="G8" s="304" t="n"/>
      <c r="H8" s="253" t="n"/>
      <c r="I8" s="311">
        <f>'Client Setup - Sample'!B5</f>
        <v/>
      </c>
      <c r="J8" s="93" t="n"/>
      <c r="K8" s="312">
        <f>B5</f>
        <v/>
      </c>
      <c r="L8" s="94" t="n"/>
      <c r="M8" s="94" t="n"/>
      <c r="N8" s="94" t="n"/>
      <c r="O8" s="94" t="n"/>
      <c r="P8" s="94" t="n"/>
      <c r="Q8" s="94" t="n"/>
      <c r="R8" s="94" t="n"/>
      <c r="S8" s="94" t="n"/>
      <c r="T8" s="94" t="n"/>
      <c r="U8" s="94" t="n"/>
      <c r="V8" s="94" t="n"/>
      <c r="W8" s="94" t="n"/>
      <c r="X8" s="94" t="n"/>
      <c r="Y8" s="94" t="n"/>
      <c r="Z8" s="94" t="n"/>
    </row>
    <row r="9" ht="21.75" customHeight="1" s="90">
      <c r="A9" s="305" t="inlineStr">
        <is>
          <t>Client:</t>
        </is>
      </c>
      <c r="B9" s="313">
        <f>'Client Setup - Sample'!B5</f>
        <v/>
      </c>
      <c r="C9" s="93" t="n"/>
      <c r="D9" s="304" t="n"/>
      <c r="E9" s="304" t="n"/>
      <c r="F9" s="304" t="n"/>
      <c r="G9" s="304" t="n"/>
      <c r="H9" s="253" t="n"/>
      <c r="I9" s="314">
        <f>TEXT('Client Setup - Sample'!B6,"MMMM D, YYYY")</f>
        <v/>
      </c>
      <c r="J9" s="93" t="n"/>
      <c r="K9" s="312">
        <f>'Client Setup - Sample'!B7&amp;" Guests"</f>
        <v/>
      </c>
      <c r="L9" s="94" t="n"/>
      <c r="M9" s="94" t="n"/>
      <c r="N9" s="94" t="n"/>
      <c r="O9" s="94" t="n"/>
      <c r="P9" s="94" t="n"/>
      <c r="Q9" s="94" t="n"/>
      <c r="R9" s="94" t="n"/>
      <c r="S9" s="94" t="n"/>
      <c r="T9" s="94" t="n"/>
      <c r="U9" s="94" t="n"/>
      <c r="V9" s="94" t="n"/>
      <c r="W9" s="94" t="n"/>
      <c r="X9" s="94" t="n"/>
      <c r="Y9" s="94" t="n"/>
      <c r="Z9" s="94" t="n"/>
    </row>
    <row r="10" ht="6" customHeight="1" s="90">
      <c r="A10" s="305" t="inlineStr">
        <is>
          <t>Guest Count:</t>
        </is>
      </c>
      <c r="B10" s="315">
        <f>'Client Setup - Sample'!B7</f>
        <v/>
      </c>
      <c r="C10" s="93" t="n"/>
      <c r="D10" s="304" t="n"/>
      <c r="E10" s="304" t="n"/>
      <c r="F10" s="304" t="n"/>
      <c r="G10" s="304" t="n"/>
      <c r="H10" s="253" t="n"/>
      <c r="I10" s="306" t="n"/>
      <c r="J10" s="306" t="n"/>
      <c r="K10" s="306" t="n"/>
      <c r="L10" s="94" t="n"/>
      <c r="M10" s="94" t="n"/>
      <c r="N10" s="94" t="n"/>
      <c r="O10" s="94" t="n"/>
      <c r="P10" s="94" t="n"/>
      <c r="Q10" s="94" t="n"/>
      <c r="R10" s="94" t="n"/>
      <c r="S10" s="94" t="n"/>
      <c r="T10" s="94" t="n"/>
      <c r="U10" s="94" t="n"/>
      <c r="V10" s="94" t="n"/>
      <c r="W10" s="94" t="n"/>
      <c r="X10" s="94" t="n"/>
      <c r="Y10" s="94" t="n"/>
      <c r="Z10" s="94" t="n"/>
    </row>
    <row r="11" ht="21.75" customHeight="1" s="90">
      <c r="A11" s="305" t="inlineStr">
        <is>
          <t>Location:</t>
        </is>
      </c>
      <c r="B11" s="313">
        <f>'Client Setup - Sample'!B16</f>
        <v/>
      </c>
      <c r="C11" s="93" t="n"/>
      <c r="D11" s="304" t="n"/>
      <c r="E11" s="304" t="n"/>
      <c r="F11" s="304" t="n"/>
      <c r="G11" s="304" t="n"/>
      <c r="H11" s="253" t="n"/>
      <c r="I11" s="316" t="inlineStr">
        <is>
          <t>Item</t>
        </is>
      </c>
      <c r="J11" s="317" t="inlineStr">
        <is>
          <t>Amount</t>
        </is>
      </c>
      <c r="K11" s="31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318" t="inlineStr">
        <is>
          <t>Company:</t>
        </is>
      </c>
      <c r="B12" s="318">
        <f>'Client Setup - Sample'!B11</f>
        <v/>
      </c>
      <c r="C12" s="280" t="n"/>
      <c r="D12" s="280" t="n"/>
      <c r="E12" s="280" t="n"/>
      <c r="F12" s="280" t="n"/>
      <c r="G12" s="280" t="n"/>
      <c r="H12" s="280" t="n"/>
      <c r="I12" s="319" t="n"/>
      <c r="J12" s="319" t="n"/>
      <c r="K12" s="319" t="n"/>
    </row>
    <row r="13" ht="25.5" customHeight="1" s="90">
      <c r="A13" s="318" t="inlineStr">
        <is>
          <t>Program:</t>
        </is>
      </c>
      <c r="B13" s="318">
        <f>'Client Setup - Sample'!B12</f>
        <v/>
      </c>
      <c r="C13" s="280" t="n"/>
      <c r="D13" s="280" t="n"/>
      <c r="E13" s="280" t="n"/>
      <c r="F13" s="280" t="n"/>
      <c r="G13" s="280" t="n"/>
      <c r="H13" s="280" t="n"/>
      <c r="I13" s="319" t="n"/>
      <c r="J13" s="319" t="n"/>
      <c r="K13" s="319" t="n"/>
    </row>
    <row r="14" ht="25.5" customHeight="1" s="90">
      <c r="A14" s="318" t="inlineStr">
        <is>
          <t>Client Hotel:</t>
        </is>
      </c>
      <c r="B14" s="318">
        <f>'Client Setup - Sample'!B13</f>
        <v/>
      </c>
      <c r="C14" s="280" t="n"/>
      <c r="D14" s="280" t="n"/>
      <c r="E14" s="280" t="n"/>
      <c r="F14" s="280" t="n"/>
      <c r="G14" s="280" t="n"/>
      <c r="H14" s="280" t="n"/>
      <c r="I14" s="418" t="inlineStr">
        <is>
          <t>CATEGORY</t>
        </is>
      </c>
      <c r="J14" s="418" t="inlineStr">
        <is>
          <t>AMOUNT</t>
        </is>
      </c>
      <c r="K14" s="418" t="inlineStr">
        <is>
          <t>PER PERSON</t>
        </is>
      </c>
    </row>
    <row r="15" ht="25.5" customHeight="1" s="90">
      <c r="A15" s="318" t="inlineStr">
        <is>
          <t>Event Time:</t>
        </is>
      </c>
      <c r="B15" s="320">
        <f>'Client Setup - Sample'!B10</f>
        <v/>
      </c>
      <c r="C15" s="253" t="n"/>
      <c r="D15" s="253" t="n"/>
      <c r="E15" s="253" t="n"/>
      <c r="F15" s="253" t="n"/>
      <c r="G15" s="253" t="n"/>
      <c r="H15" s="253" t="n"/>
      <c r="I15" s="321" t="inlineStr">
        <is>
          <t>Menu</t>
        </is>
      </c>
      <c r="J15" s="322">
        <f>ROUNDUP((E24+E26)/50,0)*50</f>
        <v/>
      </c>
      <c r="K15" s="322">
        <f>IF('Client Setup - Sample'!B7&gt;0,CEILING(J15/'Client Setup - Sample'!B7,1),0)</f>
        <v/>
      </c>
      <c r="L15" s="94" t="n"/>
      <c r="M15" s="94" t="n"/>
      <c r="N15" s="94" t="n"/>
      <c r="O15" s="94" t="n"/>
      <c r="P15" s="94" t="n"/>
      <c r="Q15" s="94" t="n"/>
      <c r="R15" s="94" t="n"/>
      <c r="S15" s="94" t="n"/>
      <c r="T15" s="94" t="n"/>
      <c r="U15" s="94" t="n"/>
      <c r="V15" s="94" t="n"/>
      <c r="W15" s="94" t="n"/>
      <c r="X15" s="94" t="n"/>
      <c r="Y15" s="94" t="n"/>
      <c r="Z15" s="94" t="n"/>
    </row>
    <row r="16" ht="20" customHeight="1" s="90">
      <c r="A16" s="323" t="inlineStr">
        <is>
          <t>VENUE FEE OVERRIDES (defaults from Client Setup — change yellow fields to override)</t>
        </is>
      </c>
      <c r="B16" s="324" t="n"/>
      <c r="C16" s="324" t="n"/>
      <c r="D16" s="324" t="n"/>
      <c r="E16" s="324" t="n"/>
      <c r="F16" s="324" t="n"/>
      <c r="G16" s="324" t="n"/>
      <c r="H16" s="253" t="n"/>
      <c r="I16" s="321" t="inlineStr">
        <is>
          <t>Bar Package</t>
        </is>
      </c>
      <c r="J16" s="322">
        <f>ROUNDUP(E25/50,0)*50</f>
        <v/>
      </c>
      <c r="K16" s="322">
        <f>IF('Client Setup - Sample'!B7&gt;0,CEILING(J16/'Client Setup - Sample'!B7,1),0)</f>
        <v/>
      </c>
      <c r="L16" s="94" t="n"/>
      <c r="M16" s="94" t="n"/>
      <c r="N16" s="94" t="n"/>
      <c r="O16" s="94" t="n"/>
      <c r="P16" s="94" t="n"/>
      <c r="Q16" s="94" t="n"/>
      <c r="R16" s="94" t="n"/>
      <c r="S16" s="94" t="n"/>
      <c r="T16" s="94" t="n"/>
      <c r="U16" s="94" t="n"/>
      <c r="V16" s="94" t="n"/>
      <c r="W16" s="94" t="n"/>
      <c r="X16" s="94" t="n"/>
      <c r="Y16" s="94" t="n"/>
      <c r="Z16" s="94" t="n"/>
    </row>
    <row r="17" ht="20" customHeight="1" s="90">
      <c r="A17" s="288" t="inlineStr">
        <is>
          <t>Service Charge:</t>
        </is>
      </c>
      <c r="B17" s="325" t="n"/>
      <c r="C17" s="417">
        <f>'Client Setup - Sample'!C40</f>
        <v/>
      </c>
      <c r="D17" s="325" t="inlineStr">
        <is>
          <t>20%, 21.5%, or None</t>
        </is>
      </c>
      <c r="E17" s="326" t="n"/>
      <c r="F17" s="326" t="n"/>
      <c r="G17" s="326" t="n"/>
      <c r="H17" s="253" t="n"/>
      <c r="I17" s="321" t="inlineStr">
        <is>
          <t>Staffing</t>
        </is>
      </c>
      <c r="J17" s="322">
        <f>ROUNDUP((E28+SUM(E38:E40))/50,0)*50</f>
        <v/>
      </c>
      <c r="K17" s="322">
        <f>IF('Client Setup - Sample'!B7&gt;0,CEILING(J17/'Client Setup - Sample'!B7,1),0)</f>
        <v/>
      </c>
      <c r="L17" s="94" t="n"/>
      <c r="M17" s="94" t="n"/>
      <c r="N17" s="94" t="n"/>
      <c r="O17" s="94" t="n"/>
      <c r="P17" s="94" t="n"/>
      <c r="Q17" s="94" t="n"/>
      <c r="R17" s="94" t="n"/>
      <c r="S17" s="94" t="n"/>
      <c r="T17" s="94" t="n"/>
      <c r="U17" s="94" t="n"/>
      <c r="V17" s="94" t="n"/>
      <c r="W17" s="94" t="n"/>
      <c r="X17" s="94" t="n"/>
      <c r="Y17" s="94" t="n"/>
      <c r="Z17" s="94" t="n"/>
    </row>
    <row r="18" ht="20" customHeight="1" s="90">
      <c r="A18" s="288" t="inlineStr">
        <is>
          <t>Gratuity:</t>
        </is>
      </c>
      <c r="B18" s="325" t="n"/>
      <c r="C18" s="417">
        <f>'Client Setup - Sample'!C41</f>
        <v/>
      </c>
      <c r="D18" s="325" t="inlineStr">
        <is>
          <t>20% or None</t>
        </is>
      </c>
      <c r="E18" s="326" t="n"/>
      <c r="F18" s="326" t="n"/>
      <c r="G18" s="326" t="n"/>
      <c r="H18" s="253" t="n"/>
      <c r="I18" s="321" t="inlineStr">
        <is>
          <t>Equipment</t>
        </is>
      </c>
      <c r="J18" s="322">
        <f>ROUNDUP((E29+E30+E31)/50,0)*50</f>
        <v/>
      </c>
      <c r="K18" s="322">
        <f>IF('Client Setup - Sample'!B7&gt;0,CEILING(J18/'Client Setup - Sample'!B7,1),0)</f>
        <v/>
      </c>
      <c r="L18" s="94" t="n"/>
      <c r="M18" s="94" t="n"/>
      <c r="N18" s="94" t="n"/>
      <c r="O18" s="94" t="n"/>
      <c r="P18" s="94" t="n"/>
      <c r="Q18" s="94" t="n"/>
      <c r="R18" s="94" t="n"/>
      <c r="S18" s="94" t="n"/>
      <c r="T18" s="94" t="n"/>
      <c r="U18" s="94" t="n"/>
      <c r="V18" s="94" t="n"/>
      <c r="W18" s="94" t="n"/>
      <c r="X18" s="94" t="n"/>
      <c r="Y18" s="94" t="n"/>
      <c r="Z18" s="94" t="n"/>
    </row>
    <row r="19" ht="20" customHeight="1" s="90">
      <c r="A19" s="288" t="inlineStr">
        <is>
          <t>Admin Fee:</t>
        </is>
      </c>
      <c r="B19" s="325" t="n"/>
      <c r="C19" s="417">
        <f>'Client Setup - Sample'!C42</f>
        <v/>
      </c>
      <c r="D19" s="325" t="inlineStr">
        <is>
          <t>5% or None</t>
        </is>
      </c>
      <c r="E19" s="326" t="n"/>
      <c r="F19" s="326" t="n"/>
      <c r="G19" s="326" t="n"/>
      <c r="H19" s="253" t="n"/>
      <c r="I19" s="321" t="inlineStr">
        <is>
          <t>Venue Rental</t>
        </is>
      </c>
      <c r="J19" s="322">
        <f>ROUNDUP((E33+E34+E35)/50,0)*50</f>
        <v/>
      </c>
      <c r="K19" s="322">
        <f>IF('Client Setup - Sample'!B7&gt;0,CEILING(J19/'Client Setup - Sample'!B7,1),0)</f>
        <v/>
      </c>
      <c r="L19" s="94" t="n"/>
      <c r="M19" s="94" t="n"/>
      <c r="N19" s="94" t="n"/>
      <c r="O19" s="94" t="n"/>
      <c r="P19" s="94" t="n"/>
      <c r="Q19" s="94" t="n"/>
      <c r="R19" s="94" t="n"/>
      <c r="S19" s="94" t="n"/>
      <c r="T19" s="94" t="n"/>
      <c r="U19" s="94" t="n"/>
      <c r="V19" s="94" t="n"/>
      <c r="W19" s="94" t="n"/>
      <c r="X19" s="94" t="n"/>
      <c r="Y19" s="94" t="n"/>
      <c r="Z19" s="94" t="n"/>
    </row>
    <row r="20" ht="30" customHeight="1" s="90">
      <c r="A20" s="253" t="n"/>
      <c r="B20" s="253" t="n"/>
      <c r="C20" s="253" t="n"/>
      <c r="D20" s="253" t="n"/>
      <c r="E20" s="253" t="n"/>
      <c r="F20" s="253" t="n"/>
      <c r="G20" s="253" t="n"/>
      <c r="H20" s="253" t="n"/>
      <c r="I20" s="321" t="inlineStr">
        <is>
          <t>Production Fee</t>
        </is>
      </c>
      <c r="J20" s="322">
        <f>ROUNDUP((E51+E52+E53+E55+E56)/100,0)*100</f>
        <v/>
      </c>
      <c r="K20" s="322">
        <f>IF('Client Setup - Sample'!B7&gt;0,CEILING(J20/'Client Setup - Sample'!B7,1),0)</f>
        <v/>
      </c>
      <c r="L20" s="94" t="n"/>
      <c r="M20" s="94" t="n"/>
      <c r="N20" s="94" t="n"/>
      <c r="O20" s="94" t="n"/>
      <c r="P20" s="94" t="n"/>
      <c r="Q20" s="94" t="n"/>
      <c r="R20" s="94" t="n"/>
      <c r="S20" s="94" t="n"/>
      <c r="T20" s="94" t="n"/>
      <c r="U20" s="94" t="n"/>
      <c r="V20" s="94" t="n"/>
      <c r="W20" s="94" t="n"/>
      <c r="X20" s="94" t="n"/>
      <c r="Y20" s="94" t="n"/>
      <c r="Z20" s="94" t="n"/>
    </row>
    <row r="21" ht="27" customHeight="1" s="90">
      <c r="A21" s="254" t="inlineStr">
        <is>
          <t>COST BUILD</t>
        </is>
      </c>
      <c r="B21" s="269" t="n"/>
      <c r="C21" s="269" t="n"/>
      <c r="D21" s="269" t="n"/>
      <c r="E21" s="269" t="n"/>
      <c r="F21" s="269" t="n"/>
      <c r="G21" s="269" t="n"/>
      <c r="H21" s="257" t="n"/>
      <c r="I21" s="321" t="inlineStr">
        <is>
          <t>Tax</t>
        </is>
      </c>
      <c r="J21" s="322">
        <f>ROUNDUP((E44+E45+E47+E50)/50,0)*50</f>
        <v/>
      </c>
      <c r="K21" s="322">
        <f>IF('Client Setup - Sample'!B7&gt;0,CEILING(J21/'Client Setup - Sample'!B7,1),0)</f>
        <v/>
      </c>
      <c r="L21" s="94" t="n"/>
      <c r="M21" s="94" t="n"/>
      <c r="N21" s="94" t="n"/>
      <c r="O21" s="94" t="n"/>
      <c r="P21" s="94" t="n"/>
      <c r="Q21" s="94" t="n"/>
      <c r="R21" s="94" t="n"/>
      <c r="S21" s="94" t="n"/>
      <c r="T21" s="94" t="n"/>
      <c r="U21" s="94" t="n"/>
      <c r="V21" s="94" t="n"/>
      <c r="W21" s="94" t="n"/>
      <c r="X21" s="94" t="n"/>
      <c r="Y21" s="94" t="n"/>
      <c r="Z21" s="94" t="n"/>
    </row>
    <row r="22" ht="23" customHeight="1" s="90">
      <c r="A22" s="273" t="inlineStr">
        <is>
          <t>Line Item</t>
        </is>
      </c>
      <c r="B22" s="273" t="inlineStr">
        <is>
          <t>Qty</t>
        </is>
      </c>
      <c r="C22" s="273" t="inlineStr">
        <is>
          <t>Unit Price</t>
        </is>
      </c>
      <c r="D22" s="273" t="inlineStr">
        <is>
          <t>Our Cost</t>
        </is>
      </c>
      <c r="E22" s="273" t="inlineStr">
        <is>
          <t>Client Cost</t>
        </is>
      </c>
      <c r="F22" s="273" t="inlineStr">
        <is>
          <t>Tax Rate</t>
        </is>
      </c>
      <c r="G22" s="272" t="inlineStr">
        <is>
          <t>Category</t>
        </is>
      </c>
      <c r="H22" s="253" t="n"/>
      <c r="I22" s="327" t="n"/>
      <c r="J22" s="327" t="n"/>
      <c r="K22" s="327" t="n"/>
      <c r="L22" s="94" t="n"/>
      <c r="M22" s="94" t="n"/>
      <c r="N22" s="94" t="n"/>
      <c r="O22" s="94" t="n"/>
      <c r="P22" s="94" t="n"/>
      <c r="Q22" s="94" t="n"/>
      <c r="R22" s="94" t="n"/>
      <c r="S22" s="94" t="n"/>
      <c r="T22" s="94" t="n"/>
      <c r="U22" s="94" t="n"/>
      <c r="V22" s="94" t="n"/>
      <c r="W22" s="94" t="n"/>
      <c r="X22" s="94" t="n"/>
      <c r="Y22" s="94" t="n"/>
      <c r="Z22" s="94" t="n"/>
    </row>
    <row r="23" ht="25" customHeight="1" s="90">
      <c r="A23" s="328" t="inlineStr">
        <is>
          <t>FOOD &amp; BEVERAGE  (F&amp;B Tax Applied)</t>
        </is>
      </c>
      <c r="B23" s="329" t="n"/>
      <c r="C23" s="329" t="n"/>
      <c r="D23" s="329" t="n"/>
      <c r="E23" s="329" t="n"/>
      <c r="F23" s="329" t="n"/>
      <c r="G23" s="329" t="n"/>
      <c r="H23" s="280" t="n"/>
      <c r="I23" s="419" t="inlineStr">
        <is>
          <t>TOTAL ESTIMATE</t>
        </is>
      </c>
      <c r="J23" s="420">
        <f>SUM(J15:J21)</f>
        <v/>
      </c>
      <c r="K23" s="420">
        <f>IF('Client Setup - Sample'!B7&gt;0,CEILING(J23/'Client Setup - Sample'!B7,1),0)</f>
        <v/>
      </c>
      <c r="L23" s="94" t="n"/>
      <c r="M23" s="94" t="n"/>
      <c r="N23" s="94" t="n"/>
      <c r="O23" s="94" t="n"/>
      <c r="P23" s="94" t="n"/>
      <c r="Q23" s="94" t="n"/>
      <c r="R23" s="94" t="n"/>
      <c r="S23" s="94" t="n"/>
      <c r="T23" s="94" t="n"/>
      <c r="U23" s="94" t="n"/>
      <c r="V23" s="94" t="n"/>
      <c r="W23" s="94" t="n"/>
      <c r="X23" s="94" t="n"/>
      <c r="Y23" s="94" t="n"/>
      <c r="Z23" s="94" t="n"/>
    </row>
    <row r="24" ht="20" customHeight="1" s="90">
      <c r="A24" s="332" t="inlineStr">
        <is>
          <t>Per Person Food</t>
        </is>
      </c>
      <c r="B24" s="333">
        <f>'Client Setup - Sample'!B7</f>
        <v/>
      </c>
      <c r="C24" s="334" t="n">
        <v>100</v>
      </c>
      <c r="D24" s="335">
        <f>B24*C24</f>
        <v/>
      </c>
      <c r="E24" s="335">
        <f>IFERROR(D24*(1+VLOOKUP(G24,'Client Setup - Sample'!$A$23:$B$33,2,FALSE)),0)</f>
        <v/>
      </c>
      <c r="F24" s="336">
        <f>'Client Setup - Sample'!B17</f>
        <v/>
      </c>
      <c r="G24" s="337" t="inlineStr">
        <is>
          <t>Catering &amp; F&amp;B</t>
        </is>
      </c>
      <c r="H24" s="253" t="n"/>
      <c r="I24" s="338" t="inlineStr">
        <is>
          <t>Guest Count</t>
        </is>
      </c>
      <c r="J24" s="339">
        <f>'Client Setup - Sample'!B7</f>
        <v/>
      </c>
      <c r="K24" s="340" t="n"/>
      <c r="L24" s="94" t="n"/>
      <c r="M24" s="94" t="n"/>
      <c r="N24" s="94" t="n"/>
      <c r="O24" s="94" t="n"/>
      <c r="P24" s="94" t="n"/>
      <c r="Q24" s="94" t="n"/>
      <c r="R24" s="94" t="n"/>
      <c r="S24" s="94" t="n"/>
      <c r="T24" s="94" t="n"/>
      <c r="U24" s="94" t="n"/>
      <c r="V24" s="94" t="n"/>
      <c r="W24" s="94" t="n"/>
      <c r="X24" s="94" t="n"/>
      <c r="Y24" s="94" t="n"/>
      <c r="Z24" s="94" t="n"/>
    </row>
    <row r="25" ht="20" customHeight="1" s="90">
      <c r="A25" s="341" t="inlineStr">
        <is>
          <t>Bar Package</t>
        </is>
      </c>
      <c r="B25" s="342">
        <f>'Client Setup - Sample'!B7</f>
        <v/>
      </c>
      <c r="C25" s="343" t="n">
        <v>30</v>
      </c>
      <c r="D25" s="344">
        <f>B25*C25</f>
        <v/>
      </c>
      <c r="E25" s="344">
        <f>IFERROR(D25*(1+VLOOKUP(G25,'Client Setup - Sample'!$A$23:$B$33,2,FALSE)),0)</f>
        <v/>
      </c>
      <c r="F25" s="345">
        <f>'Client Setup - Sample'!B18</f>
        <v/>
      </c>
      <c r="G25" s="346" t="inlineStr">
        <is>
          <t>Catering &amp; F&amp;B</t>
        </is>
      </c>
      <c r="H25" s="253" t="n"/>
      <c r="I25" s="347" t="n"/>
      <c r="J25" s="347" t="n"/>
      <c r="K25" s="347" t="n"/>
      <c r="L25" s="94" t="n"/>
      <c r="M25" s="94" t="n"/>
      <c r="N25" s="94" t="n"/>
      <c r="O25" s="94" t="n"/>
      <c r="P25" s="94" t="n"/>
      <c r="Q25" s="94" t="n"/>
      <c r="R25" s="94" t="n"/>
      <c r="S25" s="94" t="n"/>
      <c r="T25" s="94" t="n"/>
      <c r="U25" s="94" t="n"/>
      <c r="V25" s="94" t="n"/>
      <c r="W25" s="94" t="n"/>
      <c r="X25" s="94" t="n"/>
      <c r="Y25" s="94" t="n"/>
      <c r="Z25" s="94" t="n"/>
    </row>
    <row r="26" ht="20" customHeight="1" s="90">
      <c r="A26" s="332" t="inlineStr">
        <is>
          <t>NA Beverages</t>
        </is>
      </c>
      <c r="B26" s="348">
        <f>'Client Setup - Sample'!B7</f>
        <v/>
      </c>
      <c r="C26" s="334" t="n">
        <v>10</v>
      </c>
      <c r="D26" s="335">
        <f>B26*C26</f>
        <v/>
      </c>
      <c r="E26" s="335">
        <f>IFERROR(D26*(1+VLOOKUP(G26,'Client Setup - Sample'!$A$23:$B$33,2,FALSE)),0)</f>
        <v/>
      </c>
      <c r="F26" s="336">
        <f>'Client Setup - Sample'!B17</f>
        <v/>
      </c>
      <c r="G26" s="337" t="inlineStr">
        <is>
          <t>Catering &amp; F&amp;B</t>
        </is>
      </c>
      <c r="H26" s="253" t="n"/>
      <c r="I26" s="306" t="n"/>
      <c r="J26" s="306" t="n"/>
      <c r="K26" s="306" t="n"/>
      <c r="L26" s="94" t="n"/>
      <c r="M26" s="94" t="n"/>
      <c r="N26" s="94" t="n"/>
      <c r="O26" s="94" t="n"/>
      <c r="P26" s="94" t="n"/>
      <c r="Q26" s="94" t="n"/>
      <c r="R26" s="94" t="n"/>
      <c r="S26" s="94" t="n"/>
      <c r="T26" s="94" t="n"/>
      <c r="U26" s="94" t="n"/>
      <c r="V26" s="94" t="n"/>
      <c r="W26" s="94" t="n"/>
      <c r="X26" s="94" t="n"/>
      <c r="Y26" s="94" t="n"/>
      <c r="Z26" s="94" t="n"/>
    </row>
    <row r="27" ht="25" customHeight="1" s="90">
      <c r="A27" s="328" t="inlineStr">
        <is>
          <t>TAXABLE EQUIPMENT, RENTALS &amp; STAFFING  (General Sales Tax)</t>
        </is>
      </c>
      <c r="B27" s="329" t="n"/>
      <c r="C27" s="329" t="n"/>
      <c r="D27" s="329" t="n"/>
      <c r="E27" s="329" t="n"/>
      <c r="F27" s="329" t="n"/>
      <c r="G27" s="329" t="n"/>
      <c r="H27" s="280" t="n"/>
      <c r="I27" s="323" t="inlineStr">
        <is>
          <t>TEAM NOTES</t>
        </is>
      </c>
      <c r="J27" s="324" t="n"/>
      <c r="K27" s="324" t="n"/>
      <c r="L27" s="94" t="n"/>
      <c r="M27" s="94" t="n"/>
      <c r="N27" s="94" t="n"/>
      <c r="O27" s="94" t="n"/>
      <c r="P27" s="94" t="n"/>
      <c r="Q27" s="94" t="n"/>
      <c r="R27" s="94" t="n"/>
      <c r="S27" s="94" t="n"/>
      <c r="T27" s="94" t="n"/>
      <c r="U27" s="94" t="n"/>
      <c r="V27" s="94" t="n"/>
      <c r="W27" s="94" t="n"/>
      <c r="X27" s="94" t="n"/>
      <c r="Y27" s="94" t="n"/>
      <c r="Z27" s="94" t="n"/>
    </row>
    <row r="28" ht="20" customHeight="1" s="90">
      <c r="A28" s="353" t="inlineStr">
        <is>
          <t>Staffing</t>
        </is>
      </c>
      <c r="B28" s="354" t="n">
        <v>2</v>
      </c>
      <c r="C28" s="343" t="n">
        <v>300</v>
      </c>
      <c r="D28" s="344">
        <f>B28*C28</f>
        <v/>
      </c>
      <c r="E28" s="344">
        <f>IFERROR(D28*(1+VLOOKUP(G28,'Client Setup - Sample'!$A$23:$B$33,2,FALSE)),0)</f>
        <v/>
      </c>
      <c r="F28" s="345">
        <f>'Client Setup - Sample'!B19</f>
        <v/>
      </c>
      <c r="G28" s="355" t="inlineStr">
        <is>
          <t>Staffing &amp; Labor</t>
        </is>
      </c>
      <c r="H28" s="253" t="n"/>
      <c r="I28" s="352" t="inlineStr">
        <is>
          <t>Venue Contact:</t>
        </is>
      </c>
      <c r="J28" s="324" t="n"/>
      <c r="K28" s="324" t="n"/>
      <c r="L28" s="94" t="n"/>
      <c r="M28" s="94" t="n"/>
      <c r="N28" s="94" t="n"/>
      <c r="O28" s="94" t="n"/>
      <c r="P28" s="94" t="n"/>
      <c r="Q28" s="94" t="n"/>
      <c r="R28" s="94" t="n"/>
      <c r="S28" s="94" t="n"/>
      <c r="T28" s="94" t="n"/>
      <c r="U28" s="94" t="n"/>
      <c r="V28" s="94" t="n"/>
      <c r="W28" s="94" t="n"/>
      <c r="X28" s="94" t="n"/>
      <c r="Y28" s="94" t="n"/>
      <c r="Z28" s="94" t="n"/>
    </row>
    <row r="29" ht="20" customHeight="1" s="90">
      <c r="A29" s="349" t="inlineStr">
        <is>
          <t>Catering Equipment</t>
        </is>
      </c>
      <c r="B29" s="350" t="n">
        <v>1</v>
      </c>
      <c r="C29" s="334" t="n">
        <v>500</v>
      </c>
      <c r="D29" s="335">
        <f>B29*C29</f>
        <v/>
      </c>
      <c r="E29" s="335">
        <f>IFERROR(D29*(1+VLOOKUP(G29,'Client Setup - Sample'!$A$23:$B$33,2,FALSE)),0)</f>
        <v/>
      </c>
      <c r="F29" s="336">
        <f>'Client Setup - Sample'!B19</f>
        <v/>
      </c>
      <c r="G29" s="351" t="inlineStr">
        <is>
          <t>AV &amp; Production</t>
        </is>
      </c>
      <c r="H29" s="253" t="n"/>
      <c r="I29" s="352" t="n"/>
      <c r="J29" s="324" t="n"/>
      <c r="K29" s="324" t="n"/>
      <c r="L29" s="94" t="n"/>
      <c r="M29" s="94" t="n"/>
      <c r="N29" s="94" t="n"/>
      <c r="O29" s="94" t="n"/>
      <c r="P29" s="94" t="n"/>
      <c r="Q29" s="94" t="n"/>
      <c r="R29" s="94" t="n"/>
      <c r="S29" s="94" t="n"/>
      <c r="T29" s="94" t="n"/>
      <c r="U29" s="94" t="n"/>
      <c r="V29" s="94" t="n"/>
      <c r="W29" s="94" t="n"/>
      <c r="X29" s="94" t="n"/>
      <c r="Y29" s="94" t="n"/>
      <c r="Z29" s="94" t="n"/>
    </row>
    <row r="30" ht="20" customHeight="1" s="90">
      <c r="A30" s="353" t="inlineStr">
        <is>
          <t>Rental Equipment</t>
        </is>
      </c>
      <c r="B30" s="354" t="n">
        <v>1</v>
      </c>
      <c r="C30" s="343" t="n">
        <v>400</v>
      </c>
      <c r="D30" s="344">
        <f>B30*C30</f>
        <v/>
      </c>
      <c r="E30" s="344">
        <f>IFERROR(D30*(1+VLOOKUP(G30,'Client Setup - Sample'!$A$23:$B$33,2,FALSE)),0)</f>
        <v/>
      </c>
      <c r="F30" s="345">
        <f>'Client Setup - Sample'!B19</f>
        <v/>
      </c>
      <c r="G30" s="355" t="inlineStr">
        <is>
          <t>Décor &amp; Design</t>
        </is>
      </c>
      <c r="H30" s="253" t="n"/>
      <c r="I30" s="352" t="inlineStr">
        <is>
          <t>Menu Notes:</t>
        </is>
      </c>
      <c r="J30" s="324" t="n"/>
      <c r="K30" s="324" t="n"/>
      <c r="L30" s="94" t="n"/>
      <c r="M30" s="94" t="n"/>
      <c r="N30" s="94" t="n"/>
      <c r="O30" s="94" t="n"/>
      <c r="P30" s="94" t="n"/>
      <c r="Q30" s="94" t="n"/>
      <c r="R30" s="94" t="n"/>
      <c r="S30" s="94" t="n"/>
      <c r="T30" s="94" t="n"/>
      <c r="U30" s="94" t="n"/>
      <c r="V30" s="94" t="n"/>
      <c r="W30" s="94" t="n"/>
      <c r="X30" s="94" t="n"/>
      <c r="Y30" s="94" t="n"/>
      <c r="Z30" s="94" t="n"/>
    </row>
    <row r="31" ht="20" customHeight="1" s="90">
      <c r="A31" s="349" t="inlineStr">
        <is>
          <t>Additional Equipment</t>
        </is>
      </c>
      <c r="B31" s="350" t="n">
        <v>1</v>
      </c>
      <c r="C31" s="334" t="n">
        <v>200</v>
      </c>
      <c r="D31" s="335">
        <f>B31*C31</f>
        <v/>
      </c>
      <c r="E31" s="335">
        <f>IFERROR(D31*(1+VLOOKUP(G31,'Client Setup - Sample'!$A$23:$B$33,2,FALSE)),0)</f>
        <v/>
      </c>
      <c r="F31" s="336">
        <f>'Client Setup - Sample'!B19</f>
        <v/>
      </c>
      <c r="G31" s="351" t="inlineStr">
        <is>
          <t>AV &amp; Production</t>
        </is>
      </c>
      <c r="H31" s="253" t="n"/>
      <c r="I31" s="352" t="n"/>
      <c r="J31" s="324" t="n"/>
      <c r="K31" s="324" t="n"/>
      <c r="L31" s="94" t="n"/>
      <c r="M31" s="94" t="n"/>
      <c r="N31" s="94" t="n"/>
      <c r="O31" s="94" t="n"/>
      <c r="P31" s="94" t="n"/>
      <c r="Q31" s="94" t="n"/>
      <c r="R31" s="94" t="n"/>
      <c r="S31" s="94" t="n"/>
      <c r="T31" s="94" t="n"/>
      <c r="U31" s="94" t="n"/>
      <c r="V31" s="94" t="n"/>
      <c r="W31" s="94" t="n"/>
      <c r="X31" s="94" t="n"/>
      <c r="Y31" s="94" t="n"/>
      <c r="Z31" s="94" t="n"/>
    </row>
    <row r="32" ht="25" customHeight="1" s="90">
      <c r="A32" s="328" t="inlineStr">
        <is>
          <t>VENUE FEES  (Taxable if toggled above)</t>
        </is>
      </c>
      <c r="B32" s="329" t="n"/>
      <c r="C32" s="329" t="n"/>
      <c r="D32" s="329" t="n"/>
      <c r="E32" s="329" t="n"/>
      <c r="F32" s="329" t="n"/>
      <c r="G32" s="329" t="n"/>
      <c r="H32" s="280" t="n"/>
      <c r="I32" s="352" t="n"/>
      <c r="J32" s="324" t="n"/>
      <c r="K32" s="324" t="n"/>
      <c r="L32" s="94" t="n"/>
      <c r="M32" s="94" t="n"/>
      <c r="N32" s="94" t="n"/>
      <c r="O32" s="94" t="n"/>
      <c r="P32" s="94" t="n"/>
      <c r="Q32" s="94" t="n"/>
      <c r="R32" s="94" t="n"/>
      <c r="S32" s="94" t="n"/>
      <c r="T32" s="94" t="n"/>
      <c r="U32" s="94" t="n"/>
      <c r="V32" s="94" t="n"/>
      <c r="W32" s="94" t="n"/>
      <c r="X32" s="94" t="n"/>
      <c r="Y32" s="94" t="n"/>
      <c r="Z32" s="94" t="n"/>
    </row>
    <row r="33" ht="20" customHeight="1" s="90">
      <c r="A33" s="353" t="inlineStr">
        <is>
          <t>Venue / Room Rental</t>
        </is>
      </c>
      <c r="B33" s="354" t="n">
        <v>1</v>
      </c>
      <c r="C33" s="343" t="n">
        <v>2000</v>
      </c>
      <c r="D33" s="344">
        <f>B33*C33</f>
        <v/>
      </c>
      <c r="E33" s="344">
        <f>IFERROR(D33*(1+VLOOKUP(G33,'Client Setup - Sample'!$A$23:$B$33,2,FALSE)),0)</f>
        <v/>
      </c>
      <c r="F33" s="345">
        <f>IF(B8="Yes",'Client Setup - Sample'!B19,0)</f>
        <v/>
      </c>
      <c r="G33" s="355" t="inlineStr">
        <is>
          <t>Venues &amp; Room Rentals</t>
        </is>
      </c>
      <c r="H33" s="253" t="n"/>
      <c r="I33" s="352" t="inlineStr">
        <is>
          <t>Logistics:</t>
        </is>
      </c>
      <c r="J33" s="324" t="n"/>
      <c r="K33" s="324" t="n"/>
      <c r="L33" s="94" t="n"/>
      <c r="M33" s="94" t="n"/>
      <c r="N33" s="94" t="n"/>
      <c r="O33" s="94" t="n"/>
      <c r="P33" s="94" t="n"/>
      <c r="Q33" s="94" t="n"/>
      <c r="R33" s="94" t="n"/>
      <c r="S33" s="94" t="n"/>
      <c r="T33" s="94" t="n"/>
      <c r="U33" s="94" t="n"/>
      <c r="V33" s="94" t="n"/>
      <c r="W33" s="94" t="n"/>
      <c r="X33" s="94" t="n"/>
      <c r="Y33" s="94" t="n"/>
      <c r="Z33" s="94" t="n"/>
    </row>
    <row r="34" ht="20" customHeight="1" s="90">
      <c r="A34" s="349" t="inlineStr">
        <is>
          <t>Additional Venue Space</t>
        </is>
      </c>
      <c r="B34" s="350" t="n">
        <v>1</v>
      </c>
      <c r="C34" s="334" t="n">
        <v>500</v>
      </c>
      <c r="D34" s="335">
        <f>B34*C34</f>
        <v/>
      </c>
      <c r="E34" s="335">
        <f>IFERROR(D34*(1+VLOOKUP(G34,'Client Setup - Sample'!$A$23:$B$33,2,FALSE)),0)</f>
        <v/>
      </c>
      <c r="F34" s="336">
        <f>IF(B8="Yes",'Client Setup - Sample'!B19,0)</f>
        <v/>
      </c>
      <c r="G34" s="351" t="inlineStr">
        <is>
          <t>Venues &amp; Room Rentals</t>
        </is>
      </c>
      <c r="H34" s="253" t="n"/>
      <c r="I34" s="352" t="n"/>
      <c r="J34" s="324" t="n"/>
      <c r="K34" s="324" t="n"/>
      <c r="L34" s="94" t="n"/>
      <c r="M34" s="94" t="n"/>
      <c r="N34" s="94" t="n"/>
      <c r="O34" s="94" t="n"/>
      <c r="P34" s="94" t="n"/>
      <c r="Q34" s="94" t="n"/>
      <c r="R34" s="94" t="n"/>
      <c r="S34" s="94" t="n"/>
      <c r="T34" s="94" t="n"/>
      <c r="U34" s="94" t="n"/>
      <c r="V34" s="94" t="n"/>
      <c r="W34" s="94" t="n"/>
      <c r="X34" s="94" t="n"/>
      <c r="Y34" s="94" t="n"/>
      <c r="Z34" s="94" t="n"/>
    </row>
    <row r="35" ht="20" customHeight="1" s="90">
      <c r="A35" s="353" t="inlineStr">
        <is>
          <t>Additional Services</t>
        </is>
      </c>
      <c r="B35" s="354" t="n">
        <v>0</v>
      </c>
      <c r="C35" s="343" t="n">
        <v>0</v>
      </c>
      <c r="D35" s="344">
        <f>B35*C35</f>
        <v/>
      </c>
      <c r="E35" s="344">
        <f>IFERROR(D35*(1+VLOOKUP(G35,'Client Setup - Sample'!$A$23:$B$33,2,FALSE)),0)</f>
        <v/>
      </c>
      <c r="F35" s="345">
        <f>IF(B8="Yes",'Client Setup - Sample'!B19,0)</f>
        <v/>
      </c>
      <c r="G35" s="355" t="inlineStr">
        <is>
          <t>Venues &amp; Room Rentals</t>
        </is>
      </c>
      <c r="H35" s="253" t="n"/>
      <c r="I35" s="352" t="inlineStr">
        <is>
          <t>Additional Notes:</t>
        </is>
      </c>
      <c r="J35" s="324" t="n"/>
      <c r="K35" s="324" t="n"/>
      <c r="L35" s="94" t="n"/>
      <c r="M35" s="94" t="n"/>
      <c r="N35" s="94" t="n"/>
      <c r="O35" s="94" t="n"/>
      <c r="P35" s="94" t="n"/>
      <c r="Q35" s="94" t="n"/>
      <c r="R35" s="94" t="n"/>
      <c r="S35" s="94" t="n"/>
      <c r="T35" s="94" t="n"/>
      <c r="U35" s="94" t="n"/>
      <c r="V35" s="94" t="n"/>
      <c r="W35" s="94" t="n"/>
      <c r="X35" s="94" t="n"/>
      <c r="Y35" s="94" t="n"/>
      <c r="Z35" s="94" t="n"/>
    </row>
    <row r="36" ht="25.5" customHeight="1" s="90">
      <c r="A36" s="306" t="n"/>
      <c r="B36" s="306" t="n"/>
      <c r="C36" s="306" t="n"/>
      <c r="D36" s="306" t="n"/>
      <c r="E36" s="306" t="n"/>
      <c r="F36" s="306" t="n"/>
      <c r="G36" s="306" t="n"/>
      <c r="H36" s="253" t="n"/>
      <c r="I36" s="356" t="n"/>
      <c r="J36" s="280" t="n"/>
      <c r="K36" s="280" t="n"/>
      <c r="L36" s="94" t="n"/>
      <c r="M36" s="94" t="n"/>
      <c r="N36" s="94" t="n"/>
      <c r="O36" s="94" t="n"/>
      <c r="P36" s="94" t="n"/>
      <c r="Q36" s="94" t="n"/>
      <c r="R36" s="94" t="n"/>
      <c r="S36" s="94" t="n"/>
      <c r="T36" s="94" t="n"/>
      <c r="U36" s="94" t="n"/>
      <c r="V36" s="94" t="n"/>
      <c r="W36" s="94" t="n"/>
      <c r="X36" s="94" t="n"/>
      <c r="Y36" s="94" t="n"/>
      <c r="Z36" s="94" t="n"/>
    </row>
    <row r="37" ht="25" customHeight="1" s="90">
      <c r="A37" s="328" t="inlineStr">
        <is>
          <t>NON-TAXABLE QC STAFFING</t>
        </is>
      </c>
      <c r="B37" s="329" t="n"/>
      <c r="C37" s="329" t="n"/>
      <c r="D37" s="329" t="n"/>
      <c r="E37" s="329" t="n"/>
      <c r="F37" s="329" t="n"/>
      <c r="G37" s="329" t="n"/>
      <c r="H37" s="253" t="n"/>
      <c r="I37" s="356" t="n"/>
      <c r="J37" s="280" t="n"/>
      <c r="K37" s="280" t="n"/>
      <c r="L37" s="94" t="n"/>
      <c r="M37" s="94" t="n"/>
      <c r="N37" s="94" t="n"/>
      <c r="O37" s="94" t="n"/>
      <c r="P37" s="94" t="n"/>
      <c r="Q37" s="94" t="n"/>
      <c r="R37" s="94" t="n"/>
      <c r="S37" s="94" t="n"/>
      <c r="T37" s="94" t="n"/>
      <c r="U37" s="94" t="n"/>
      <c r="V37" s="94" t="n"/>
      <c r="W37" s="94" t="n"/>
      <c r="X37" s="94" t="n"/>
      <c r="Y37" s="94" t="n"/>
      <c r="Z37" s="94" t="n"/>
    </row>
    <row r="38" ht="20" customHeight="1" s="90">
      <c r="A38" s="349" t="inlineStr">
        <is>
          <t>QC Event Staff</t>
        </is>
      </c>
      <c r="B38" s="350" t="n">
        <v>2</v>
      </c>
      <c r="C38" s="334" t="n">
        <v>500</v>
      </c>
      <c r="D38" s="335">
        <f>B38*C38</f>
        <v/>
      </c>
      <c r="E38" s="335">
        <f>IFERROR(D38*(1+VLOOKUP(G38,'Client Setup - Sample'!$A$23:$B$33,2,FALSE)),0)</f>
        <v/>
      </c>
      <c r="F38" s="336" t="n">
        <v>0</v>
      </c>
      <c r="G38" s="351" t="inlineStr">
        <is>
          <t>Staffing &amp; Labor</t>
        </is>
      </c>
      <c r="H38" s="253" t="n"/>
      <c r="I38" s="306" t="n"/>
      <c r="J38" s="306" t="n"/>
      <c r="K38" s="306" t="n"/>
      <c r="L38" s="94" t="n"/>
      <c r="M38" s="94" t="n"/>
      <c r="N38" s="94" t="n"/>
      <c r="O38" s="94" t="n"/>
      <c r="P38" s="94" t="n"/>
      <c r="Q38" s="94" t="n"/>
      <c r="R38" s="94" t="n"/>
      <c r="S38" s="94" t="n"/>
      <c r="T38" s="94" t="n"/>
      <c r="U38" s="94" t="n"/>
      <c r="V38" s="94" t="n"/>
      <c r="W38" s="94" t="n"/>
      <c r="X38" s="94" t="n"/>
      <c r="Y38" s="94" t="n"/>
      <c r="Z38" s="94" t="n"/>
    </row>
    <row r="39" ht="20" customHeight="1" s="90">
      <c r="A39" s="353" t="n"/>
      <c r="B39" s="354" t="n">
        <v>1</v>
      </c>
      <c r="C39" s="343" t="n">
        <v>250</v>
      </c>
      <c r="D39" s="344">
        <f>B39*C39</f>
        <v/>
      </c>
      <c r="E39" s="344">
        <f>IFERROR(D39*(1+VLOOKUP(G39,'Client Setup - Sample'!$A$23:$B$33,2,FALSE)),0)</f>
        <v/>
      </c>
      <c r="F39" s="345" t="n">
        <v>0</v>
      </c>
      <c r="G39" s="355" t="inlineStr">
        <is>
          <t>Staffing &amp; Labor</t>
        </is>
      </c>
      <c r="H39" s="253" t="n"/>
      <c r="I39" s="306" t="n"/>
      <c r="J39" s="306" t="n"/>
      <c r="K39" s="306" t="n"/>
      <c r="L39" s="94" t="n"/>
      <c r="M39" s="94" t="n"/>
      <c r="N39" s="94" t="n"/>
      <c r="O39" s="94" t="n"/>
      <c r="P39" s="94" t="n"/>
      <c r="Q39" s="94" t="n"/>
      <c r="R39" s="94" t="n"/>
      <c r="S39" s="94" t="n"/>
      <c r="T39" s="94" t="n"/>
      <c r="U39" s="94" t="n"/>
      <c r="V39" s="94" t="n"/>
      <c r="W39" s="94" t="n"/>
      <c r="X39" s="94" t="n"/>
      <c r="Y39" s="94" t="n"/>
      <c r="Z39" s="94" t="n"/>
    </row>
    <row r="40" ht="20" customHeight="1" s="90">
      <c r="A40" s="349" t="n"/>
      <c r="B40" s="350" t="n">
        <v>1</v>
      </c>
      <c r="C40" s="334" t="n">
        <v>150</v>
      </c>
      <c r="D40" s="335">
        <f>B40*C40</f>
        <v/>
      </c>
      <c r="E40" s="335">
        <f>IFERROR(D40*(1+VLOOKUP(G40,'Client Setup - Sample'!$A$23:$B$33,2,FALSE)),0)</f>
        <v/>
      </c>
      <c r="F40" s="336" t="n">
        <v>0</v>
      </c>
      <c r="G40" s="351" t="inlineStr">
        <is>
          <t>Staffing &amp; Labor</t>
        </is>
      </c>
      <c r="H40" s="253" t="n"/>
      <c r="I40" s="306" t="n"/>
      <c r="J40" s="306" t="n"/>
      <c r="K40" s="306" t="n"/>
      <c r="L40" s="94" t="n"/>
      <c r="M40" s="94" t="n"/>
      <c r="N40" s="94" t="n"/>
      <c r="O40" s="94" t="n"/>
      <c r="P40" s="94" t="n"/>
      <c r="Q40" s="94" t="n"/>
      <c r="R40" s="94" t="n"/>
      <c r="S40" s="94" t="n"/>
      <c r="T40" s="94" t="n"/>
      <c r="U40" s="94" t="n"/>
      <c r="V40" s="94" t="n"/>
      <c r="W40" s="94" t="n"/>
      <c r="X40" s="94" t="n"/>
      <c r="Y40" s="94" t="n"/>
      <c r="Z40" s="94" t="n"/>
    </row>
    <row r="41" ht="25.5" customHeight="1" s="90">
      <c r="A41" s="306" t="n"/>
      <c r="B41" s="306" t="n"/>
      <c r="C41" s="306" t="n"/>
      <c r="D41" s="306" t="n"/>
      <c r="E41" s="306" t="n"/>
      <c r="F41" s="306" t="n"/>
      <c r="G41" s="306" t="n"/>
      <c r="H41" s="253" t="n"/>
      <c r="I41" s="306" t="n"/>
      <c r="J41" s="306" t="n"/>
      <c r="K41" s="306" t="n"/>
      <c r="L41" s="94" t="n"/>
      <c r="M41" s="94" t="n"/>
      <c r="N41" s="94" t="n"/>
      <c r="O41" s="94" t="n"/>
      <c r="P41" s="94" t="n"/>
      <c r="Q41" s="94" t="n"/>
      <c r="R41" s="94" t="n"/>
      <c r="S41" s="94" t="n"/>
      <c r="T41" s="94" t="n"/>
      <c r="U41" s="94" t="n"/>
      <c r="V41" s="94" t="n"/>
      <c r="W41" s="94" t="n"/>
      <c r="X41" s="94" t="n"/>
      <c r="Y41" s="94" t="n"/>
      <c r="Z41" s="94" t="n"/>
    </row>
    <row r="42" ht="27" customHeight="1" s="90">
      <c r="A42" s="254" t="inlineStr">
        <is>
          <t>ESTIMATE SUMMARY</t>
        </is>
      </c>
      <c r="B42" s="269" t="n"/>
      <c r="C42" s="269" t="n"/>
      <c r="D42" s="269" t="n"/>
      <c r="E42" s="269" t="n"/>
      <c r="F42" s="269" t="n"/>
      <c r="G42" s="269" t="n"/>
      <c r="H42" s="257" t="n"/>
      <c r="I42" s="257" t="n"/>
      <c r="J42" s="257" t="n"/>
      <c r="K42" s="257" t="n"/>
      <c r="L42" s="94" t="n"/>
      <c r="M42" s="94" t="n"/>
      <c r="N42" s="94" t="n"/>
      <c r="O42" s="94" t="n"/>
      <c r="P42" s="94" t="n"/>
      <c r="Q42" s="94" t="n"/>
      <c r="R42" s="94" t="n"/>
      <c r="S42" s="94" t="n"/>
      <c r="T42" s="94" t="n"/>
      <c r="U42" s="94" t="n"/>
      <c r="V42" s="94" t="n"/>
      <c r="W42" s="94" t="n"/>
      <c r="X42" s="94" t="n"/>
      <c r="Y42" s="94" t="n"/>
      <c r="Z42" s="94" t="n"/>
    </row>
    <row r="43" ht="20" customHeight="1" s="90">
      <c r="A43" s="357" t="inlineStr">
        <is>
          <t>F&amp;B Subtotal</t>
        </is>
      </c>
      <c r="B43" s="327" t="n"/>
      <c r="C43" s="327" t="n"/>
      <c r="D43" s="358">
        <f>SUM(D24:D26)</f>
        <v/>
      </c>
      <c r="E43" s="358">
        <f>SUM(E24:E26)</f>
        <v/>
      </c>
      <c r="F43" s="327" t="n"/>
      <c r="G43" s="327" t="n"/>
      <c r="H43" s="253" t="n"/>
      <c r="I43" s="253" t="n"/>
      <c r="J43" s="253" t="n"/>
      <c r="K43" s="253" t="n"/>
      <c r="L43" s="94" t="n"/>
      <c r="M43" s="94" t="n"/>
      <c r="N43" s="94" t="n"/>
      <c r="O43" s="94" t="n"/>
      <c r="P43" s="94" t="n"/>
      <c r="Q43" s="94" t="n"/>
      <c r="R43" s="94" t="n"/>
      <c r="S43" s="94" t="n"/>
      <c r="T43" s="94" t="n"/>
      <c r="U43" s="94" t="n"/>
      <c r="V43" s="94" t="n"/>
      <c r="W43" s="94" t="n"/>
      <c r="X43" s="94" t="n"/>
      <c r="Y43" s="94" t="n"/>
      <c r="Z43" s="94" t="n"/>
    </row>
    <row r="44" ht="20" customHeight="1" s="90">
      <c r="A44" s="357" t="inlineStr">
        <is>
          <t>Food Tax</t>
        </is>
      </c>
      <c r="B44" s="327" t="n"/>
      <c r="C44" s="327" t="n"/>
      <c r="D44" s="358">
        <f>IFERROR(D24*F24+D26*F26,0)</f>
        <v/>
      </c>
      <c r="E44" s="358">
        <f>IFERROR(E24*F24+E26*F26,0)</f>
        <v/>
      </c>
      <c r="F44" s="327" t="n"/>
      <c r="G44" s="327" t="n"/>
      <c r="H44" s="253" t="n"/>
      <c r="I44" s="253" t="n"/>
      <c r="J44" s="253" t="n"/>
      <c r="K44" s="253" t="n"/>
      <c r="L44" s="94" t="n"/>
      <c r="M44" s="94" t="n"/>
      <c r="N44" s="94" t="n"/>
      <c r="O44" s="94" t="n"/>
      <c r="P44" s="94" t="n"/>
      <c r="Q44" s="94" t="n"/>
      <c r="R44" s="94" t="n"/>
      <c r="S44" s="94" t="n"/>
      <c r="T44" s="94" t="n"/>
      <c r="U44" s="94" t="n"/>
      <c r="V44" s="94" t="n"/>
      <c r="W44" s="94" t="n"/>
      <c r="X44" s="94" t="n"/>
      <c r="Y44" s="94" t="n"/>
      <c r="Z44" s="94" t="n"/>
    </row>
    <row r="45" ht="20" customHeight="1" s="90">
      <c r="A45" s="357" t="inlineStr">
        <is>
          <t>Alcohol Tax</t>
        </is>
      </c>
      <c r="B45" s="327" t="n"/>
      <c r="C45" s="327" t="n"/>
      <c r="D45" s="358">
        <f>IFERROR(D25*F25,0)</f>
        <v/>
      </c>
      <c r="E45" s="358">
        <f>IFERROR(E25*F25,0)</f>
        <v/>
      </c>
      <c r="F45" s="327" t="n"/>
      <c r="G45" s="327" t="n"/>
      <c r="H45" s="253" t="n"/>
      <c r="I45" s="253" t="n"/>
      <c r="J45" s="253" t="n"/>
      <c r="K45" s="253" t="n"/>
      <c r="L45" s="94" t="n"/>
      <c r="M45" s="94" t="n"/>
      <c r="N45" s="94" t="n"/>
      <c r="O45" s="94" t="n"/>
      <c r="P45" s="94" t="n"/>
      <c r="Q45" s="94" t="n"/>
      <c r="R45" s="94" t="n"/>
      <c r="S45" s="94" t="n"/>
      <c r="T45" s="94" t="n"/>
      <c r="U45" s="94" t="n"/>
      <c r="V45" s="94" t="n"/>
      <c r="W45" s="94" t="n"/>
      <c r="X45" s="94" t="n"/>
      <c r="Y45" s="94" t="n"/>
      <c r="Z45" s="94" t="n"/>
    </row>
    <row r="46" ht="20" customHeight="1" s="90">
      <c r="A46" s="357" t="inlineStr">
        <is>
          <t>Equipment &amp; Staffing Subtotal</t>
        </is>
      </c>
      <c r="B46" s="327" t="n"/>
      <c r="C46" s="327" t="n"/>
      <c r="D46" s="358">
        <f>SUM(D28:D31)</f>
        <v/>
      </c>
      <c r="E46" s="358">
        <f>SUM(E28:E31)</f>
        <v/>
      </c>
      <c r="F46" s="327" t="n"/>
      <c r="G46" s="327" t="n"/>
      <c r="H46" s="253" t="n"/>
      <c r="I46" s="253" t="n"/>
      <c r="J46" s="253" t="n"/>
      <c r="K46" s="253" t="n"/>
      <c r="L46" s="94" t="n"/>
      <c r="M46" s="94" t="n"/>
      <c r="N46" s="94" t="n"/>
      <c r="O46" s="94" t="n"/>
      <c r="P46" s="94" t="n"/>
      <c r="Q46" s="94" t="n"/>
      <c r="R46" s="94" t="n"/>
      <c r="S46" s="94" t="n"/>
      <c r="T46" s="94" t="n"/>
      <c r="U46" s="94" t="n"/>
      <c r="V46" s="94" t="n"/>
      <c r="W46" s="94" t="n"/>
      <c r="X46" s="94" t="n"/>
      <c r="Y46" s="94" t="n"/>
      <c r="Z46" s="94" t="n"/>
    </row>
    <row r="47" ht="20" customHeight="1" s="90">
      <c r="A47" s="357" t="inlineStr">
        <is>
          <t>Equipment &amp; Staffing Tax</t>
        </is>
      </c>
      <c r="B47" s="327" t="n"/>
      <c r="C47" s="327" t="n"/>
      <c r="D47" s="358">
        <f>IFERROR(D28*F28+D29*F29+D30*F30+D31*F31,0)</f>
        <v/>
      </c>
      <c r="E47" s="358">
        <f>IFERROR(E28*F28+E29*F29+E30*F30+E31*F31,0)</f>
        <v/>
      </c>
      <c r="F47" s="327" t="n"/>
      <c r="G47" s="327" t="n"/>
      <c r="H47" s="253" t="n"/>
      <c r="I47" s="253" t="n"/>
      <c r="J47" s="253" t="n"/>
      <c r="K47" s="253" t="n"/>
      <c r="L47" s="94" t="n"/>
      <c r="M47" s="94" t="n"/>
      <c r="N47" s="94" t="n"/>
      <c r="O47" s="94" t="n"/>
      <c r="P47" s="94" t="n"/>
      <c r="Q47" s="94" t="n"/>
      <c r="R47" s="94" t="n"/>
      <c r="S47" s="94" t="n"/>
      <c r="T47" s="94" t="n"/>
      <c r="U47" s="94" t="n"/>
      <c r="V47" s="94" t="n"/>
      <c r="W47" s="94" t="n"/>
      <c r="X47" s="94" t="n"/>
      <c r="Y47" s="94" t="n"/>
      <c r="Z47" s="94" t="n"/>
    </row>
    <row r="48" ht="20" customHeight="1" s="90">
      <c r="A48" s="357" t="inlineStr">
        <is>
          <t>QC Staffing Subtotal</t>
        </is>
      </c>
      <c r="B48" s="327" t="n"/>
      <c r="C48" s="327" t="n"/>
      <c r="D48" s="358">
        <f>SUM(D38:D40)</f>
        <v/>
      </c>
      <c r="E48" s="358">
        <f>SUM(E38:E40)</f>
        <v/>
      </c>
      <c r="F48" s="327" t="n"/>
      <c r="G48" s="327" t="n"/>
      <c r="H48" s="253" t="n"/>
      <c r="I48" s="253" t="n"/>
      <c r="J48" s="253" t="n"/>
      <c r="K48" s="253" t="n"/>
      <c r="L48" s="94" t="n"/>
      <c r="M48" s="94" t="n"/>
      <c r="N48" s="94" t="n"/>
      <c r="O48" s="94" t="n"/>
      <c r="P48" s="94" t="n"/>
      <c r="Q48" s="94" t="n"/>
      <c r="R48" s="94" t="n"/>
      <c r="S48" s="94" t="n"/>
      <c r="T48" s="94" t="n"/>
      <c r="U48" s="94" t="n"/>
      <c r="V48" s="94" t="n"/>
      <c r="W48" s="94" t="n"/>
      <c r="X48" s="94" t="n"/>
      <c r="Y48" s="94" t="n"/>
      <c r="Z48" s="94" t="n"/>
    </row>
    <row r="49" ht="20" customHeight="1" s="90">
      <c r="A49" s="357" t="inlineStr">
        <is>
          <t>Venue Fees Subtotal</t>
        </is>
      </c>
      <c r="B49" s="327" t="n"/>
      <c r="C49" s="327" t="n"/>
      <c r="D49" s="358">
        <f>SUM(D33:D35)</f>
        <v/>
      </c>
      <c r="E49" s="358">
        <f>SUM(E33:E35)</f>
        <v/>
      </c>
      <c r="F49" s="327" t="n"/>
      <c r="G49" s="327" t="n"/>
      <c r="H49" s="253" t="n"/>
      <c r="I49" s="253" t="n"/>
      <c r="J49" s="253" t="n"/>
      <c r="K49" s="253" t="n"/>
      <c r="L49" s="94" t="n"/>
      <c r="M49" s="94" t="n"/>
      <c r="N49" s="94" t="n"/>
      <c r="O49" s="94" t="n"/>
      <c r="P49" s="94" t="n"/>
      <c r="Q49" s="94" t="n"/>
      <c r="R49" s="94" t="n"/>
      <c r="S49" s="94" t="n"/>
      <c r="T49" s="94" t="n"/>
      <c r="U49" s="94" t="n"/>
      <c r="V49" s="94" t="n"/>
      <c r="W49" s="94" t="n"/>
      <c r="X49" s="94" t="n"/>
      <c r="Y49" s="94" t="n"/>
      <c r="Z49" s="94" t="n"/>
    </row>
    <row r="50" ht="20" customHeight="1" s="90">
      <c r="A50" s="357" t="inlineStr">
        <is>
          <t>Venue Tax</t>
        </is>
      </c>
      <c r="B50" s="327" t="n"/>
      <c r="C50" s="327" t="n"/>
      <c r="D50" s="358">
        <f>IFERROR(D49*F33,0)</f>
        <v/>
      </c>
      <c r="E50" s="358">
        <f>IFERROR(E49*F33,0)</f>
        <v/>
      </c>
      <c r="F50" s="327" t="n"/>
      <c r="G50" s="327" t="n"/>
      <c r="H50" s="253" t="n"/>
      <c r="I50" s="253" t="n"/>
      <c r="J50" s="253" t="n"/>
      <c r="K50" s="253" t="n"/>
      <c r="L50" s="94" t="n"/>
      <c r="M50" s="94" t="n"/>
      <c r="N50" s="94" t="n"/>
      <c r="O50" s="94" t="n"/>
      <c r="P50" s="94" t="n"/>
      <c r="Q50" s="94" t="n"/>
      <c r="R50" s="94" t="n"/>
      <c r="S50" s="94" t="n"/>
      <c r="T50" s="94" t="n"/>
      <c r="U50" s="94" t="n"/>
      <c r="V50" s="94" t="n"/>
      <c r="W50" s="94" t="n"/>
      <c r="X50" s="94" t="n"/>
      <c r="Y50" s="94" t="n"/>
      <c r="Z50" s="94" t="n"/>
    </row>
    <row r="51" ht="20" customHeight="1" s="90">
      <c r="A51" s="357" t="inlineStr">
        <is>
          <t>Service Charge</t>
        </is>
      </c>
      <c r="B51" s="327" t="n"/>
      <c r="C51" s="327" t="n"/>
      <c r="D51" s="358">
        <f>D43*IF(OR(C17="None",C17="",C17=0),0,IF(ISNUMBER(C17),C17,IFERROR(VALUE(SUBSTITUTE(C17,"%",""))/100,0)))</f>
        <v/>
      </c>
      <c r="E51" s="358">
        <f>E43*IF(OR(C17="None",C17="",C17=0),0,IF(ISNUMBER(C17),C17,IFERROR(VALUE(SUBSTITUTE(C17,"%",""))/100,0)))</f>
        <v/>
      </c>
      <c r="F51" s="327" t="n"/>
      <c r="G51" s="327" t="n"/>
      <c r="H51" s="253" t="n"/>
      <c r="I51" s="253" t="n"/>
      <c r="J51" s="253" t="n"/>
      <c r="K51" s="253" t="n"/>
      <c r="L51" s="94" t="n"/>
      <c r="M51" s="94" t="n"/>
      <c r="N51" s="94" t="n"/>
      <c r="O51" s="94" t="n"/>
      <c r="P51" s="94" t="n"/>
      <c r="Q51" s="94" t="n"/>
      <c r="R51" s="94" t="n"/>
      <c r="S51" s="94" t="n"/>
      <c r="T51" s="94" t="n"/>
      <c r="U51" s="94" t="n"/>
      <c r="V51" s="94" t="n"/>
      <c r="W51" s="94" t="n"/>
      <c r="X51" s="94" t="n"/>
      <c r="Y51" s="94" t="n"/>
      <c r="Z51" s="94" t="n"/>
    </row>
    <row r="52" ht="20" customHeight="1" s="90">
      <c r="A52" s="357" t="inlineStr">
        <is>
          <t>Gratuity</t>
        </is>
      </c>
      <c r="B52" s="327" t="n"/>
      <c r="C52" s="327" t="n"/>
      <c r="D52" s="358">
        <f>D43*IF(OR(C18="None",C18="",C18=0),0,IF(ISNUMBER(C18),C18,IFERROR(VALUE(SUBSTITUTE(C18,"%",""))/100,0)))</f>
        <v/>
      </c>
      <c r="E52" s="358">
        <f>E43*IF(OR(C18="None",C18="",C18=0),0,IF(ISNUMBER(C18),C18,IFERROR(VALUE(SUBSTITUTE(C18,"%",""))/100,0)))</f>
        <v/>
      </c>
      <c r="F52" s="327" t="n"/>
      <c r="G52" s="327" t="n"/>
      <c r="H52" s="253" t="n"/>
      <c r="I52" s="253" t="n"/>
      <c r="J52" s="253" t="n"/>
      <c r="K52" s="253" t="n"/>
      <c r="L52" s="94" t="n"/>
      <c r="M52" s="94" t="n"/>
      <c r="N52" s="94" t="n"/>
      <c r="O52" s="94" t="n"/>
      <c r="P52" s="94" t="n"/>
      <c r="Q52" s="94" t="n"/>
      <c r="R52" s="94" t="n"/>
      <c r="S52" s="94" t="n"/>
      <c r="T52" s="94" t="n"/>
      <c r="U52" s="94" t="n"/>
      <c r="V52" s="94" t="n"/>
      <c r="W52" s="94" t="n"/>
      <c r="X52" s="94" t="n"/>
      <c r="Y52" s="94" t="n"/>
      <c r="Z52" s="94" t="n"/>
    </row>
    <row r="53" ht="20" customHeight="1" s="90">
      <c r="A53" s="357" t="inlineStr">
        <is>
          <t>Admin Fee</t>
        </is>
      </c>
      <c r="B53" s="327" t="n"/>
      <c r="C53" s="327" t="n"/>
      <c r="D53" s="358">
        <f>D43*IF(OR(C19="None",C19="",C19=0),0,IF(ISNUMBER(C19),C19,IFERROR(VALUE(SUBSTITUTE(C19,"%",""))/100,0)))</f>
        <v/>
      </c>
      <c r="E53" s="358">
        <f>E43*IF(OR(C19="None",C19="",C19=0),0,IF(ISNUMBER(C19),C19,IFERROR(VALUE(SUBSTITUTE(C19,"%",""))/100,0)))</f>
        <v/>
      </c>
      <c r="F53" s="327" t="n"/>
      <c r="G53" s="327" t="n"/>
      <c r="H53" s="253" t="n"/>
      <c r="I53" s="253" t="n"/>
      <c r="J53" s="253" t="n"/>
      <c r="K53" s="253" t="n"/>
      <c r="L53" s="94" t="n"/>
      <c r="M53" s="94" t="n"/>
      <c r="N53" s="94" t="n"/>
      <c r="O53" s="94" t="n"/>
      <c r="P53" s="94" t="n"/>
      <c r="Q53" s="94" t="n"/>
      <c r="R53" s="94" t="n"/>
      <c r="S53" s="94" t="n"/>
      <c r="T53" s="94" t="n"/>
      <c r="U53" s="94" t="n"/>
      <c r="V53" s="94" t="n"/>
      <c r="W53" s="94" t="n"/>
      <c r="X53" s="94" t="n"/>
      <c r="Y53" s="94" t="n"/>
      <c r="Z53" s="94" t="n"/>
    </row>
    <row r="54" ht="22" customHeight="1" s="90">
      <c r="A54" s="359" t="inlineStr">
        <is>
          <t>SUBTOTAL</t>
        </is>
      </c>
      <c r="B54" s="360" t="n"/>
      <c r="C54" s="360" t="n"/>
      <c r="D54" s="361">
        <f>SUM(D43:D53)</f>
        <v/>
      </c>
      <c r="E54" s="361">
        <f>SUM(E43:E53)</f>
        <v/>
      </c>
      <c r="F54" s="362" t="n"/>
      <c r="G54" s="362" t="n"/>
      <c r="H54" s="253" t="n"/>
      <c r="I54" s="253" t="n"/>
      <c r="J54" s="253" t="n"/>
      <c r="K54" s="253" t="n"/>
      <c r="L54" s="94" t="n"/>
      <c r="M54" s="94" t="n"/>
      <c r="N54" s="94" t="n"/>
      <c r="O54" s="94" t="n"/>
      <c r="P54" s="94" t="n"/>
      <c r="Q54" s="94" t="n"/>
      <c r="R54" s="94" t="n"/>
      <c r="S54" s="94" t="n"/>
      <c r="T54" s="94" t="n"/>
      <c r="U54" s="94" t="n"/>
      <c r="V54" s="94" t="n"/>
      <c r="W54" s="94" t="n"/>
      <c r="X54" s="94" t="n"/>
      <c r="Y54" s="94" t="n"/>
      <c r="Z54" s="94" t="n"/>
    </row>
    <row r="55" ht="20" customHeight="1" s="90">
      <c r="A55" s="357" t="inlineStr">
        <is>
          <t>CC Processing Fee</t>
        </is>
      </c>
      <c r="B55" s="327" t="n"/>
      <c r="C55" s="327" t="n"/>
      <c r="D55" s="358">
        <f>E55</f>
        <v/>
      </c>
      <c r="E55" s="358">
        <f>IFERROR(E54*'Client Setup - Sample'!B35,0)</f>
        <v/>
      </c>
      <c r="F55" s="327" t="n"/>
      <c r="G55" s="327" t="n"/>
      <c r="H55" s="253" t="n"/>
      <c r="I55" s="253" t="n"/>
      <c r="J55" s="253" t="n"/>
      <c r="K55" s="253" t="n"/>
      <c r="L55" s="94" t="n"/>
      <c r="M55" s="94" t="n"/>
      <c r="N55" s="94" t="n"/>
      <c r="O55" s="94" t="n"/>
      <c r="P55" s="94" t="n"/>
      <c r="Q55" s="94" t="n"/>
      <c r="R55" s="94" t="n"/>
      <c r="S55" s="94" t="n"/>
      <c r="T55" s="94" t="n"/>
      <c r="U55" s="94" t="n"/>
      <c r="V55" s="94" t="n"/>
      <c r="W55" s="94" t="n"/>
      <c r="X55" s="94" t="n"/>
      <c r="Y55" s="94" t="n"/>
      <c r="Z55" s="94" t="n"/>
    </row>
    <row r="56" ht="20" customHeight="1" s="90">
      <c r="A56" s="357" t="inlineStr">
        <is>
          <t>Third-Party Commission</t>
        </is>
      </c>
      <c r="B56" s="327" t="n"/>
      <c r="C56" s="327" t="n"/>
      <c r="D56" s="358">
        <f>E56</f>
        <v/>
      </c>
      <c r="E56" s="358">
        <f>IFERROR((E43+E46+E48+E49+E51+E52+E53)*'Client Setup - Sample'!B36,0)</f>
        <v/>
      </c>
      <c r="F56" s="327" t="n"/>
      <c r="G56" s="327" t="n"/>
      <c r="H56" s="253" t="n"/>
      <c r="I56" s="253" t="n"/>
      <c r="J56" s="253" t="n"/>
      <c r="K56" s="253" t="n"/>
      <c r="L56" s="94" t="n"/>
      <c r="M56" s="94" t="n"/>
      <c r="N56" s="94" t="n"/>
      <c r="O56" s="94" t="n"/>
      <c r="P56" s="94" t="n"/>
      <c r="Q56" s="94" t="n"/>
      <c r="R56" s="94" t="n"/>
      <c r="S56" s="94" t="n"/>
      <c r="T56" s="94" t="n"/>
      <c r="U56" s="94" t="n"/>
      <c r="V56" s="94" t="n"/>
      <c r="W56" s="94" t="n"/>
      <c r="X56" s="94" t="n"/>
      <c r="Y56" s="94" t="n"/>
      <c r="Z56" s="94" t="n"/>
    </row>
    <row r="57" ht="25" customHeight="1" s="90">
      <c r="A57" s="363" t="inlineStr">
        <is>
          <t>TOTAL ESTIMATE</t>
        </is>
      </c>
      <c r="B57" s="364" t="n"/>
      <c r="C57" s="364" t="n"/>
      <c r="D57" s="365">
        <f>D54+D55+D56</f>
        <v/>
      </c>
      <c r="E57" s="365">
        <f>E54+E55+E56</f>
        <v/>
      </c>
      <c r="F57" s="366" t="n"/>
      <c r="G57" s="366" t="n"/>
      <c r="H57" s="253" t="n"/>
      <c r="I57" s="253" t="n"/>
      <c r="J57" s="253" t="n"/>
      <c r="K57" s="253" t="n"/>
      <c r="L57" s="94" t="n"/>
      <c r="M57" s="94" t="n"/>
      <c r="N57" s="94" t="n"/>
      <c r="O57" s="94" t="n"/>
      <c r="P57" s="94" t="n"/>
      <c r="Q57" s="94" t="n"/>
      <c r="R57" s="94" t="n"/>
      <c r="S57" s="94" t="n"/>
      <c r="T57" s="94" t="n"/>
      <c r="U57" s="94" t="n"/>
      <c r="V57" s="94" t="n"/>
      <c r="W57" s="94" t="n"/>
      <c r="X57" s="94" t="n"/>
      <c r="Y57" s="94" t="n"/>
      <c r="Z57" s="94" t="n"/>
    </row>
    <row r="58" ht="27.75" customHeight="1" s="90">
      <c r="A58" s="306" t="n"/>
      <c r="B58" s="306" t="n"/>
      <c r="C58" s="306" t="n"/>
      <c r="D58" s="306" t="n"/>
      <c r="E58" s="306" t="n"/>
      <c r="F58" s="306" t="n"/>
      <c r="G58" s="306" t="n"/>
      <c r="H58" s="253" t="n"/>
      <c r="I58" s="253" t="n"/>
      <c r="J58" s="253" t="n"/>
      <c r="K58" s="253" t="n"/>
      <c r="L58" s="94" t="n"/>
      <c r="M58" s="94" t="n"/>
      <c r="N58" s="94" t="n"/>
      <c r="O58" s="94" t="n"/>
      <c r="P58" s="94" t="n"/>
      <c r="Q58" s="94" t="n"/>
      <c r="R58" s="94" t="n"/>
      <c r="S58" s="94" t="n"/>
      <c r="T58" s="94" t="n"/>
      <c r="U58" s="94" t="n"/>
      <c r="V58" s="94" t="n"/>
      <c r="W58" s="94" t="n"/>
      <c r="X58" s="94" t="n"/>
      <c r="Y58" s="94" t="n"/>
      <c r="Z58" s="94" t="n"/>
    </row>
    <row r="59" ht="27" customHeight="1" s="90">
      <c r="A59" s="254" t="inlineStr">
        <is>
          <t>CLIENT PRICING</t>
        </is>
      </c>
      <c r="B59" s="269" t="n"/>
      <c r="C59" s="269" t="n"/>
      <c r="D59" s="269" t="n"/>
      <c r="E59" s="269" t="n"/>
      <c r="F59" s="269" t="n"/>
      <c r="G59" s="269" t="n"/>
      <c r="H59" s="257" t="n"/>
      <c r="I59" s="257" t="n"/>
      <c r="J59" s="257" t="n"/>
      <c r="K59" s="257" t="n"/>
      <c r="L59" s="94" t="n"/>
      <c r="M59" s="94" t="n"/>
      <c r="N59" s="94" t="n"/>
      <c r="O59" s="94" t="n"/>
      <c r="P59" s="94" t="n"/>
      <c r="Q59" s="94" t="n"/>
      <c r="R59" s="94" t="n"/>
      <c r="S59" s="94" t="n"/>
      <c r="T59" s="94" t="n"/>
      <c r="U59" s="94" t="n"/>
      <c r="V59" s="94" t="n"/>
      <c r="W59" s="94" t="n"/>
      <c r="X59" s="94" t="n"/>
      <c r="Y59" s="94" t="n"/>
      <c r="Z59" s="94" t="n"/>
    </row>
    <row r="60" ht="20" customHeight="1" s="90">
      <c r="A60" s="367" t="inlineStr">
        <is>
          <t>Price Per Person</t>
        </is>
      </c>
      <c r="B60" s="368">
        <f>IF('Client Setup - Sample'!B7&gt;0,CEILING(E57/'Client Setup - Sample'!B7,1),0)</f>
        <v/>
      </c>
      <c r="C60" s="340" t="n"/>
      <c r="D60" s="340" t="n"/>
      <c r="E60" s="340" t="n"/>
      <c r="F60" s="340" t="n"/>
      <c r="G60" s="340" t="n"/>
      <c r="H60" s="253" t="n"/>
      <c r="I60" s="253" t="n"/>
      <c r="J60" s="253" t="n"/>
      <c r="K60" s="253" t="n"/>
      <c r="L60" s="94" t="n"/>
      <c r="M60" s="94" t="n"/>
      <c r="N60" s="94" t="n"/>
      <c r="O60" s="94" t="n"/>
      <c r="P60" s="94" t="n"/>
      <c r="Q60" s="94" t="n"/>
      <c r="R60" s="94" t="n"/>
      <c r="S60" s="94" t="n"/>
      <c r="T60" s="94" t="n"/>
      <c r="U60" s="94" t="n"/>
      <c r="V60" s="94" t="n"/>
      <c r="W60" s="94" t="n"/>
      <c r="X60" s="94" t="n"/>
      <c r="Y60" s="94" t="n"/>
      <c r="Z60" s="94" t="n"/>
    </row>
    <row r="61" ht="20" customHeight="1" s="90">
      <c r="A61" s="367" t="inlineStr">
        <is>
          <t>Total Estimated Client Cost</t>
        </is>
      </c>
      <c r="B61" s="369">
        <f>IF('Client Setup - Sample'!B7&gt;0,B60*'Client Setup - Sample'!B7,0)</f>
        <v/>
      </c>
      <c r="C61" s="340" t="n"/>
      <c r="D61" s="340" t="n"/>
      <c r="E61" s="340" t="n"/>
      <c r="F61" s="340" t="n"/>
      <c r="G61" s="340" t="n"/>
      <c r="H61" s="253" t="n"/>
      <c r="I61" s="253" t="n"/>
      <c r="J61" s="253" t="n"/>
      <c r="K61" s="253" t="n"/>
      <c r="L61" s="94" t="n"/>
      <c r="M61" s="94" t="n"/>
      <c r="N61" s="94" t="n"/>
      <c r="O61" s="94" t="n"/>
      <c r="P61" s="94" t="n"/>
      <c r="Q61" s="94" t="n"/>
      <c r="R61" s="94" t="n"/>
      <c r="S61" s="94" t="n"/>
      <c r="T61" s="94" t="n"/>
      <c r="U61" s="94" t="n"/>
      <c r="V61" s="94" t="n"/>
      <c r="W61" s="94" t="n"/>
      <c r="X61" s="94" t="n"/>
      <c r="Y61" s="94" t="n"/>
      <c r="Z61" s="94" t="n"/>
    </row>
    <row r="62" ht="20" customHeight="1" s="90">
      <c r="A62" s="367" t="inlineStr">
        <is>
          <t>F&amp;B Minimum Status:</t>
        </is>
      </c>
      <c r="B62" s="370">
        <f>IF(B7=0,"No F&amp;B Minimum Set",IF(D43&gt;=B7,"✓ F&amp;B MINIMUM MET","✗ NOT MET — Shortfall: "&amp;TEXT(B7-D43,"$#,##0")))</f>
        <v/>
      </c>
      <c r="C62" s="280" t="n"/>
      <c r="D62" s="280" t="n"/>
      <c r="E62" s="280" t="n"/>
      <c r="F62" s="280" t="n"/>
      <c r="G62" s="280" t="n"/>
      <c r="H62" s="253" t="n"/>
      <c r="I62" s="253" t="n"/>
      <c r="J62" s="253" t="n"/>
      <c r="K62" s="253" t="n"/>
      <c r="L62" s="94" t="n"/>
      <c r="M62" s="94" t="n"/>
      <c r="N62" s="94" t="n"/>
      <c r="O62" s="94" t="n"/>
      <c r="P62" s="94" t="n"/>
      <c r="Q62" s="94" t="n"/>
      <c r="R62" s="94" t="n"/>
      <c r="S62" s="94" t="n"/>
      <c r="T62" s="94" t="n"/>
      <c r="U62" s="94" t="n"/>
      <c r="V62" s="94" t="n"/>
      <c r="W62" s="94" t="n"/>
      <c r="X62" s="94" t="n"/>
      <c r="Y62" s="94" t="n"/>
      <c r="Z62" s="94" t="n"/>
    </row>
    <row r="63" ht="25.5" customHeight="1" s="90">
      <c r="A63" s="306" t="n"/>
      <c r="B63" s="306" t="n"/>
      <c r="C63" s="306" t="n"/>
      <c r="D63" s="306" t="n"/>
      <c r="E63" s="306" t="n"/>
      <c r="F63" s="306" t="n"/>
      <c r="G63" s="306" t="n"/>
      <c r="H63" s="253" t="n"/>
      <c r="I63" s="253" t="n"/>
      <c r="J63" s="253" t="n"/>
      <c r="K63" s="253" t="n"/>
      <c r="L63" s="94" t="n"/>
      <c r="M63" s="94" t="n"/>
      <c r="N63" s="94" t="n"/>
      <c r="O63" s="94" t="n"/>
      <c r="P63" s="94" t="n"/>
      <c r="Q63" s="94" t="n"/>
      <c r="R63" s="94" t="n"/>
      <c r="S63" s="94" t="n"/>
      <c r="T63" s="94" t="n"/>
      <c r="U63" s="94" t="n"/>
      <c r="V63" s="94" t="n"/>
      <c r="W63" s="94" t="n"/>
      <c r="X63" s="94" t="n"/>
      <c r="Y63" s="94" t="n"/>
      <c r="Z63" s="94" t="n"/>
    </row>
    <row r="64" ht="25.5" customHeight="1" s="90">
      <c r="A64" s="280" t="n"/>
      <c r="B64" s="280" t="n"/>
      <c r="C64" s="280" t="n"/>
      <c r="D64" s="280" t="n"/>
      <c r="E64" s="280" t="n"/>
      <c r="F64" s="280" t="n"/>
      <c r="G64" s="280" t="n"/>
      <c r="H64" s="280" t="n"/>
      <c r="I64" s="280" t="n"/>
      <c r="J64" s="280" t="n"/>
      <c r="K64" s="280" t="n"/>
    </row>
    <row r="65" ht="27" customHeight="1" s="90">
      <c r="A65" s="269" t="inlineStr">
        <is>
          <t>QC TRAVEL EXPENSES</t>
        </is>
      </c>
      <c r="B65" s="269" t="n"/>
      <c r="C65" s="269" t="n"/>
      <c r="D65" s="269" t="n"/>
      <c r="E65" s="269" t="n"/>
      <c r="F65" s="269" t="n"/>
      <c r="G65" s="269" t="n"/>
      <c r="H65" s="269" t="n"/>
      <c r="I65" s="269" t="n"/>
      <c r="J65" s="269" t="n"/>
      <c r="K65" s="269" t="n"/>
    </row>
    <row r="66" ht="22" customHeight="1" s="90">
      <c r="A66" s="371" t="inlineStr"/>
      <c r="B66" s="372" t="inlineStr">
        <is>
          <t>Event Day</t>
        </is>
      </c>
      <c r="C66" s="372" t="inlineStr">
        <is>
          <t>Site Visit</t>
        </is>
      </c>
      <c r="D66" s="372" t="inlineStr">
        <is>
          <t>Trip 3</t>
        </is>
      </c>
      <c r="E66" s="280" t="n"/>
      <c r="F66" s="280" t="n"/>
      <c r="G66" s="280" t="n"/>
      <c r="H66" s="280" t="n"/>
      <c r="I66" s="280" t="n"/>
      <c r="J66" s="280" t="n"/>
      <c r="K66" s="280" t="n"/>
    </row>
    <row r="67" ht="20" customHeight="1" s="90">
      <c r="A67" s="357" t="inlineStr">
        <is>
          <t>Trip Label</t>
        </is>
      </c>
      <c r="B67" s="373" t="inlineStr">
        <is>
          <t>DC</t>
        </is>
      </c>
      <c r="C67" s="373" t="inlineStr">
        <is>
          <t>Charlotte</t>
        </is>
      </c>
      <c r="D67" s="373" t="n"/>
      <c r="E67" s="280" t="n"/>
      <c r="F67" s="280" t="n"/>
      <c r="G67" s="280" t="n"/>
      <c r="H67" s="280" t="n"/>
      <c r="I67" s="280" t="n"/>
      <c r="J67" s="280" t="n"/>
      <c r="K67" s="280" t="n"/>
    </row>
    <row r="68" ht="20" customHeight="1" s="90">
      <c r="A68" s="285" t="inlineStr">
        <is>
          <t>Destination</t>
        </is>
      </c>
      <c r="B68" s="259" t="inlineStr">
        <is>
          <t>DC</t>
        </is>
      </c>
      <c r="C68" s="259" t="inlineStr">
        <is>
          <t>Charlotte</t>
        </is>
      </c>
      <c r="D68" s="259" t="n"/>
      <c r="E68" s="280" t="n"/>
      <c r="F68" s="280" t="n"/>
      <c r="G68" s="280" t="n"/>
      <c r="H68" s="280" t="n"/>
      <c r="I68" s="280" t="n"/>
      <c r="J68" s="280" t="n"/>
      <c r="K68" s="280" t="n"/>
    </row>
    <row r="69" ht="20" customHeight="1" s="90">
      <c r="A69" s="357" t="inlineStr">
        <is>
          <t>Travel Type</t>
        </is>
      </c>
      <c r="B69" s="373">
        <f>IF(B68&lt;&gt;"",VLOOKUP(B68,'Client Setup - Sample'!$A$54:$F$63,2,FALSE),"")</f>
        <v/>
      </c>
      <c r="C69" s="373">
        <f>IF(C68&lt;&gt;"",VLOOKUP(C68,'Client Setup - Sample'!$A$54:$F$63,2,FALSE),"")</f>
        <v/>
      </c>
      <c r="D69" s="373">
        <f>IF(D68&lt;&gt;"",VLOOKUP(D68,'Client Setup - Sample'!$A$54:$F$63,2,FALSE),"")</f>
        <v/>
      </c>
      <c r="E69" s="280" t="n"/>
      <c r="F69" s="280" t="n"/>
      <c r="G69" s="280" t="n"/>
      <c r="H69" s="280" t="n"/>
      <c r="I69" s="280" t="n"/>
      <c r="J69" s="280" t="n"/>
      <c r="K69" s="280" t="n"/>
    </row>
    <row r="70" ht="20" customHeight="1" s="90">
      <c r="A70" s="285" t="inlineStr">
        <is>
          <t>Staff Traveling</t>
        </is>
      </c>
      <c r="B70" s="259" t="n">
        <v>2</v>
      </c>
      <c r="C70" s="259" t="n">
        <v>1</v>
      </c>
      <c r="D70" s="259" t="n"/>
      <c r="E70" s="280" t="n"/>
      <c r="F70" s="280" t="n"/>
      <c r="G70" s="280" t="n"/>
      <c r="H70" s="280" t="n"/>
      <c r="I70" s="280" t="n"/>
      <c r="J70" s="280" t="n"/>
      <c r="K70" s="280" t="n"/>
    </row>
    <row r="71" ht="20" customHeight="1" s="90">
      <c r="A71" s="357" t="inlineStr">
        <is>
          <t>Nights</t>
        </is>
      </c>
      <c r="B71" s="373" t="n">
        <v>1</v>
      </c>
      <c r="C71" s="373" t="n">
        <v>0</v>
      </c>
      <c r="D71" s="373" t="n"/>
      <c r="E71" s="280" t="n"/>
      <c r="F71" s="280" t="n"/>
      <c r="G71" s="280" t="n"/>
      <c r="H71" s="280" t="n"/>
      <c r="I71" s="280" t="n"/>
      <c r="J71" s="280" t="n"/>
      <c r="K71" s="280" t="n"/>
    </row>
    <row r="72" ht="20" customHeight="1" s="90">
      <c r="A72" s="285" t="inlineStr">
        <is>
          <t>On-Site Vehicle</t>
        </is>
      </c>
      <c r="B72" s="259" t="inlineStr">
        <is>
          <t>None</t>
        </is>
      </c>
      <c r="C72" s="259" t="inlineStr">
        <is>
          <t>None</t>
        </is>
      </c>
      <c r="D72" s="259" t="n"/>
      <c r="E72" s="280" t="n"/>
      <c r="F72" s="280" t="n"/>
      <c r="G72" s="280" t="n"/>
      <c r="H72" s="280" t="n"/>
      <c r="I72" s="280" t="n"/>
      <c r="J72" s="280" t="n"/>
      <c r="K72" s="280" t="n"/>
    </row>
    <row r="73" ht="20" customHeight="1" s="90">
      <c r="A73" s="357" t="inlineStr">
        <is>
          <t>Custom Vehicle Cost</t>
        </is>
      </c>
      <c r="B73" s="374" t="n"/>
      <c r="C73" s="374" t="n"/>
      <c r="D73" s="374" t="n"/>
      <c r="E73" s="280" t="n"/>
      <c r="F73" s="280" t="n"/>
      <c r="G73" s="280" t="n"/>
      <c r="H73" s="280" t="n"/>
      <c r="I73" s="280" t="n"/>
      <c r="J73" s="280" t="n"/>
      <c r="K73" s="280" t="n"/>
    </row>
    <row r="74" ht="20" customHeight="1" s="90">
      <c r="A74" s="375" t="n"/>
      <c r="B74" s="260" t="n"/>
      <c r="C74" s="260" t="n"/>
      <c r="D74" s="260" t="n"/>
      <c r="E74" s="280" t="n"/>
      <c r="F74" s="280" t="n"/>
      <c r="G74" s="280" t="n"/>
      <c r="H74" s="280" t="n"/>
      <c r="I74" s="280" t="n"/>
      <c r="J74" s="280" t="n"/>
      <c r="K74" s="280" t="n"/>
    </row>
    <row r="75" ht="20" customHeight="1" s="90">
      <c r="A75" s="357" t="inlineStr">
        <is>
          <t>Travel Cost</t>
        </is>
      </c>
      <c r="B75" s="374">
        <f>IF(OR(B68="",B70=""),0,IF(B69="Flight",VLOOKUP(B68,'Client Setup - Sample'!$A$54:$F$63,4,FALSE)*B70,IF(B69="Drive",VLOOKUP(B68,'Client Setup - Sample'!$A$54:$F$63,3,FALSE),0)))</f>
        <v/>
      </c>
      <c r="C75" s="374">
        <f>IF(OR(C68="",C70=""),0,IF(C69="Flight",VLOOKUP(C68,'Client Setup - Sample'!$A$54:$F$63,4,FALSE)*C70,IF(C69="Drive",VLOOKUP(C68,'Client Setup - Sample'!$A$54:$F$63,3,FALSE),0)))</f>
        <v/>
      </c>
      <c r="D75" s="374">
        <f>IF(OR(D68="",D70=""),0,IF(D69="Flight",VLOOKUP(D68,'Client Setup - Sample'!$A$54:$F$63,4,FALSE)*D70,IF(D69="Drive",VLOOKUP(D68,'Client Setup - Sample'!$A$54:$F$63,3,FALSE),0)))</f>
        <v/>
      </c>
      <c r="E75" s="280" t="n"/>
      <c r="F75" s="280" t="n"/>
      <c r="G75" s="280" t="n"/>
      <c r="H75" s="280" t="n"/>
      <c r="I75" s="280" t="n"/>
      <c r="J75" s="280" t="n"/>
      <c r="K75" s="280" t="n"/>
    </row>
    <row r="76" ht="20" customHeight="1" s="90">
      <c r="A76" s="285" t="inlineStr">
        <is>
          <t>Hotel Cost</t>
        </is>
      </c>
      <c r="B76" s="376">
        <f>IF(OR(B68="",B70="",B71=""),0,VLOOKUP(B68,'Client Setup - Sample'!$A$54:$F$63,5,FALSE)*B71*B70)</f>
        <v/>
      </c>
      <c r="C76" s="376">
        <f>IF(OR(C68="",C70="",C71=""),0,VLOOKUP(C68,'Client Setup - Sample'!$A$54:$F$63,5,FALSE)*C71*C70)</f>
        <v/>
      </c>
      <c r="D76" s="376">
        <f>IF(OR(D68="",D70="",D71=""),0,VLOOKUP(D68,'Client Setup - Sample'!$A$54:$F$63,5,FALSE)*D71*D70)</f>
        <v/>
      </c>
      <c r="E76" s="280" t="n"/>
      <c r="F76" s="280" t="n"/>
      <c r="G76" s="280" t="n"/>
      <c r="H76" s="280" t="n"/>
      <c r="I76" s="280" t="n"/>
      <c r="J76" s="280" t="n"/>
      <c r="K76" s="280" t="n"/>
    </row>
    <row r="77" ht="20" customHeight="1" s="90">
      <c r="A77" s="357" t="inlineStr">
        <is>
          <t>Per Diem Cost</t>
        </is>
      </c>
      <c r="B77" s="374">
        <f>IF(OR(B68="",B70=""),0,VLOOKUP(B68,'Client Setup - Sample'!$A$54:$F$63,6,FALSE)*(B71+1)*B70)</f>
        <v/>
      </c>
      <c r="C77" s="374">
        <f>IF(OR(C68="",C70=""),0,VLOOKUP(C68,'Client Setup - Sample'!$A$54:$F$63,6,FALSE)*(C71+1)*C70)</f>
        <v/>
      </c>
      <c r="D77" s="374">
        <f>IF(OR(D68="",D70=""),0,VLOOKUP(D68,'Client Setup - Sample'!$A$54:$F$63,6,FALSE)*(D71+1)*D70)</f>
        <v/>
      </c>
      <c r="E77" s="280" t="n"/>
      <c r="F77" s="280" t="n"/>
      <c r="G77" s="280" t="n"/>
      <c r="H77" s="280" t="n"/>
      <c r="I77" s="280" t="n"/>
      <c r="J77" s="280" t="n"/>
      <c r="K77" s="280" t="n"/>
    </row>
    <row r="78" ht="20" customHeight="1" s="90">
      <c r="A78" s="285" t="inlineStr">
        <is>
          <t>Vehicle Cost</t>
        </is>
      </c>
      <c r="B78" s="376">
        <f>IF(OR(B72="",B72="None"),0,IF(B72="Custom",IF(ISNUMBER(B73),B73,0),IFERROR(VLOOKUP(B72,'Client Setup - Sample'!$A$67:$B$72,2,FALSE),0)))</f>
        <v/>
      </c>
      <c r="C78" s="376">
        <f>IF(OR(C72="",C72="None"),0,IF(C72="Custom",IF(ISNUMBER(C73),C73,0),IFERROR(VLOOKUP(C72,'Client Setup - Sample'!$A$67:$B$72,2,FALSE),0)))</f>
        <v/>
      </c>
      <c r="D78" s="376">
        <f>IF(OR(D72="",D72="None"),0,IF(D72="Custom",IF(ISNUMBER(D73),D73,0),IFERROR(VLOOKUP(D72,'Client Setup - Sample'!$A$67:$B$72,2,FALSE),0)))</f>
        <v/>
      </c>
      <c r="E78" s="280" t="n"/>
      <c r="F78" s="280" t="n"/>
      <c r="G78" s="280" t="n"/>
      <c r="H78" s="280" t="n"/>
      <c r="I78" s="280" t="n"/>
      <c r="J78" s="280" t="n"/>
      <c r="K78" s="280" t="n"/>
    </row>
    <row r="79" ht="20" customHeight="1" s="90">
      <c r="A79" s="357" t="inlineStr">
        <is>
          <t>Trip Total</t>
        </is>
      </c>
      <c r="B79" s="377">
        <f>B75+B76+B77+B78</f>
        <v/>
      </c>
      <c r="C79" s="377">
        <f>C75+C76+C77+C78</f>
        <v/>
      </c>
      <c r="D79" s="377">
        <f>D75+D76+D77+D78</f>
        <v/>
      </c>
      <c r="E79" s="280" t="n"/>
      <c r="F79" s="280" t="n"/>
      <c r="G79" s="280" t="n"/>
      <c r="H79" s="280" t="n"/>
      <c r="I79" s="280" t="n"/>
      <c r="J79" s="280" t="n"/>
      <c r="K79" s="280" t="n"/>
    </row>
    <row r="80" ht="20" customHeight="1" s="90">
      <c r="A80" s="375" t="n"/>
      <c r="B80" s="326" t="n"/>
      <c r="C80" s="326" t="n"/>
      <c r="D80" s="326" t="n"/>
      <c r="E80" s="280" t="n"/>
      <c r="F80" s="280" t="n"/>
      <c r="G80" s="280" t="n"/>
      <c r="H80" s="280" t="n"/>
      <c r="I80" s="280" t="n"/>
      <c r="J80" s="280" t="n"/>
      <c r="K80" s="280" t="n"/>
    </row>
    <row r="81" ht="22" customHeight="1" s="90">
      <c r="A81" s="359" t="inlineStr">
        <is>
          <t>Total Travel Expenses</t>
        </is>
      </c>
      <c r="B81" s="360" t="n"/>
      <c r="C81" s="360" t="n"/>
      <c r="D81" s="378">
        <f>B79+C79+D79</f>
        <v/>
      </c>
      <c r="E81" s="280" t="n"/>
      <c r="F81" s="280" t="n"/>
      <c r="G81" s="280" t="n"/>
      <c r="H81" s="280" t="n"/>
      <c r="I81" s="280" t="n"/>
      <c r="J81" s="280" t="n"/>
      <c r="K81" s="280" t="n"/>
    </row>
    <row r="82" ht="27" customHeight="1" s="90">
      <c r="A82" s="254" t="inlineStr">
        <is>
          <t>PROFIT &amp; MARGIN ANALYSIS</t>
        </is>
      </c>
      <c r="B82" s="269" t="n"/>
      <c r="C82" s="269" t="n"/>
      <c r="D82" s="269" t="n"/>
      <c r="E82" s="269" t="n"/>
      <c r="F82" s="269" t="n"/>
      <c r="G82" s="269" t="n"/>
      <c r="H82" s="257" t="n"/>
      <c r="I82" s="257" t="n"/>
      <c r="J82" s="257" t="n"/>
      <c r="K82" s="257" t="n"/>
      <c r="L82" s="94" t="n"/>
      <c r="M82" s="94" t="n"/>
      <c r="N82" s="94" t="n"/>
      <c r="O82" s="94" t="n"/>
      <c r="P82" s="94" t="n"/>
      <c r="Q82" s="94" t="n"/>
      <c r="R82" s="94" t="n"/>
      <c r="S82" s="94" t="n"/>
      <c r="T82" s="94" t="n"/>
      <c r="U82" s="94" t="n"/>
      <c r="V82" s="94" t="n"/>
      <c r="W82" s="94" t="n"/>
      <c r="X82" s="94" t="n"/>
      <c r="Y82" s="94" t="n"/>
      <c r="Z82" s="94" t="n"/>
    </row>
    <row r="83" ht="20" customHeight="1" s="90">
      <c r="A83" s="357" t="inlineStr">
        <is>
          <t>Third-Party Commission</t>
        </is>
      </c>
      <c r="B83" s="327" t="n"/>
      <c r="C83" s="379">
        <f>'Client Setup - Sample'!B36</f>
        <v/>
      </c>
      <c r="D83" s="377">
        <f>(E43+E46+E48+E49+E51+E52+E53)*C83</f>
        <v/>
      </c>
      <c r="E83" s="327" t="n"/>
      <c r="F83" s="340" t="n"/>
      <c r="G83" s="340" t="n"/>
      <c r="H83" s="253" t="n"/>
      <c r="I83" s="253" t="n"/>
      <c r="J83" s="253" t="n"/>
      <c r="K83" s="253" t="n"/>
      <c r="L83" s="94" t="n"/>
      <c r="M83" s="94" t="n"/>
      <c r="N83" s="94" t="n"/>
      <c r="O83" s="94" t="n"/>
      <c r="P83" s="94" t="n"/>
      <c r="Q83" s="94" t="n"/>
      <c r="R83" s="94" t="n"/>
      <c r="S83" s="94" t="n"/>
      <c r="T83" s="94" t="n"/>
      <c r="U83" s="94" t="n"/>
      <c r="V83" s="94" t="n"/>
      <c r="W83" s="94" t="n"/>
      <c r="X83" s="94" t="n"/>
      <c r="Y83" s="94" t="n"/>
      <c r="Z83" s="94" t="n"/>
    </row>
    <row r="84" ht="20" customHeight="1" s="90">
      <c r="A84" s="357" t="inlineStr">
        <is>
          <t>Global DMC Fee (6.5%)</t>
        </is>
      </c>
      <c r="B84" s="327" t="n"/>
      <c r="C84" s="380">
        <f>IF('Client Setup - Sample'!B37="Yes",0.065,0)</f>
        <v/>
      </c>
      <c r="D84" s="377">
        <f>IF('Client Setup - Sample'!B37="Yes",(E43+E46+E48+E49+E51+E52+E53)*0.065,0)</f>
        <v/>
      </c>
      <c r="E84" s="327" t="n"/>
      <c r="F84" s="340" t="n"/>
      <c r="G84" s="340" t="n"/>
      <c r="H84" s="253" t="n"/>
      <c r="I84" s="253" t="n"/>
      <c r="J84" s="253" t="n"/>
      <c r="K84" s="253" t="n"/>
      <c r="L84" s="94" t="n"/>
      <c r="M84" s="94" t="n"/>
      <c r="N84" s="94" t="n"/>
      <c r="O84" s="94" t="n"/>
      <c r="P84" s="94" t="n"/>
      <c r="Q84" s="94" t="n"/>
      <c r="R84" s="94" t="n"/>
      <c r="S84" s="94" t="n"/>
      <c r="T84" s="94" t="n"/>
      <c r="U84" s="94" t="n"/>
      <c r="V84" s="94" t="n"/>
      <c r="W84" s="94" t="n"/>
      <c r="X84" s="94" t="n"/>
      <c r="Y84" s="94" t="n"/>
      <c r="Z84" s="94" t="n"/>
    </row>
    <row r="85" ht="20" customHeight="1" s="90">
      <c r="A85" s="357" t="inlineStr">
        <is>
          <t>Total Vendor Costs (incl. CC fee)</t>
        </is>
      </c>
      <c r="B85" s="327" t="n"/>
      <c r="C85" s="327" t="n"/>
      <c r="D85" s="377">
        <f>D54+D55</f>
        <v/>
      </c>
      <c r="E85" s="327" t="n"/>
      <c r="F85" s="340" t="n"/>
      <c r="G85" s="340" t="n"/>
      <c r="H85" s="253" t="n"/>
      <c r="I85" s="253" t="n"/>
      <c r="J85" s="253" t="n"/>
      <c r="K85" s="253" t="n"/>
      <c r="L85" s="94" t="n"/>
      <c r="M85" s="94" t="n"/>
      <c r="N85" s="94" t="n"/>
      <c r="O85" s="94" t="n"/>
      <c r="P85" s="94" t="n"/>
      <c r="Q85" s="94" t="n"/>
      <c r="R85" s="94" t="n"/>
      <c r="S85" s="94" t="n"/>
      <c r="T85" s="94" t="n"/>
      <c r="U85" s="94" t="n"/>
      <c r="V85" s="94" t="n"/>
      <c r="W85" s="94" t="n"/>
      <c r="X85" s="94" t="n"/>
      <c r="Y85" s="94" t="n"/>
      <c r="Z85" s="94" t="n"/>
    </row>
    <row r="86" ht="20" customHeight="1" s="90">
      <c r="A86" s="357" t="inlineStr">
        <is>
          <t>QC Revenue</t>
        </is>
      </c>
      <c r="B86" s="327" t="n"/>
      <c r="C86" s="327" t="n"/>
      <c r="D86" s="377">
        <f>IFERROR(E57-D83-D84-D85,0)</f>
        <v/>
      </c>
      <c r="E86" s="327" t="n"/>
      <c r="F86" s="340" t="n"/>
      <c r="G86" s="340" t="n"/>
      <c r="H86" s="253" t="n"/>
      <c r="I86" s="253" t="n"/>
      <c r="J86" s="253" t="n"/>
      <c r="K86" s="253" t="n"/>
      <c r="L86" s="94" t="n"/>
      <c r="M86" s="94" t="n"/>
      <c r="N86" s="94" t="n"/>
      <c r="O86" s="94" t="n"/>
      <c r="P86" s="94" t="n"/>
      <c r="Q86" s="94" t="n"/>
      <c r="R86" s="94" t="n"/>
      <c r="S86" s="94" t="n"/>
      <c r="T86" s="94" t="n"/>
      <c r="U86" s="94" t="n"/>
      <c r="V86" s="94" t="n"/>
      <c r="W86" s="94" t="n"/>
      <c r="X86" s="94" t="n"/>
      <c r="Y86" s="94" t="n"/>
      <c r="Z86" s="94" t="n"/>
    </row>
    <row r="87" ht="20" customHeight="1" s="90">
      <c r="A87" s="357" t="inlineStr">
        <is>
          <t>QC Margin %</t>
        </is>
      </c>
      <c r="B87" s="327" t="n"/>
      <c r="C87" s="327" t="n"/>
      <c r="D87" s="381">
        <f>IFERROR(IF(E57&gt;0,D86/E57,0),0)</f>
        <v/>
      </c>
      <c r="E87" s="327" t="n"/>
      <c r="F87" s="382" t="n"/>
      <c r="G87" s="382" t="n"/>
      <c r="H87" s="253" t="n"/>
      <c r="I87" s="253" t="n"/>
      <c r="J87" s="253" t="n"/>
      <c r="K87" s="253" t="n"/>
      <c r="L87" s="94" t="n"/>
      <c r="M87" s="94" t="n"/>
      <c r="N87" s="94" t="n"/>
      <c r="O87" s="94" t="n"/>
      <c r="P87" s="94" t="n"/>
      <c r="Q87" s="94" t="n"/>
      <c r="R87" s="94" t="n"/>
      <c r="S87" s="94" t="n"/>
      <c r="T87" s="94" t="n"/>
      <c r="U87" s="94" t="n"/>
      <c r="V87" s="94" t="n"/>
      <c r="W87" s="94" t="n"/>
      <c r="X87" s="94" t="n"/>
      <c r="Y87" s="94" t="n"/>
      <c r="Z87" s="94" t="n"/>
    </row>
    <row r="88" ht="20" customHeight="1" s="90">
      <c r="A88" s="357" t="inlineStr">
        <is>
          <t>Margin Health</t>
        </is>
      </c>
      <c r="B88" s="327" t="n"/>
      <c r="C88" s="327" t="n"/>
      <c r="D88" s="383">
        <f>IF(D87&gt;=0.45,"✓ STRONG",IF(D87&gt;=0.35,"→ ON TARGET",IF(D87&gt;=0.25,"⚠ REVIEW","✗ BELOW FLOOR")))</f>
        <v/>
      </c>
      <c r="E88" s="327" t="n"/>
      <c r="F88" s="306" t="n"/>
      <c r="G88" s="306" t="n"/>
      <c r="H88" s="253" t="n"/>
      <c r="I88" s="253" t="n"/>
      <c r="J88" s="253" t="n"/>
      <c r="K88" s="253" t="n"/>
      <c r="L88" s="94" t="n"/>
      <c r="M88" s="94" t="n"/>
      <c r="N88" s="94" t="n"/>
      <c r="O88" s="94" t="n"/>
      <c r="P88" s="94" t="n"/>
      <c r="Q88" s="94" t="n"/>
      <c r="R88" s="94" t="n"/>
      <c r="S88" s="94" t="n"/>
      <c r="T88" s="94" t="n"/>
      <c r="U88" s="94" t="n"/>
      <c r="V88" s="94" t="n"/>
      <c r="W88" s="94" t="n"/>
      <c r="X88" s="94" t="n"/>
      <c r="Y88" s="94" t="n"/>
      <c r="Z88" s="94" t="n"/>
    </row>
    <row r="89" ht="20" customHeight="1" s="90">
      <c r="A89" s="384" t="n"/>
      <c r="B89" s="327" t="n"/>
      <c r="C89" s="327" t="n"/>
      <c r="D89" s="327" t="n"/>
      <c r="E89" s="327" t="n"/>
      <c r="F89" s="306" t="n"/>
      <c r="G89" s="306" t="n"/>
      <c r="H89" s="253" t="n"/>
      <c r="I89" s="253" t="n"/>
      <c r="J89" s="253" t="n"/>
      <c r="K89" s="253" t="n"/>
      <c r="L89" s="94" t="n"/>
      <c r="M89" s="94" t="n"/>
      <c r="N89" s="94" t="n"/>
      <c r="O89" s="94" t="n"/>
      <c r="P89" s="94" t="n"/>
      <c r="Q89" s="94" t="n"/>
      <c r="R89" s="94" t="n"/>
      <c r="S89" s="94" t="n"/>
      <c r="T89" s="94" t="n"/>
      <c r="U89" s="94" t="n"/>
      <c r="V89" s="94" t="n"/>
      <c r="W89" s="94" t="n"/>
      <c r="X89" s="94" t="n"/>
      <c r="Y89" s="94" t="n"/>
      <c r="Z89" s="94" t="n"/>
    </row>
    <row r="90" ht="20" customHeight="1" s="90">
      <c r="A90" s="357" t="inlineStr">
        <is>
          <t>Estimated Team Hours</t>
        </is>
      </c>
      <c r="B90" s="327" t="n"/>
      <c r="C90" s="385" t="n"/>
      <c r="D90" s="377">
        <f>IF(ISNUMBER(C90),C90*90,0)</f>
        <v/>
      </c>
      <c r="E90" s="321" t="inlineStr">
        <is>
          <t>Hours × $90/hr</t>
        </is>
      </c>
      <c r="F90" s="306" t="n"/>
      <c r="G90" s="306" t="n"/>
      <c r="H90" s="253" t="n"/>
      <c r="I90" s="253" t="n"/>
      <c r="J90" s="253" t="n"/>
      <c r="K90" s="253" t="n"/>
      <c r="L90" s="94" t="n"/>
      <c r="M90" s="94" t="n"/>
      <c r="N90" s="94" t="n"/>
      <c r="O90" s="94" t="n"/>
      <c r="P90" s="94" t="n"/>
      <c r="Q90" s="94" t="n"/>
      <c r="R90" s="94" t="n"/>
      <c r="S90" s="94" t="n"/>
      <c r="T90" s="94" t="n"/>
      <c r="U90" s="94" t="n"/>
      <c r="V90" s="94" t="n"/>
      <c r="W90" s="94" t="n"/>
      <c r="X90" s="94" t="n"/>
      <c r="Y90" s="94" t="n"/>
      <c r="Z90" s="94" t="n"/>
    </row>
    <row r="91" ht="20" customHeight="1" s="90">
      <c r="A91" s="357" t="inlineStr">
        <is>
          <t>True Net Profit</t>
        </is>
      </c>
      <c r="B91" s="327" t="n"/>
      <c r="C91" s="327" t="n"/>
      <c r="D91" s="377">
        <f>D86-D90-D81</f>
        <v/>
      </c>
      <c r="E91" s="327" t="n"/>
      <c r="F91" s="253" t="n"/>
      <c r="G91" s="253" t="n"/>
      <c r="H91" s="253" t="n"/>
      <c r="I91" s="253" t="n"/>
      <c r="J91" s="253" t="n"/>
      <c r="K91" s="253" t="n"/>
      <c r="L91" s="94" t="n"/>
      <c r="M91" s="94" t="n"/>
      <c r="N91" s="94" t="n"/>
      <c r="O91" s="94" t="n"/>
      <c r="P91" s="94" t="n"/>
      <c r="Q91" s="94" t="n"/>
      <c r="R91" s="94" t="n"/>
      <c r="S91" s="94" t="n"/>
      <c r="T91" s="94" t="n"/>
      <c r="U91" s="94" t="n"/>
      <c r="V91" s="94" t="n"/>
      <c r="W91" s="94" t="n"/>
      <c r="X91" s="94" t="n"/>
      <c r="Y91" s="94" t="n"/>
      <c r="Z91" s="94" t="n"/>
    </row>
    <row r="92" ht="20" customHeight="1" s="90">
      <c r="A92" s="357" t="inlineStr">
        <is>
          <t>True Net Margin %</t>
        </is>
      </c>
      <c r="B92" s="327" t="n"/>
      <c r="C92" s="327" t="n"/>
      <c r="D92" s="381">
        <f>IFERROR(IF(E57&gt;0,D91/E57,0),0)</f>
        <v/>
      </c>
      <c r="E92" s="327" t="n"/>
      <c r="F92" s="253" t="n"/>
      <c r="G92" s="253" t="n"/>
      <c r="H92" s="253" t="n"/>
      <c r="I92" s="253" t="n"/>
      <c r="J92" s="253" t="n"/>
      <c r="K92" s="253" t="n"/>
      <c r="L92" s="94" t="n"/>
      <c r="M92" s="94" t="n"/>
      <c r="N92" s="94" t="n"/>
      <c r="O92" s="94" t="n"/>
      <c r="P92" s="94" t="n"/>
      <c r="Q92" s="94" t="n"/>
      <c r="R92" s="94" t="n"/>
      <c r="S92" s="94" t="n"/>
      <c r="T92" s="94" t="n"/>
      <c r="U92" s="94" t="n"/>
      <c r="V92" s="94" t="n"/>
      <c r="W92" s="94" t="n"/>
      <c r="X92" s="94" t="n"/>
      <c r="Y92" s="94" t="n"/>
      <c r="Z92" s="94" t="n"/>
    </row>
    <row r="93" ht="20" customHeight="1" s="90">
      <c r="A93" s="357" t="inlineStr">
        <is>
          <t>True Net Health</t>
        </is>
      </c>
      <c r="B93" s="327" t="n"/>
      <c r="C93" s="327" t="n"/>
      <c r="D93" s="383">
        <f>IF(D92&gt;=0.15,"✓ STRONG",IF(D92&gt;=0.07,"→ ON TARGET",IF(D92&gt;=0,"⚠ THIN","✗ LOSING MONEY")))</f>
        <v/>
      </c>
      <c r="E93" s="327" t="n"/>
      <c r="F93" s="253" t="n"/>
      <c r="G93" s="253" t="n"/>
      <c r="H93" s="253" t="n"/>
      <c r="I93" s="253" t="n"/>
      <c r="J93" s="253" t="n"/>
      <c r="K93" s="253" t="n"/>
      <c r="L93" s="94" t="n"/>
      <c r="M93" s="94" t="n"/>
      <c r="N93" s="94" t="n"/>
      <c r="O93" s="94" t="n"/>
      <c r="P93" s="94" t="n"/>
      <c r="Q93" s="94" t="n"/>
      <c r="R93" s="94" t="n"/>
      <c r="S93" s="94" t="n"/>
      <c r="T93" s="94" t="n"/>
      <c r="U93" s="94" t="n"/>
      <c r="V93" s="94" t="n"/>
      <c r="W93" s="94" t="n"/>
      <c r="X93" s="94" t="n"/>
      <c r="Y93" s="94" t="n"/>
      <c r="Z93" s="94" t="n"/>
    </row>
    <row r="94" ht="15.75" customHeight="1" s="90">
      <c r="A94" s="253" t="n"/>
      <c r="B94" s="253" t="n"/>
      <c r="C94" s="253" t="n"/>
      <c r="D94" s="253" t="n"/>
      <c r="E94" s="253" t="n"/>
      <c r="F94" s="253" t="n"/>
      <c r="G94" s="253" t="n"/>
      <c r="H94" s="253" t="n"/>
      <c r="I94" s="253" t="n"/>
      <c r="J94" s="253" t="n"/>
      <c r="K94" s="253" t="n"/>
      <c r="L94" s="94" t="n"/>
      <c r="M94" s="94" t="n"/>
      <c r="N94" s="94" t="n"/>
      <c r="O94" s="94" t="n"/>
      <c r="P94" s="94" t="n"/>
      <c r="Q94" s="94" t="n"/>
      <c r="R94" s="94" t="n"/>
      <c r="S94" s="94" t="n"/>
      <c r="T94" s="94" t="n"/>
      <c r="U94" s="94" t="n"/>
      <c r="V94" s="94" t="n"/>
      <c r="W94" s="94" t="n"/>
      <c r="X94" s="94" t="n"/>
      <c r="Y94" s="94" t="n"/>
      <c r="Z94" s="94" t="n"/>
    </row>
    <row r="95" ht="15.75" customHeight="1" s="90">
      <c r="A95" s="253" t="n"/>
      <c r="B95" s="253" t="n"/>
      <c r="C95" s="253" t="n"/>
      <c r="D95" s="253" t="n"/>
      <c r="E95" s="253" t="n"/>
      <c r="F95" s="253" t="n"/>
      <c r="G95" s="253" t="n"/>
      <c r="H95" s="253" t="n"/>
      <c r="I95" s="253" t="n"/>
      <c r="J95" s="253" t="n"/>
      <c r="K95" s="253" t="n"/>
      <c r="L95" s="94" t="n"/>
      <c r="M95" s="94" t="n"/>
      <c r="N95" s="94" t="n"/>
      <c r="O95" s="94" t="n"/>
      <c r="P95" s="94" t="n"/>
      <c r="Q95" s="94" t="n"/>
      <c r="R95" s="94" t="n"/>
      <c r="S95" s="94" t="n"/>
      <c r="T95" s="94" t="n"/>
      <c r="U95" s="94" t="n"/>
      <c r="V95" s="94" t="n"/>
      <c r="W95" s="94" t="n"/>
      <c r="X95" s="94" t="n"/>
      <c r="Y95" s="94" t="n"/>
      <c r="Z95" s="94" t="n"/>
    </row>
    <row r="96" ht="15.75" customHeight="1" s="90">
      <c r="A96" s="253" t="n"/>
      <c r="B96" s="253" t="n"/>
      <c r="C96" s="253" t="n"/>
      <c r="D96" s="253" t="n"/>
      <c r="E96" s="253" t="n"/>
      <c r="F96" s="253" t="n"/>
      <c r="G96" s="253" t="n"/>
      <c r="H96" s="253" t="n"/>
      <c r="I96" s="253" t="n"/>
      <c r="J96" s="253" t="n"/>
      <c r="K96" s="253"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253" t="n"/>
      <c r="J97" s="253" t="n"/>
      <c r="K97" s="253"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253" t="n"/>
      <c r="J98" s="253" t="n"/>
      <c r="K98" s="253"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253" t="n"/>
      <c r="J99" s="253" t="n"/>
      <c r="K99" s="253"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253" t="n"/>
      <c r="J100" s="253" t="n"/>
      <c r="K100" s="253"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253" t="n"/>
      <c r="J101" s="253" t="n"/>
      <c r="K101" s="253"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253" t="n"/>
      <c r="J102" s="253" t="n"/>
      <c r="K102" s="253"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253" t="n"/>
      <c r="J103" s="253" t="n"/>
      <c r="K103" s="253"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253" t="n"/>
      <c r="J104" s="253" t="n"/>
      <c r="K104" s="253"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253" t="n"/>
      <c r="J105" s="253" t="n"/>
      <c r="K105" s="253"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253" t="n"/>
      <c r="J106" s="253" t="n"/>
      <c r="K106" s="253"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253" t="n"/>
      <c r="J107" s="253" t="n"/>
      <c r="K107" s="253"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253" t="n"/>
      <c r="J108" s="253" t="n"/>
      <c r="K108" s="253"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253" t="n"/>
      <c r="J109" s="253" t="n"/>
      <c r="K109" s="253"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253" t="n"/>
      <c r="J110" s="253" t="n"/>
      <c r="K110" s="253"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253" t="n"/>
      <c r="J111" s="253" t="n"/>
      <c r="K111" s="253"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253" t="n"/>
      <c r="J112" s="253" t="n"/>
      <c r="K112" s="253"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253" t="n"/>
      <c r="J113" s="253" t="n"/>
      <c r="K113" s="253"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253" t="n"/>
      <c r="J114" s="253" t="n"/>
      <c r="K114" s="253"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253" t="n"/>
      <c r="J115" s="253" t="n"/>
      <c r="K115" s="253"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253" t="n"/>
      <c r="J116" s="253" t="n"/>
      <c r="K116" s="253"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253" t="n"/>
      <c r="J117" s="253" t="n"/>
      <c r="K117" s="253"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253" t="n"/>
      <c r="J118" s="253" t="n"/>
      <c r="K118" s="253"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253" t="n"/>
      <c r="J119" s="253" t="n"/>
      <c r="K119" s="253"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253" t="n"/>
      <c r="J120" s="253" t="n"/>
      <c r="K120" s="253"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253" t="n"/>
      <c r="J121" s="253" t="n"/>
      <c r="K121" s="253"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253" t="n"/>
      <c r="J122" s="253" t="n"/>
      <c r="K122" s="253"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253" t="n"/>
      <c r="J123" s="253" t="n"/>
      <c r="K123" s="253"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253" t="n"/>
      <c r="J124" s="253" t="n"/>
      <c r="K124" s="253"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253" t="n"/>
      <c r="J125" s="253" t="n"/>
      <c r="K125" s="253"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253" t="n"/>
      <c r="J126" s="253" t="n"/>
      <c r="K126" s="253"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253" t="n"/>
      <c r="J127" s="253" t="n"/>
      <c r="K127" s="253"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253" t="n"/>
      <c r="J128" s="253" t="n"/>
      <c r="K128" s="253"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253" t="n"/>
      <c r="J129" s="253" t="n"/>
      <c r="K129" s="253"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253" t="n"/>
      <c r="J130" s="253" t="n"/>
      <c r="K130" s="253"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253" t="n"/>
      <c r="J131" s="253" t="n"/>
      <c r="K131" s="253"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253" t="n"/>
      <c r="J132" s="253" t="n"/>
      <c r="K132" s="253"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253" t="n"/>
      <c r="J133" s="253" t="n"/>
      <c r="K133" s="253"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253" t="n"/>
      <c r="J134" s="253" t="n"/>
      <c r="K134" s="253"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253" t="n"/>
      <c r="J135" s="253" t="n"/>
      <c r="K135" s="253"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253" t="n"/>
      <c r="J136" s="253" t="n"/>
      <c r="K136" s="253"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253" t="n"/>
      <c r="J137" s="253" t="n"/>
      <c r="K137" s="253"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253" t="n"/>
      <c r="J138" s="253" t="n"/>
      <c r="K138" s="253"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253" t="n"/>
      <c r="J140" s="253" t="n"/>
      <c r="K140" s="253"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253" t="n"/>
      <c r="J141" s="253" t="n"/>
      <c r="K141" s="253"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253" t="n"/>
      <c r="J142" s="253" t="n"/>
      <c r="K142" s="253"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253" t="n"/>
      <c r="J143" s="253" t="n"/>
      <c r="K143" s="253"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253" t="n"/>
      <c r="J144" s="253" t="n"/>
      <c r="K144" s="253"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253" t="n"/>
      <c r="J145" s="253" t="n"/>
      <c r="K145" s="253"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253" t="n"/>
      <c r="J146" s="253" t="n"/>
      <c r="K146" s="253"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253" t="n"/>
      <c r="J147" s="253" t="n"/>
      <c r="K147" s="253"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253" t="n"/>
      <c r="J148" s="253" t="n"/>
      <c r="K148" s="253"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253" t="n"/>
      <c r="J149" s="253" t="n"/>
      <c r="K149" s="253"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253" t="n"/>
      <c r="J150" s="253" t="n"/>
      <c r="K150" s="253"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253" t="n"/>
      <c r="J151" s="253" t="n"/>
      <c r="K151" s="253"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253" t="n"/>
      <c r="J152" s="253" t="n"/>
      <c r="K152" s="253"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253" t="n"/>
      <c r="J153" s="253" t="n"/>
      <c r="K153" s="253"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253" t="n"/>
      <c r="J154" s="253" t="n"/>
      <c r="K154" s="253"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253" t="n"/>
      <c r="J155" s="253" t="n"/>
      <c r="K155" s="253"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253" t="n"/>
      <c r="J156" s="253" t="n"/>
      <c r="K156" s="253"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253" t="n"/>
      <c r="J157" s="253" t="n"/>
      <c r="K157" s="253"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253" t="n"/>
      <c r="J158" s="253" t="n"/>
      <c r="K158" s="253"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253" t="n"/>
      <c r="J159" s="253" t="n"/>
      <c r="K159" s="253"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253" t="n"/>
      <c r="J160" s="253" t="n"/>
      <c r="K160" s="253"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253" t="n"/>
      <c r="J161" s="253" t="n"/>
      <c r="K161" s="253"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253" t="n"/>
      <c r="J162" s="253" t="n"/>
      <c r="K162" s="253"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253" t="n"/>
      <c r="J163" s="253" t="n"/>
      <c r="K163" s="253"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253" t="n"/>
      <c r="J164" s="253" t="n"/>
      <c r="K164" s="253"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253" t="n"/>
      <c r="J165" s="253" t="n"/>
      <c r="K165" s="253"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253" t="n"/>
      <c r="J166" s="253" t="n"/>
      <c r="K166" s="253"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253" t="n"/>
      <c r="J167" s="253" t="n"/>
      <c r="K167" s="253"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253" t="n"/>
      <c r="J168" s="253" t="n"/>
      <c r="K168" s="253"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253" t="n"/>
      <c r="J169" s="253" t="n"/>
      <c r="K169" s="253"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253" t="n"/>
      <c r="J170" s="253" t="n"/>
      <c r="K170" s="253"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253" t="n"/>
      <c r="J171" s="253" t="n"/>
      <c r="K171" s="253"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253" t="n"/>
      <c r="J172" s="253" t="n"/>
      <c r="K172" s="253"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253" t="n"/>
      <c r="J173" s="253" t="n"/>
      <c r="K173" s="253"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253" t="n"/>
      <c r="J174" s="253" t="n"/>
      <c r="K174" s="253"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253" t="n"/>
      <c r="J175" s="253" t="n"/>
      <c r="K175" s="253"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253" t="n"/>
      <c r="J176" s="253" t="n"/>
      <c r="K176" s="253"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253" t="n"/>
      <c r="J177" s="253" t="n"/>
      <c r="K177" s="253"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253" t="n"/>
      <c r="J178" s="253" t="n"/>
      <c r="K178" s="253"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253" t="n"/>
      <c r="J179" s="253" t="n"/>
      <c r="K179" s="253"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253" t="n"/>
      <c r="J180" s="253" t="n"/>
      <c r="K180" s="253"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253" t="n"/>
      <c r="J181" s="253" t="n"/>
      <c r="K181" s="253"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253" t="n"/>
      <c r="J182" s="253" t="n"/>
      <c r="K182" s="253"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253" t="n"/>
      <c r="J183" s="253" t="n"/>
      <c r="K183" s="253"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253" t="n"/>
      <c r="J184" s="253" t="n"/>
      <c r="K184" s="253"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253" t="n"/>
      <c r="J185" s="253" t="n"/>
      <c r="K185" s="253"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253" t="n"/>
      <c r="J186" s="253" t="n"/>
      <c r="K186" s="253"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253" t="n"/>
      <c r="J187" s="253" t="n"/>
      <c r="K187" s="253"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253" t="n"/>
      <c r="J188" s="253" t="n"/>
      <c r="K188" s="253"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253" t="n"/>
      <c r="J189" s="253" t="n"/>
      <c r="K189" s="253"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253" t="n"/>
      <c r="J190" s="253" t="n"/>
      <c r="K190" s="253"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253" t="n"/>
      <c r="J191" s="253" t="n"/>
      <c r="K191" s="253"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253" t="n"/>
      <c r="J192" s="253" t="n"/>
      <c r="K192" s="253"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253" t="n"/>
      <c r="J193" s="253" t="n"/>
      <c r="K193" s="253"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253" t="n"/>
      <c r="J194" s="253" t="n"/>
      <c r="K194" s="253"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253" t="n"/>
      <c r="J195" s="253" t="n"/>
      <c r="K195" s="253"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253" t="n"/>
      <c r="J196" s="253" t="n"/>
      <c r="K196" s="253"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253" t="n"/>
      <c r="J197" s="253" t="n"/>
      <c r="K197" s="253"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253" t="n"/>
      <c r="J198" s="253" t="n"/>
      <c r="K198" s="253"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253" t="n"/>
      <c r="J199" s="253" t="n"/>
      <c r="K199" s="253"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253" t="n"/>
      <c r="J200" s="253" t="n"/>
      <c r="K200" s="253"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253" t="n"/>
      <c r="J201" s="253" t="n"/>
      <c r="K201" s="253"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253" t="n"/>
      <c r="J202" s="253" t="n"/>
      <c r="K202" s="253"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253" t="n"/>
      <c r="J203" s="253" t="n"/>
      <c r="K203" s="253"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253" t="n"/>
      <c r="J204" s="253" t="n"/>
      <c r="K204" s="253"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253" t="n"/>
      <c r="J205" s="253" t="n"/>
      <c r="K205" s="253"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253" t="n"/>
      <c r="J206" s="253" t="n"/>
      <c r="K206" s="253"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253" t="n"/>
      <c r="J207" s="253" t="n"/>
      <c r="K207" s="253"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253" t="n"/>
      <c r="J208" s="253" t="n"/>
      <c r="K208" s="253"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253" t="n"/>
      <c r="J209" s="253" t="n"/>
      <c r="K209" s="253"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253" t="n"/>
      <c r="J210" s="253" t="n"/>
      <c r="K210" s="253"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253" t="n"/>
      <c r="J211" s="253" t="n"/>
      <c r="K211" s="253"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253" t="n"/>
      <c r="J212" s="253" t="n"/>
      <c r="K212" s="253"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253" t="n"/>
      <c r="J213" s="253" t="n"/>
      <c r="K213" s="253"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253" t="n"/>
      <c r="J214" s="253" t="n"/>
      <c r="K214" s="253"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253" t="n"/>
      <c r="J215" s="253" t="n"/>
      <c r="K215" s="253"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253" t="n"/>
      <c r="J216" s="253" t="n"/>
      <c r="K216" s="253"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253" t="n"/>
      <c r="J217" s="253" t="n"/>
      <c r="K217" s="253"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253" t="n"/>
      <c r="J218" s="253" t="n"/>
      <c r="K218" s="253"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253" t="n"/>
      <c r="J219" s="253" t="n"/>
      <c r="K219" s="253"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253" t="n"/>
      <c r="J220" s="253" t="n"/>
      <c r="K220" s="253"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253" t="n"/>
      <c r="J221" s="253" t="n"/>
      <c r="K221" s="253"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253" t="n"/>
      <c r="J222" s="253" t="n"/>
      <c r="K222" s="253"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253" t="n"/>
      <c r="J223" s="253" t="n"/>
      <c r="K223" s="253"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253" t="n"/>
      <c r="J224" s="253" t="n"/>
      <c r="K224" s="253"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253" t="n"/>
      <c r="J225" s="253" t="n"/>
      <c r="K225" s="253"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253" t="n"/>
      <c r="J226" s="253" t="n"/>
      <c r="K226" s="253"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253" t="n"/>
      <c r="J227" s="253" t="n"/>
      <c r="K227" s="253"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253" t="n"/>
      <c r="J228" s="253" t="n"/>
      <c r="K228" s="253"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253" t="n"/>
      <c r="J229" s="253" t="n"/>
      <c r="K229" s="253"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253" t="n"/>
      <c r="J230" s="253" t="n"/>
      <c r="K230" s="253"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253" t="n"/>
      <c r="J231" s="253" t="n"/>
      <c r="K231" s="253"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253" t="n"/>
      <c r="J232" s="253" t="n"/>
      <c r="K232" s="253"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253" t="n"/>
      <c r="J233" s="253" t="n"/>
      <c r="K233" s="253"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253" t="n"/>
      <c r="J234" s="253" t="n"/>
      <c r="K234" s="253"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253" t="n"/>
      <c r="J235" s="253" t="n"/>
      <c r="K235" s="253"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253" t="n"/>
      <c r="J236" s="253" t="n"/>
      <c r="K236" s="253"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253" t="n"/>
      <c r="J237" s="253" t="n"/>
      <c r="K237" s="253"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253" t="n"/>
      <c r="J238" s="253" t="n"/>
      <c r="K238" s="253"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253" t="n"/>
      <c r="J239" s="253" t="n"/>
      <c r="K239" s="253"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253" t="n"/>
      <c r="J240" s="253" t="n"/>
      <c r="K240" s="253"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253" t="n"/>
      <c r="J241" s="253" t="n"/>
      <c r="K241" s="253"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253" t="n"/>
      <c r="J242" s="253" t="n"/>
      <c r="K242" s="253"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253" t="n"/>
      <c r="J243" s="253" t="n"/>
      <c r="K243" s="253"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253" t="n"/>
      <c r="J244" s="253" t="n"/>
      <c r="K244" s="253"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253" t="n"/>
      <c r="J245" s="253" t="n"/>
      <c r="K245" s="253"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253" t="n"/>
      <c r="J246" s="253" t="n"/>
      <c r="K246" s="253"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253" t="n"/>
      <c r="J247" s="253" t="n"/>
      <c r="K247" s="253"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253" t="n"/>
      <c r="J248" s="253" t="n"/>
      <c r="K248" s="253"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253" t="n"/>
      <c r="J249" s="253" t="n"/>
      <c r="K249" s="253"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253" t="n"/>
      <c r="J250" s="253" t="n"/>
      <c r="K250" s="253"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253" t="n"/>
      <c r="J251" s="253" t="n"/>
      <c r="K251" s="253"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253" t="n"/>
      <c r="J252" s="253" t="n"/>
      <c r="K252" s="253"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253" t="n"/>
      <c r="J253" s="253" t="n"/>
      <c r="K253" s="253"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253" t="n"/>
      <c r="J254" s="253" t="n"/>
      <c r="K254" s="253"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253" t="n"/>
      <c r="J255" s="253" t="n"/>
      <c r="K255" s="253"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253" t="n"/>
      <c r="J256" s="253" t="n"/>
      <c r="K256" s="253"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253" t="n"/>
      <c r="J257" s="253" t="n"/>
      <c r="K257" s="253"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253" t="n"/>
      <c r="J258" s="253" t="n"/>
      <c r="K258" s="253"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253" t="n"/>
      <c r="J259" s="253" t="n"/>
      <c r="K259" s="253"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253" t="n"/>
      <c r="J260" s="253" t="n"/>
      <c r="K260" s="253"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253" t="n"/>
      <c r="J261" s="253" t="n"/>
      <c r="K261" s="253"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253" t="n"/>
      <c r="J262" s="253" t="n"/>
      <c r="K262" s="253"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253" t="n"/>
      <c r="J263" s="253" t="n"/>
      <c r="K263" s="253"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253" t="n"/>
      <c r="J264" s="253" t="n"/>
      <c r="K264" s="253"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253" t="n"/>
      <c r="J265" s="253" t="n"/>
      <c r="K265" s="253"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253" t="n"/>
      <c r="J266" s="253" t="n"/>
      <c r="K266" s="253"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253" t="n"/>
      <c r="J267" s="253" t="n"/>
      <c r="K267" s="253"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253" t="n"/>
      <c r="J268" s="253" t="n"/>
      <c r="K268" s="253"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253" t="n"/>
      <c r="J269" s="253" t="n"/>
      <c r="K269" s="253"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253" t="n"/>
      <c r="J270" s="253" t="n"/>
      <c r="K270" s="253"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253" t="n"/>
      <c r="J271" s="253" t="n"/>
      <c r="K271" s="253"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253" t="n"/>
      <c r="J272" s="253" t="n"/>
      <c r="K272" s="253"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253" t="n"/>
      <c r="J273" s="253" t="n"/>
      <c r="K273" s="253"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253" t="n"/>
      <c r="J274" s="253" t="n"/>
      <c r="K274" s="253"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253" t="n"/>
      <c r="J275" s="253" t="n"/>
      <c r="K275" s="253"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253" t="n"/>
      <c r="J276" s="253" t="n"/>
      <c r="K276" s="253"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253" t="n"/>
      <c r="J277" s="253" t="n"/>
      <c r="K277" s="253"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253" t="n"/>
      <c r="J278" s="253" t="n"/>
      <c r="K278" s="253"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253" t="n"/>
      <c r="J279" s="253" t="n"/>
      <c r="K279" s="253"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253" t="n"/>
      <c r="J280" s="253" t="n"/>
      <c r="K280" s="253"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253" t="n"/>
      <c r="J281" s="253" t="n"/>
      <c r="K281" s="253"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253" t="n"/>
      <c r="J282" s="253" t="n"/>
      <c r="K282" s="253"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253" t="n"/>
      <c r="J283" s="253" t="n"/>
      <c r="K283" s="253"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253" t="n"/>
      <c r="J284" s="253" t="n"/>
      <c r="K284" s="253"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253" t="n"/>
      <c r="J285" s="253" t="n"/>
      <c r="K285" s="253"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253" t="n"/>
      <c r="J286" s="253" t="n"/>
      <c r="K286" s="253"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253" t="n"/>
      <c r="J287" s="253" t="n"/>
      <c r="K287" s="253"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253" t="n"/>
      <c r="J288" s="253" t="n"/>
      <c r="K288" s="253"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253" t="n"/>
      <c r="J289" s="253" t="n"/>
      <c r="K289" s="253"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253" t="n"/>
      <c r="J290" s="253" t="n"/>
      <c r="K290" s="253"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253" t="n"/>
      <c r="J291" s="253" t="n"/>
      <c r="K291" s="253"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253" t="n"/>
      <c r="J292" s="253" t="n"/>
      <c r="K292" s="253"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253" t="n"/>
      <c r="J293" s="253" t="n"/>
      <c r="K293" s="253"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253" t="n"/>
      <c r="J294" s="253" t="n"/>
      <c r="K294" s="253"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253" t="n"/>
      <c r="J295" s="253" t="n"/>
      <c r="K295" s="253"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253" t="n"/>
      <c r="J296" s="253" t="n"/>
      <c r="K296" s="253"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253" t="n"/>
      <c r="J297" s="253" t="n"/>
      <c r="K297" s="253"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253" t="n"/>
      <c r="J298" s="253" t="n"/>
      <c r="K298" s="253"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253" t="n"/>
      <c r="J299" s="253" t="n"/>
      <c r="K299" s="253"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253" t="n"/>
      <c r="J300" s="253" t="n"/>
      <c r="K300" s="253"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253" t="n"/>
      <c r="J301" s="253" t="n"/>
      <c r="K301" s="253"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253" t="n"/>
      <c r="J302" s="253" t="n"/>
      <c r="K302" s="253"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253" t="n"/>
      <c r="J303" s="253" t="n"/>
      <c r="K303" s="253"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253" t="n"/>
      <c r="J304" s="253" t="n"/>
      <c r="K304" s="253"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253" t="n"/>
      <c r="J305" s="253" t="n"/>
      <c r="K305" s="253"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253" t="n"/>
      <c r="J306" s="253" t="n"/>
      <c r="K306" s="253"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253" t="n"/>
      <c r="J307" s="253" t="n"/>
      <c r="K307" s="253"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253" t="n"/>
      <c r="J308" s="253" t="n"/>
      <c r="K308" s="253"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253" t="n"/>
      <c r="J309" s="253" t="n"/>
      <c r="K309" s="253"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253" t="n"/>
      <c r="J310" s="253" t="n"/>
      <c r="K310" s="253"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253" t="n"/>
      <c r="J311" s="253" t="n"/>
      <c r="K311" s="253"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253" t="n"/>
      <c r="J312" s="253" t="n"/>
      <c r="K312" s="253"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253" t="n"/>
      <c r="J313" s="253" t="n"/>
      <c r="K313" s="253"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253" t="n"/>
      <c r="J314" s="253" t="n"/>
      <c r="K314" s="253"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253" t="n"/>
      <c r="J315" s="253" t="n"/>
      <c r="K315" s="253"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253" t="n"/>
      <c r="J316" s="253" t="n"/>
      <c r="K316" s="253"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253" t="n"/>
      <c r="J317" s="253" t="n"/>
      <c r="K317" s="253"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253" t="n"/>
      <c r="J318" s="253" t="n"/>
      <c r="K318" s="253"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253" t="n"/>
      <c r="J319" s="253" t="n"/>
      <c r="K319" s="253"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253" t="n"/>
      <c r="J320" s="253" t="n"/>
      <c r="K320" s="253"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253" t="n"/>
      <c r="J321" s="253" t="n"/>
      <c r="K321" s="253"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253" t="n"/>
      <c r="J322" s="253" t="n"/>
      <c r="K322" s="253"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253" t="n"/>
      <c r="J323" s="253" t="n"/>
      <c r="K323" s="253"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253" t="n"/>
      <c r="J324" s="253" t="n"/>
      <c r="K324" s="253"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253" t="n"/>
      <c r="J325" s="253" t="n"/>
      <c r="K325" s="253"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253" t="n"/>
      <c r="J326" s="253" t="n"/>
      <c r="K326" s="253"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253" t="n"/>
      <c r="J327" s="253" t="n"/>
      <c r="K327" s="253"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253" t="n"/>
      <c r="J328" s="253" t="n"/>
      <c r="K328" s="253"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253" t="n"/>
      <c r="J329" s="253" t="n"/>
      <c r="K329" s="253"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253" t="n"/>
      <c r="J330" s="253" t="n"/>
      <c r="K330" s="253"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253" t="n"/>
      <c r="J331" s="253" t="n"/>
      <c r="K331" s="253"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253" t="n"/>
      <c r="J332" s="253" t="n"/>
      <c r="K332" s="253"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253" t="n"/>
      <c r="J333" s="253" t="n"/>
      <c r="K333" s="253"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253" t="n"/>
      <c r="J334" s="253" t="n"/>
      <c r="K334" s="253"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253" t="n"/>
      <c r="J335" s="253" t="n"/>
      <c r="K335" s="253"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253" t="n"/>
      <c r="J336" s="253" t="n"/>
      <c r="K336" s="253"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253" t="n"/>
      <c r="J337" s="253" t="n"/>
      <c r="K337" s="253"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253" t="n"/>
      <c r="J338" s="253" t="n"/>
      <c r="K338" s="253"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253" t="n"/>
      <c r="J339" s="253" t="n"/>
      <c r="K339" s="253"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253" t="n"/>
      <c r="J340" s="253" t="n"/>
      <c r="K340" s="253"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253" t="n"/>
      <c r="J341" s="253" t="n"/>
      <c r="K341" s="253"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253" t="n"/>
      <c r="J342" s="253" t="n"/>
      <c r="K342" s="253"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253" t="n"/>
      <c r="J343" s="253" t="n"/>
      <c r="K343" s="253"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253" t="n"/>
      <c r="J344" s="253" t="n"/>
      <c r="K344" s="253"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253" t="n"/>
      <c r="J345" s="253" t="n"/>
      <c r="K345" s="253"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253" t="n"/>
      <c r="J346" s="253" t="n"/>
      <c r="K346" s="253"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253" t="n"/>
      <c r="J347" s="253" t="n"/>
      <c r="K347" s="253"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253" t="n"/>
      <c r="J348" s="253" t="n"/>
      <c r="K348" s="253"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253" t="n"/>
      <c r="J349" s="253" t="n"/>
      <c r="K349" s="253"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253" t="n"/>
      <c r="J350" s="253" t="n"/>
      <c r="K350" s="253"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253" t="n"/>
      <c r="J351" s="253" t="n"/>
      <c r="K351" s="253"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253" t="n"/>
      <c r="J352" s="253" t="n"/>
      <c r="K352" s="253"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253" t="n"/>
      <c r="J353" s="253" t="n"/>
      <c r="K353" s="253"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253" t="n"/>
      <c r="J354" s="253" t="n"/>
      <c r="K354" s="253"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253" t="n"/>
      <c r="J355" s="253" t="n"/>
      <c r="K355" s="253"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253" t="n"/>
      <c r="J356" s="253" t="n"/>
      <c r="K356" s="253"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253" t="n"/>
      <c r="J357" s="253" t="n"/>
      <c r="K357" s="253"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253" t="n"/>
      <c r="J358" s="253" t="n"/>
      <c r="K358" s="253"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253" t="n"/>
      <c r="J359" s="253" t="n"/>
      <c r="K359" s="253"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253" t="n"/>
      <c r="J360" s="253" t="n"/>
      <c r="K360" s="253"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253" t="n"/>
      <c r="J361" s="253" t="n"/>
      <c r="K361" s="253"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253" t="n"/>
      <c r="J362" s="253" t="n"/>
      <c r="K362" s="253"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253" t="n"/>
      <c r="J363" s="253" t="n"/>
      <c r="K363" s="253"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253" t="n"/>
      <c r="J364" s="253" t="n"/>
      <c r="K364" s="253"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253" t="n"/>
      <c r="J365" s="253" t="n"/>
      <c r="K365" s="253"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253" t="n"/>
      <c r="J366" s="253" t="n"/>
      <c r="K366" s="253"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253" t="n"/>
      <c r="J367" s="253" t="n"/>
      <c r="K367" s="253"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253" t="n"/>
      <c r="J368" s="253" t="n"/>
      <c r="K368" s="253"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253" t="n"/>
      <c r="J369" s="253" t="n"/>
      <c r="K369" s="253"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253" t="n"/>
      <c r="J370" s="253" t="n"/>
      <c r="K370" s="253"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253" t="n"/>
      <c r="J371" s="253" t="n"/>
      <c r="K371" s="253"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253" t="n"/>
      <c r="J372" s="253" t="n"/>
      <c r="K372" s="253"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253" t="n"/>
      <c r="J373" s="253" t="n"/>
      <c r="K373" s="253"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253" t="n"/>
      <c r="J374" s="253" t="n"/>
      <c r="K374" s="253"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253" t="n"/>
      <c r="J375" s="253" t="n"/>
      <c r="K375" s="253"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253" t="n"/>
      <c r="J376" s="253" t="n"/>
      <c r="K376" s="253"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253" t="n"/>
      <c r="J377" s="253" t="n"/>
      <c r="K377" s="253"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253" t="n"/>
      <c r="J378" s="253" t="n"/>
      <c r="K378" s="253"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253" t="n"/>
      <c r="J379" s="253" t="n"/>
      <c r="K379" s="253"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253" t="n"/>
      <c r="J380" s="253" t="n"/>
      <c r="K380" s="253"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253" t="n"/>
      <c r="J381" s="253" t="n"/>
      <c r="K381" s="253"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253" t="n"/>
      <c r="J382" s="253" t="n"/>
      <c r="K382" s="253"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253" t="n"/>
      <c r="J383" s="253" t="n"/>
      <c r="K383" s="253"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253" t="n"/>
      <c r="J384" s="253" t="n"/>
      <c r="K384" s="253"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253" t="n"/>
      <c r="J385" s="253" t="n"/>
      <c r="K385" s="253"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253" t="n"/>
      <c r="J386" s="253" t="n"/>
      <c r="K386" s="253"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253" t="n"/>
      <c r="J387" s="253" t="n"/>
      <c r="K387" s="253"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253" t="n"/>
      <c r="J388" s="253" t="n"/>
      <c r="K388" s="253"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253" t="n"/>
      <c r="J389" s="253" t="n"/>
      <c r="K389" s="253"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253" t="n"/>
      <c r="J390" s="253" t="n"/>
      <c r="K390" s="253"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253" t="n"/>
      <c r="J391" s="253" t="n"/>
      <c r="K391" s="253"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253" t="n"/>
      <c r="J392" s="253" t="n"/>
      <c r="K392" s="253"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253" t="n"/>
      <c r="J393" s="253" t="n"/>
      <c r="K393" s="253"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253" t="n"/>
      <c r="J394" s="253" t="n"/>
      <c r="K394" s="253"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253" t="n"/>
      <c r="J395" s="253" t="n"/>
      <c r="K395" s="253"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253" t="n"/>
      <c r="J396" s="253" t="n"/>
      <c r="K396" s="253"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253" t="n"/>
      <c r="J397" s="253" t="n"/>
      <c r="K397" s="253"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253" t="n"/>
      <c r="J398" s="253" t="n"/>
      <c r="K398" s="253"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253" t="n"/>
      <c r="J399" s="253" t="n"/>
      <c r="K399" s="253"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253" t="n"/>
      <c r="J400" s="253" t="n"/>
      <c r="K400" s="253"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253" t="n"/>
      <c r="J401" s="253" t="n"/>
      <c r="K401" s="253"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253" t="n"/>
      <c r="J402" s="253" t="n"/>
      <c r="K402" s="253"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253" t="n"/>
      <c r="J403" s="253" t="n"/>
      <c r="K403" s="253"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253" t="n"/>
      <c r="J404" s="253" t="n"/>
      <c r="K404" s="253"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253" t="n"/>
      <c r="J405" s="253" t="n"/>
      <c r="K405" s="253"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253" t="n"/>
      <c r="J406" s="253" t="n"/>
      <c r="K406" s="253"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253" t="n"/>
      <c r="J407" s="253" t="n"/>
      <c r="K407" s="253"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253" t="n"/>
      <c r="J408" s="253" t="n"/>
      <c r="K408" s="253"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253" t="n"/>
      <c r="J409" s="253" t="n"/>
      <c r="K409" s="253"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253" t="n"/>
      <c r="J410" s="253" t="n"/>
      <c r="K410" s="253"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253" t="n"/>
      <c r="J411" s="253" t="n"/>
      <c r="K411" s="253"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253" t="n"/>
      <c r="J412" s="253" t="n"/>
      <c r="K412" s="253"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253" t="n"/>
      <c r="J413" s="253" t="n"/>
      <c r="K413" s="253"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253" t="n"/>
      <c r="J414" s="253" t="n"/>
      <c r="K414" s="253"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253" t="n"/>
      <c r="J415" s="253" t="n"/>
      <c r="K415" s="253"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253" t="n"/>
      <c r="J416" s="253" t="n"/>
      <c r="K416" s="253"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253" t="n"/>
      <c r="J417" s="253" t="n"/>
      <c r="K417" s="253"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253" t="n"/>
      <c r="J418" s="253" t="n"/>
      <c r="K418" s="253"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253" t="n"/>
      <c r="J419" s="253" t="n"/>
      <c r="K419" s="253"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253" t="n"/>
      <c r="J420" s="253" t="n"/>
      <c r="K420" s="253"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253" t="n"/>
      <c r="J421" s="253" t="n"/>
      <c r="K421" s="253"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253" t="n"/>
      <c r="J422" s="253" t="n"/>
      <c r="K422" s="253"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253" t="n"/>
      <c r="J423" s="253" t="n"/>
      <c r="K423" s="253"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253" t="n"/>
      <c r="J424" s="253" t="n"/>
      <c r="K424" s="253"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253" t="n"/>
      <c r="J425" s="253" t="n"/>
      <c r="K425" s="253"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253" t="n"/>
      <c r="J426" s="253" t="n"/>
      <c r="K426" s="253"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253" t="n"/>
      <c r="J427" s="253" t="n"/>
      <c r="K427" s="253"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253" t="n"/>
      <c r="J428" s="253" t="n"/>
      <c r="K428" s="253"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253" t="n"/>
      <c r="J429" s="253" t="n"/>
      <c r="K429" s="253"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253" t="n"/>
      <c r="J430" s="253" t="n"/>
      <c r="K430" s="253"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253" t="n"/>
      <c r="J431" s="253" t="n"/>
      <c r="K431" s="253"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253" t="n"/>
      <c r="J432" s="253" t="n"/>
      <c r="K432" s="253"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253" t="n"/>
      <c r="J433" s="253" t="n"/>
      <c r="K433" s="253"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253" t="n"/>
      <c r="J434" s="253" t="n"/>
      <c r="K434" s="253"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253" t="n"/>
      <c r="J435" s="253" t="n"/>
      <c r="K435" s="253"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253" t="n"/>
      <c r="J436" s="253" t="n"/>
      <c r="K436" s="253"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253" t="n"/>
      <c r="J437" s="253" t="n"/>
      <c r="K437" s="253"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253" t="n"/>
      <c r="J438" s="253" t="n"/>
      <c r="K438" s="253"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253" t="n"/>
      <c r="J439" s="253" t="n"/>
      <c r="K439" s="253"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253" t="n"/>
      <c r="J440" s="253" t="n"/>
      <c r="K440" s="253"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253" t="n"/>
      <c r="J441" s="253" t="n"/>
      <c r="K441" s="253"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253" t="n"/>
      <c r="J442" s="253" t="n"/>
      <c r="K442" s="253"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253" t="n"/>
      <c r="J443" s="253" t="n"/>
      <c r="K443" s="253"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253" t="n"/>
      <c r="J444" s="253" t="n"/>
      <c r="K444" s="253"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253" t="n"/>
      <c r="J445" s="253" t="n"/>
      <c r="K445" s="253"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253" t="n"/>
      <c r="J446" s="253" t="n"/>
      <c r="K446" s="253"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253" t="n"/>
      <c r="J447" s="253" t="n"/>
      <c r="K447" s="253"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253" t="n"/>
      <c r="J448" s="253" t="n"/>
      <c r="K448" s="253"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253" t="n"/>
      <c r="J449" s="253" t="n"/>
      <c r="K449" s="253"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253" t="n"/>
      <c r="J450" s="253" t="n"/>
      <c r="K450" s="253"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253" t="n"/>
      <c r="J451" s="253" t="n"/>
      <c r="K451" s="253"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253" t="n"/>
      <c r="J452" s="253" t="n"/>
      <c r="K452" s="253"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253" t="n"/>
      <c r="J453" s="253" t="n"/>
      <c r="K453" s="253"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253" t="n"/>
      <c r="J454" s="253" t="n"/>
      <c r="K454" s="253"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253" t="n"/>
      <c r="J455" s="253" t="n"/>
      <c r="K455" s="253"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253" t="n"/>
      <c r="J456" s="253" t="n"/>
      <c r="K456" s="253"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253" t="n"/>
      <c r="J457" s="253" t="n"/>
      <c r="K457" s="253"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253" t="n"/>
      <c r="J458" s="253" t="n"/>
      <c r="K458" s="253"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253" t="n"/>
      <c r="J459" s="253" t="n"/>
      <c r="K459" s="253"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253" t="n"/>
      <c r="J460" s="253" t="n"/>
      <c r="K460" s="253"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253" t="n"/>
      <c r="J461" s="253" t="n"/>
      <c r="K461" s="253"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253" t="n"/>
      <c r="J462" s="253" t="n"/>
      <c r="K462" s="253"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253" t="n"/>
      <c r="J463" s="253" t="n"/>
      <c r="K463" s="253"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253" t="n"/>
      <c r="J464" s="253" t="n"/>
      <c r="K464" s="253"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253" t="n"/>
      <c r="J465" s="253" t="n"/>
      <c r="K465" s="253"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253" t="n"/>
      <c r="J466" s="253" t="n"/>
      <c r="K466" s="253"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253" t="n"/>
      <c r="J467" s="253" t="n"/>
      <c r="K467" s="253"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253" t="n"/>
      <c r="J468" s="253" t="n"/>
      <c r="K468" s="253"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253" t="n"/>
      <c r="J469" s="253" t="n"/>
      <c r="K469" s="253"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253" t="n"/>
      <c r="J470" s="253" t="n"/>
      <c r="K470" s="253"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253" t="n"/>
      <c r="J471" s="253" t="n"/>
      <c r="K471" s="253"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253" t="n"/>
      <c r="J472" s="253" t="n"/>
      <c r="K472" s="253"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253" t="n"/>
      <c r="J473" s="253" t="n"/>
      <c r="K473" s="253"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253" t="n"/>
      <c r="J474" s="253" t="n"/>
      <c r="K474" s="253"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253" t="n"/>
      <c r="J475" s="253" t="n"/>
      <c r="K475" s="253"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253" t="n"/>
      <c r="J476" s="253" t="n"/>
      <c r="K476" s="253"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253" t="n"/>
      <c r="J477" s="253" t="n"/>
      <c r="K477" s="253"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253" t="n"/>
      <c r="J478" s="253" t="n"/>
      <c r="K478" s="253"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253" t="n"/>
      <c r="J479" s="253" t="n"/>
      <c r="K479" s="253"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253" t="n"/>
      <c r="J480" s="253" t="n"/>
      <c r="K480" s="253"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253" t="n"/>
      <c r="J481" s="253" t="n"/>
      <c r="K481" s="253"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253" t="n"/>
      <c r="J482" s="253" t="n"/>
      <c r="K482" s="253"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253" t="n"/>
      <c r="J483" s="253" t="n"/>
      <c r="K483" s="253"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253" t="n"/>
      <c r="J484" s="253" t="n"/>
      <c r="K484" s="253"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253" t="n"/>
      <c r="J485" s="253" t="n"/>
      <c r="K485" s="253"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253" t="n"/>
      <c r="J486" s="253" t="n"/>
      <c r="K486" s="253"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253" t="n"/>
      <c r="J487" s="253" t="n"/>
      <c r="K487" s="253"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253" t="n"/>
      <c r="J488" s="253" t="n"/>
      <c r="K488" s="253"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253" t="n"/>
      <c r="J489" s="253" t="n"/>
      <c r="K489" s="253"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253" t="n"/>
      <c r="J490" s="253" t="n"/>
      <c r="K490" s="253"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253" t="n"/>
      <c r="J491" s="253" t="n"/>
      <c r="K491" s="253"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253" t="n"/>
      <c r="J492" s="253" t="n"/>
      <c r="K492" s="253"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253" t="n"/>
      <c r="J493" s="253" t="n"/>
      <c r="K493" s="253"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253" t="n"/>
      <c r="J494" s="253" t="n"/>
      <c r="K494" s="253"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253" t="n"/>
      <c r="J495" s="253" t="n"/>
      <c r="K495" s="253"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253" t="n"/>
      <c r="J496" s="253" t="n"/>
      <c r="K496" s="253"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253" t="n"/>
      <c r="J497" s="253" t="n"/>
      <c r="K497" s="253"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253" t="n"/>
      <c r="J498" s="253" t="n"/>
      <c r="K498" s="253"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253" t="n"/>
      <c r="J499" s="253" t="n"/>
      <c r="K499" s="253"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253" t="n"/>
      <c r="J500" s="253" t="n"/>
      <c r="K500" s="253"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253" t="n"/>
      <c r="J501" s="253" t="n"/>
      <c r="K501" s="253"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253" t="n"/>
      <c r="J502" s="253" t="n"/>
      <c r="K502" s="253"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253" t="n"/>
      <c r="J503" s="253" t="n"/>
      <c r="K503" s="253"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253" t="n"/>
      <c r="J504" s="253" t="n"/>
      <c r="K504" s="253"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253" t="n"/>
      <c r="J505" s="253" t="n"/>
      <c r="K505" s="253"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253" t="n"/>
      <c r="J506" s="253" t="n"/>
      <c r="K506" s="253"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253" t="n"/>
      <c r="J507" s="253" t="n"/>
      <c r="K507" s="253"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253" t="n"/>
      <c r="J508" s="253" t="n"/>
      <c r="K508" s="253"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253" t="n"/>
      <c r="J509" s="253" t="n"/>
      <c r="K509" s="253"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253" t="n"/>
      <c r="J510" s="253" t="n"/>
      <c r="K510" s="253"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253" t="n"/>
      <c r="J511" s="253" t="n"/>
      <c r="K511" s="253"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253" t="n"/>
      <c r="J512" s="253" t="n"/>
      <c r="K512" s="253"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253" t="n"/>
      <c r="J513" s="253" t="n"/>
      <c r="K513" s="253"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253" t="n"/>
      <c r="J514" s="253" t="n"/>
      <c r="K514" s="253"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253" t="n"/>
      <c r="J515" s="253" t="n"/>
      <c r="K515" s="253"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253" t="n"/>
      <c r="J516" s="253" t="n"/>
      <c r="K516" s="253"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253" t="n"/>
      <c r="J517" s="253" t="n"/>
      <c r="K517" s="253"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253" t="n"/>
      <c r="J518" s="253" t="n"/>
      <c r="K518" s="253"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253" t="n"/>
      <c r="J519" s="253" t="n"/>
      <c r="K519" s="253"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253" t="n"/>
      <c r="J520" s="253" t="n"/>
      <c r="K520" s="253"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253" t="n"/>
      <c r="J521" s="253" t="n"/>
      <c r="K521" s="253"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253" t="n"/>
      <c r="J522" s="253" t="n"/>
      <c r="K522" s="253"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253" t="n"/>
      <c r="J523" s="253" t="n"/>
      <c r="K523" s="253"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253" t="n"/>
      <c r="J524" s="253" t="n"/>
      <c r="K524" s="253"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253" t="n"/>
      <c r="J525" s="253" t="n"/>
      <c r="K525" s="253"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253" t="n"/>
      <c r="J526" s="253" t="n"/>
      <c r="K526" s="253"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253" t="n"/>
      <c r="J527" s="253" t="n"/>
      <c r="K527" s="253"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253" t="n"/>
      <c r="J528" s="253" t="n"/>
      <c r="K528" s="253"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253" t="n"/>
      <c r="J529" s="253" t="n"/>
      <c r="K529" s="253"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253" t="n"/>
      <c r="J530" s="253" t="n"/>
      <c r="K530" s="253"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253" t="n"/>
      <c r="J531" s="253" t="n"/>
      <c r="K531" s="253"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253" t="n"/>
      <c r="J532" s="253" t="n"/>
      <c r="K532" s="253"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253" t="n"/>
      <c r="J533" s="253" t="n"/>
      <c r="K533" s="253"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253" t="n"/>
      <c r="J534" s="253" t="n"/>
      <c r="K534" s="253"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253" t="n"/>
      <c r="J535" s="253" t="n"/>
      <c r="K535" s="253"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253" t="n"/>
      <c r="J536" s="253" t="n"/>
      <c r="K536" s="253"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253" t="n"/>
      <c r="J537" s="253" t="n"/>
      <c r="K537" s="253"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253" t="n"/>
      <c r="J538" s="253" t="n"/>
      <c r="K538" s="253"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253" t="n"/>
      <c r="J539" s="253" t="n"/>
      <c r="K539" s="253"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253" t="n"/>
      <c r="J540" s="253" t="n"/>
      <c r="K540" s="253"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253" t="n"/>
      <c r="J541" s="253" t="n"/>
      <c r="K541" s="253"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253" t="n"/>
      <c r="J542" s="253" t="n"/>
      <c r="K542" s="253"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253" t="n"/>
      <c r="J543" s="253" t="n"/>
      <c r="K543" s="253"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253" t="n"/>
      <c r="J544" s="253" t="n"/>
      <c r="K544" s="253"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253" t="n"/>
      <c r="J545" s="253" t="n"/>
      <c r="K545" s="253"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253" t="n"/>
      <c r="J546" s="253" t="n"/>
      <c r="K546" s="253"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253" t="n"/>
      <c r="J547" s="253" t="n"/>
      <c r="K547" s="253"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253" t="n"/>
      <c r="J548" s="253" t="n"/>
      <c r="K548" s="253"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253" t="n"/>
      <c r="J549" s="253" t="n"/>
      <c r="K549" s="253"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253" t="n"/>
      <c r="J550" s="253" t="n"/>
      <c r="K550" s="253"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253" t="n"/>
      <c r="J551" s="253" t="n"/>
      <c r="K551" s="253"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253" t="n"/>
      <c r="J552" s="253" t="n"/>
      <c r="K552" s="253"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253" t="n"/>
      <c r="J553" s="253" t="n"/>
      <c r="K553" s="253"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253" t="n"/>
      <c r="J554" s="253" t="n"/>
      <c r="K554" s="253"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253" t="n"/>
      <c r="J555" s="253" t="n"/>
      <c r="K555" s="253"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253" t="n"/>
      <c r="J556" s="253" t="n"/>
      <c r="K556" s="253"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253" t="n"/>
      <c r="J557" s="253" t="n"/>
      <c r="K557" s="253"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253" t="n"/>
      <c r="J558" s="253" t="n"/>
      <c r="K558" s="253"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253" t="n"/>
      <c r="J559" s="253" t="n"/>
      <c r="K559" s="253"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253" t="n"/>
      <c r="J560" s="253" t="n"/>
      <c r="K560" s="253"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253" t="n"/>
      <c r="J561" s="253" t="n"/>
      <c r="K561" s="253"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253" t="n"/>
      <c r="J562" s="253" t="n"/>
      <c r="K562" s="253"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253" t="n"/>
      <c r="J563" s="253" t="n"/>
      <c r="K563" s="253"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253" t="n"/>
      <c r="J564" s="253" t="n"/>
      <c r="K564" s="253"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253" t="n"/>
      <c r="J565" s="253" t="n"/>
      <c r="K565" s="253"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253" t="n"/>
      <c r="J566" s="253" t="n"/>
      <c r="K566" s="253"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253" t="n"/>
      <c r="J567" s="253" t="n"/>
      <c r="K567" s="253"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253" t="n"/>
      <c r="J568" s="253" t="n"/>
      <c r="K568" s="253"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253" t="n"/>
      <c r="J569" s="253" t="n"/>
      <c r="K569" s="253"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253" t="n"/>
      <c r="J570" s="253" t="n"/>
      <c r="K570" s="253"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253" t="n"/>
      <c r="J571" s="253" t="n"/>
      <c r="K571" s="253"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253" t="n"/>
      <c r="J572" s="253" t="n"/>
      <c r="K572" s="253"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253" t="n"/>
      <c r="J573" s="253" t="n"/>
      <c r="K573" s="253"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253" t="n"/>
      <c r="J574" s="253" t="n"/>
      <c r="K574" s="253"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253" t="n"/>
      <c r="J575" s="253" t="n"/>
      <c r="K575" s="253"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253" t="n"/>
      <c r="J576" s="253" t="n"/>
      <c r="K576" s="253"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253" t="n"/>
      <c r="J577" s="253" t="n"/>
      <c r="K577" s="253"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253" t="n"/>
      <c r="J578" s="253" t="n"/>
      <c r="K578" s="253"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253" t="n"/>
      <c r="J579" s="253" t="n"/>
      <c r="K579" s="253"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253" t="n"/>
      <c r="J580" s="253" t="n"/>
      <c r="K580" s="253"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253" t="n"/>
      <c r="J581" s="253" t="n"/>
      <c r="K581" s="253"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253" t="n"/>
      <c r="J582" s="253" t="n"/>
      <c r="K582" s="253"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253" t="n"/>
      <c r="J583" s="253" t="n"/>
      <c r="K583" s="253"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253" t="n"/>
      <c r="J584" s="253" t="n"/>
      <c r="K584" s="253"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253" t="n"/>
      <c r="J585" s="253" t="n"/>
      <c r="K585" s="253"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253" t="n"/>
      <c r="J586" s="253" t="n"/>
      <c r="K586" s="253"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253" t="n"/>
      <c r="J587" s="253" t="n"/>
      <c r="K587" s="253"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253" t="n"/>
      <c r="J588" s="253" t="n"/>
      <c r="K588" s="253"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253" t="n"/>
      <c r="J589" s="253" t="n"/>
      <c r="K589" s="253"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253" t="n"/>
      <c r="J590" s="253" t="n"/>
      <c r="K590" s="253"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253" t="n"/>
      <c r="J591" s="253" t="n"/>
      <c r="K591" s="253"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253" t="n"/>
      <c r="J592" s="253" t="n"/>
      <c r="K592" s="253"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253" t="n"/>
      <c r="J593" s="253" t="n"/>
      <c r="K593" s="253"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253" t="n"/>
      <c r="J594" s="253" t="n"/>
      <c r="K594" s="253"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253" t="n"/>
      <c r="J595" s="253" t="n"/>
      <c r="K595" s="253"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253" t="n"/>
      <c r="J596" s="253" t="n"/>
      <c r="K596" s="253"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253" t="n"/>
      <c r="J597" s="253" t="n"/>
      <c r="K597" s="253"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253" t="n"/>
      <c r="J598" s="253" t="n"/>
      <c r="K598" s="253"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253" t="n"/>
      <c r="J599" s="253" t="n"/>
      <c r="K599" s="253"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253" t="n"/>
      <c r="J600" s="253" t="n"/>
      <c r="K600" s="253"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253" t="n"/>
      <c r="J601" s="253" t="n"/>
      <c r="K601" s="253"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253" t="n"/>
      <c r="J602" s="253" t="n"/>
      <c r="K602" s="253"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253" t="n"/>
      <c r="J603" s="253" t="n"/>
      <c r="K603" s="253"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253" t="n"/>
      <c r="J604" s="253" t="n"/>
      <c r="K604" s="253"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253" t="n"/>
      <c r="J605" s="253" t="n"/>
      <c r="K605" s="253"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253" t="n"/>
      <c r="J606" s="253" t="n"/>
      <c r="K606" s="253"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253" t="n"/>
      <c r="J607" s="253" t="n"/>
      <c r="K607" s="253"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253" t="n"/>
      <c r="J608" s="253" t="n"/>
      <c r="K608" s="253"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253" t="n"/>
      <c r="J609" s="253" t="n"/>
      <c r="K609" s="253"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253" t="n"/>
      <c r="J610" s="253" t="n"/>
      <c r="K610" s="253"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253" t="n"/>
      <c r="J611" s="253" t="n"/>
      <c r="K611" s="253"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253" t="n"/>
      <c r="J612" s="253" t="n"/>
      <c r="K612" s="253"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253" t="n"/>
      <c r="J613" s="253" t="n"/>
      <c r="K613" s="253"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253" t="n"/>
      <c r="J614" s="253" t="n"/>
      <c r="K614" s="253"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253" t="n"/>
      <c r="J615" s="253" t="n"/>
      <c r="K615" s="253"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253" t="n"/>
      <c r="J616" s="253" t="n"/>
      <c r="K616" s="253"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253" t="n"/>
      <c r="J617" s="253" t="n"/>
      <c r="K617" s="253"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253" t="n"/>
      <c r="J618" s="253" t="n"/>
      <c r="K618" s="253"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253" t="n"/>
      <c r="J619" s="253" t="n"/>
      <c r="K619" s="253"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253" t="n"/>
      <c r="J620" s="253" t="n"/>
      <c r="K620" s="253"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253" t="n"/>
      <c r="J621" s="253" t="n"/>
      <c r="K621" s="253"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253" t="n"/>
      <c r="J622" s="253" t="n"/>
      <c r="K622" s="253"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253" t="n"/>
      <c r="J623" s="253" t="n"/>
      <c r="K623" s="253"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253" t="n"/>
      <c r="J624" s="253" t="n"/>
      <c r="K624" s="253"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253" t="n"/>
      <c r="J625" s="253" t="n"/>
      <c r="K625" s="253"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253" t="n"/>
      <c r="J626" s="253" t="n"/>
      <c r="K626" s="253"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253" t="n"/>
      <c r="J627" s="253" t="n"/>
      <c r="K627" s="253"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253" t="n"/>
      <c r="J628" s="253" t="n"/>
      <c r="K628" s="253"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253" t="n"/>
      <c r="J629" s="253" t="n"/>
      <c r="K629" s="253"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253" t="n"/>
      <c r="J630" s="253" t="n"/>
      <c r="K630" s="253"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253" t="n"/>
      <c r="J631" s="253" t="n"/>
      <c r="K631" s="253"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253" t="n"/>
      <c r="J632" s="253" t="n"/>
      <c r="K632" s="253"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253" t="n"/>
      <c r="J633" s="253" t="n"/>
      <c r="K633" s="253"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253" t="n"/>
      <c r="J634" s="253" t="n"/>
      <c r="K634" s="253"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253" t="n"/>
      <c r="J635" s="253" t="n"/>
      <c r="K635" s="253"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253" t="n"/>
      <c r="J636" s="253" t="n"/>
      <c r="K636" s="253"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253" t="n"/>
      <c r="J637" s="253" t="n"/>
      <c r="K637" s="253"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253" t="n"/>
      <c r="J638" s="253" t="n"/>
      <c r="K638" s="253"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253" t="n"/>
      <c r="J639" s="253" t="n"/>
      <c r="K639" s="253"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253" t="n"/>
      <c r="J640" s="253" t="n"/>
      <c r="K640" s="253"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253" t="n"/>
      <c r="J641" s="253" t="n"/>
      <c r="K641" s="253"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253" t="n"/>
      <c r="J642" s="253" t="n"/>
      <c r="K642" s="253"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253" t="n"/>
      <c r="J643" s="253" t="n"/>
      <c r="K643" s="253"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253" t="n"/>
      <c r="J644" s="253" t="n"/>
      <c r="K644" s="253"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253" t="n"/>
      <c r="J645" s="253" t="n"/>
      <c r="K645" s="253"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253" t="n"/>
      <c r="J646" s="253" t="n"/>
      <c r="K646" s="253"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253" t="n"/>
      <c r="J647" s="253" t="n"/>
      <c r="K647" s="253"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253" t="n"/>
      <c r="J648" s="253" t="n"/>
      <c r="K648" s="253"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253" t="n"/>
      <c r="J649" s="253" t="n"/>
      <c r="K649" s="253"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253" t="n"/>
      <c r="J650" s="253" t="n"/>
      <c r="K650" s="253"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253" t="n"/>
      <c r="J651" s="253" t="n"/>
      <c r="K651" s="253"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253" t="n"/>
      <c r="J652" s="253" t="n"/>
      <c r="K652" s="253"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253" t="n"/>
      <c r="J653" s="253" t="n"/>
      <c r="K653" s="253"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253" t="n"/>
      <c r="J654" s="253" t="n"/>
      <c r="K654" s="253"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253" t="n"/>
      <c r="J655" s="253" t="n"/>
      <c r="K655" s="253"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253" t="n"/>
      <c r="J656" s="253" t="n"/>
      <c r="K656" s="253"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253" t="n"/>
      <c r="J657" s="253" t="n"/>
      <c r="K657" s="253"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253" t="n"/>
      <c r="J658" s="253" t="n"/>
      <c r="K658" s="253"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253" t="n"/>
      <c r="J659" s="253" t="n"/>
      <c r="K659" s="253"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253" t="n"/>
      <c r="J660" s="253" t="n"/>
      <c r="K660" s="253"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253" t="n"/>
      <c r="J661" s="253" t="n"/>
      <c r="K661" s="253"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253" t="n"/>
      <c r="J662" s="253" t="n"/>
      <c r="K662" s="253"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253" t="n"/>
      <c r="J663" s="253" t="n"/>
      <c r="K663" s="253"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253" t="n"/>
      <c r="J664" s="253" t="n"/>
      <c r="K664" s="253"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253" t="n"/>
      <c r="J665" s="253" t="n"/>
      <c r="K665" s="253"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253" t="n"/>
      <c r="J666" s="253" t="n"/>
      <c r="K666" s="253"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253" t="n"/>
      <c r="J667" s="253" t="n"/>
      <c r="K667" s="253"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253" t="n"/>
      <c r="J668" s="253" t="n"/>
      <c r="K668" s="253"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253" t="n"/>
      <c r="J669" s="253" t="n"/>
      <c r="K669" s="253"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253" t="n"/>
      <c r="J670" s="253" t="n"/>
      <c r="K670" s="253"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253" t="n"/>
      <c r="J671" s="253" t="n"/>
      <c r="K671" s="253"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253" t="n"/>
      <c r="J672" s="253" t="n"/>
      <c r="K672" s="253"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253" t="n"/>
      <c r="J673" s="253" t="n"/>
      <c r="K673" s="253"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253" t="n"/>
      <c r="J674" s="253" t="n"/>
      <c r="K674" s="253"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253" t="n"/>
      <c r="J675" s="253" t="n"/>
      <c r="K675" s="253"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253" t="n"/>
      <c r="J676" s="253" t="n"/>
      <c r="K676" s="253"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253" t="n"/>
      <c r="J677" s="253" t="n"/>
      <c r="K677" s="253"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253" t="n"/>
      <c r="J678" s="253" t="n"/>
      <c r="K678" s="253"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253" t="n"/>
      <c r="J679" s="253" t="n"/>
      <c r="K679" s="253"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253" t="n"/>
      <c r="J680" s="253" t="n"/>
      <c r="K680" s="253"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253" t="n"/>
      <c r="J681" s="253" t="n"/>
      <c r="K681" s="253"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253" t="n"/>
      <c r="J682" s="253" t="n"/>
      <c r="K682" s="253"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253" t="n"/>
      <c r="J683" s="253" t="n"/>
      <c r="K683" s="253"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253" t="n"/>
      <c r="J684" s="253" t="n"/>
      <c r="K684" s="253"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253" t="n"/>
      <c r="J685" s="253" t="n"/>
      <c r="K685" s="253"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253" t="n"/>
      <c r="J686" s="253" t="n"/>
      <c r="K686" s="253"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253" t="n"/>
      <c r="J687" s="253" t="n"/>
      <c r="K687" s="253"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253" t="n"/>
      <c r="J688" s="253" t="n"/>
      <c r="K688" s="253"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253" t="n"/>
      <c r="J689" s="253" t="n"/>
      <c r="K689" s="253"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253" t="n"/>
      <c r="J690" s="253" t="n"/>
      <c r="K690" s="253"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253" t="n"/>
      <c r="J691" s="253" t="n"/>
      <c r="K691" s="253"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253" t="n"/>
      <c r="J692" s="253" t="n"/>
      <c r="K692" s="253"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253" t="n"/>
      <c r="J693" s="253" t="n"/>
      <c r="K693" s="253"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253" t="n"/>
      <c r="J694" s="253" t="n"/>
      <c r="K694" s="253"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253" t="n"/>
      <c r="J695" s="253" t="n"/>
      <c r="K695" s="253"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253" t="n"/>
      <c r="J696" s="253" t="n"/>
      <c r="K696" s="253"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253" t="n"/>
      <c r="J697" s="253" t="n"/>
      <c r="K697" s="253"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253" t="n"/>
      <c r="J698" s="253" t="n"/>
      <c r="K698" s="253"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253" t="n"/>
      <c r="J699" s="253" t="n"/>
      <c r="K699" s="253"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253" t="n"/>
      <c r="J700" s="253" t="n"/>
      <c r="K700" s="253"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253" t="n"/>
      <c r="J701" s="253" t="n"/>
      <c r="K701" s="253"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253" t="n"/>
      <c r="J702" s="253" t="n"/>
      <c r="K702" s="253"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253" t="n"/>
      <c r="J703" s="253" t="n"/>
      <c r="K703" s="253"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253" t="n"/>
      <c r="J704" s="253" t="n"/>
      <c r="K704" s="253"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253" t="n"/>
      <c r="J705" s="253" t="n"/>
      <c r="K705" s="253"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253" t="n"/>
      <c r="J706" s="253" t="n"/>
      <c r="K706" s="253"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253" t="n"/>
      <c r="J707" s="253" t="n"/>
      <c r="K707" s="253"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253" t="n"/>
      <c r="J708" s="253" t="n"/>
      <c r="K708" s="253"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253" t="n"/>
      <c r="J709" s="253" t="n"/>
      <c r="K709" s="253"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253" t="n"/>
      <c r="J710" s="253" t="n"/>
      <c r="K710" s="253"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253" t="n"/>
      <c r="J711" s="253" t="n"/>
      <c r="K711" s="253"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253" t="n"/>
      <c r="J712" s="253" t="n"/>
      <c r="K712" s="253"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253" t="n"/>
      <c r="J713" s="253" t="n"/>
      <c r="K713" s="253"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253" t="n"/>
      <c r="J714" s="253" t="n"/>
      <c r="K714" s="253"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253" t="n"/>
      <c r="J715" s="253" t="n"/>
      <c r="K715" s="253"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253" t="n"/>
      <c r="J716" s="253" t="n"/>
      <c r="K716" s="253"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253" t="n"/>
      <c r="J717" s="253" t="n"/>
      <c r="K717" s="253"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253" t="n"/>
      <c r="J718" s="253" t="n"/>
      <c r="K718" s="253"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253" t="n"/>
      <c r="J719" s="253" t="n"/>
      <c r="K719" s="253"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253" t="n"/>
      <c r="J720" s="253" t="n"/>
      <c r="K720" s="253"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253" t="n"/>
      <c r="J721" s="253" t="n"/>
      <c r="K721" s="253"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253" t="n"/>
      <c r="J722" s="253" t="n"/>
      <c r="K722" s="253"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253" t="n"/>
      <c r="J723" s="253" t="n"/>
      <c r="K723" s="253"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253" t="n"/>
      <c r="J724" s="253" t="n"/>
      <c r="K724" s="253"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253" t="n"/>
      <c r="J725" s="253" t="n"/>
      <c r="K725" s="253"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253" t="n"/>
      <c r="J726" s="253" t="n"/>
      <c r="K726" s="253"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253" t="n"/>
      <c r="J727" s="253" t="n"/>
      <c r="K727" s="253"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253" t="n"/>
      <c r="J728" s="253" t="n"/>
      <c r="K728" s="253"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253" t="n"/>
      <c r="J729" s="253" t="n"/>
      <c r="K729" s="253"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253" t="n"/>
      <c r="J730" s="253" t="n"/>
      <c r="K730" s="253"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253" t="n"/>
      <c r="J731" s="253" t="n"/>
      <c r="K731" s="253"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253" t="n"/>
      <c r="J732" s="253" t="n"/>
      <c r="K732" s="253"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253" t="n"/>
      <c r="J733" s="253" t="n"/>
      <c r="K733" s="253"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253" t="n"/>
      <c r="J734" s="253" t="n"/>
      <c r="K734" s="253"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253" t="n"/>
      <c r="J735" s="253" t="n"/>
      <c r="K735" s="253"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253" t="n"/>
      <c r="J736" s="253" t="n"/>
      <c r="K736" s="253"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253" t="n"/>
      <c r="J737" s="253" t="n"/>
      <c r="K737" s="253"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253" t="n"/>
      <c r="J738" s="253" t="n"/>
      <c r="K738" s="253"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253" t="n"/>
      <c r="J739" s="253" t="n"/>
      <c r="K739" s="253"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253" t="n"/>
      <c r="J740" s="253" t="n"/>
      <c r="K740" s="253"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253" t="n"/>
      <c r="J741" s="253" t="n"/>
      <c r="K741" s="253"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253" t="n"/>
      <c r="J742" s="253" t="n"/>
      <c r="K742" s="253"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253" t="n"/>
      <c r="J743" s="253" t="n"/>
      <c r="K743" s="253"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253" t="n"/>
      <c r="J744" s="253" t="n"/>
      <c r="K744" s="253"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253" t="n"/>
      <c r="J745" s="253" t="n"/>
      <c r="K745" s="253"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253" t="n"/>
      <c r="J746" s="253" t="n"/>
      <c r="K746" s="253"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253" t="n"/>
      <c r="J747" s="253" t="n"/>
      <c r="K747" s="253"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253" t="n"/>
      <c r="J748" s="253" t="n"/>
      <c r="K748" s="253"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253" t="n"/>
      <c r="J749" s="253" t="n"/>
      <c r="K749" s="253"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253" t="n"/>
      <c r="J750" s="253" t="n"/>
      <c r="K750" s="253"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253" t="n"/>
      <c r="J751" s="253" t="n"/>
      <c r="K751" s="253"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253" t="n"/>
      <c r="J752" s="253" t="n"/>
      <c r="K752" s="253"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253" t="n"/>
      <c r="J753" s="253" t="n"/>
      <c r="K753" s="253"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253" t="n"/>
      <c r="J754" s="253" t="n"/>
      <c r="K754" s="253"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253" t="n"/>
      <c r="J755" s="253" t="n"/>
      <c r="K755" s="253"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253" t="n"/>
      <c r="J756" s="253" t="n"/>
      <c r="K756" s="253"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253" t="n"/>
      <c r="J757" s="253" t="n"/>
      <c r="K757" s="253"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253" t="n"/>
      <c r="J758" s="253" t="n"/>
      <c r="K758" s="253"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253" t="n"/>
      <c r="J759" s="253" t="n"/>
      <c r="K759" s="253"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253" t="n"/>
      <c r="J760" s="253" t="n"/>
      <c r="K760" s="253"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253" t="n"/>
      <c r="J761" s="253" t="n"/>
      <c r="K761" s="253"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253" t="n"/>
      <c r="J762" s="253" t="n"/>
      <c r="K762" s="253"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253" t="n"/>
      <c r="J763" s="253" t="n"/>
      <c r="K763" s="253"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253" t="n"/>
      <c r="J764" s="253" t="n"/>
      <c r="K764" s="253"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253" t="n"/>
      <c r="J765" s="253" t="n"/>
      <c r="K765" s="253"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253" t="n"/>
      <c r="J766" s="253" t="n"/>
      <c r="K766" s="253"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253" t="n"/>
      <c r="J767" s="253" t="n"/>
      <c r="K767" s="253"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253" t="n"/>
      <c r="J768" s="253" t="n"/>
      <c r="K768" s="253"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253" t="n"/>
      <c r="J769" s="253" t="n"/>
      <c r="K769" s="253"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253" t="n"/>
      <c r="J770" s="253" t="n"/>
      <c r="K770" s="253"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253" t="n"/>
      <c r="J771" s="253" t="n"/>
      <c r="K771" s="253"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253" t="n"/>
      <c r="J772" s="253" t="n"/>
      <c r="K772" s="253"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253" t="n"/>
      <c r="J773" s="253" t="n"/>
      <c r="K773" s="253"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253" t="n"/>
      <c r="J774" s="253" t="n"/>
      <c r="K774" s="253"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253" t="n"/>
      <c r="J775" s="253" t="n"/>
      <c r="K775" s="253"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253" t="n"/>
      <c r="J776" s="253" t="n"/>
      <c r="K776" s="253"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253" t="n"/>
      <c r="J777" s="253" t="n"/>
      <c r="K777" s="253"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253" t="n"/>
      <c r="J778" s="253" t="n"/>
      <c r="K778" s="253"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253" t="n"/>
      <c r="J779" s="253" t="n"/>
      <c r="K779" s="253"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253" t="n"/>
      <c r="J780" s="253" t="n"/>
      <c r="K780" s="253"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253" t="n"/>
      <c r="J781" s="253" t="n"/>
      <c r="K781" s="253"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253" t="n"/>
      <c r="J782" s="253" t="n"/>
      <c r="K782" s="253"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253" t="n"/>
      <c r="J783" s="253" t="n"/>
      <c r="K783" s="253"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253" t="n"/>
      <c r="J784" s="253" t="n"/>
      <c r="K784" s="253"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253" t="n"/>
      <c r="J785" s="253" t="n"/>
      <c r="K785" s="253"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253" t="n"/>
      <c r="J786" s="253" t="n"/>
      <c r="K786" s="253"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253" t="n"/>
      <c r="J787" s="253" t="n"/>
      <c r="K787" s="253"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253" t="n"/>
      <c r="J788" s="253" t="n"/>
      <c r="K788" s="253"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253" t="n"/>
      <c r="J789" s="253" t="n"/>
      <c r="K789" s="253"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253" t="n"/>
      <c r="J790" s="253" t="n"/>
      <c r="K790" s="253"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253" t="n"/>
      <c r="J791" s="253" t="n"/>
      <c r="K791" s="253"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253" t="n"/>
      <c r="J792" s="253" t="n"/>
      <c r="K792" s="253"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253" t="n"/>
      <c r="J793" s="253" t="n"/>
      <c r="K793" s="253"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253" t="n"/>
      <c r="J794" s="253" t="n"/>
      <c r="K794" s="253"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253" t="n"/>
      <c r="J795" s="253" t="n"/>
      <c r="K795" s="253"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253" t="n"/>
      <c r="J796" s="253" t="n"/>
      <c r="K796" s="253"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253" t="n"/>
      <c r="J797" s="253" t="n"/>
      <c r="K797" s="253"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253" t="n"/>
      <c r="J798" s="253" t="n"/>
      <c r="K798" s="253"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253" t="n"/>
      <c r="J799" s="253" t="n"/>
      <c r="K799" s="253"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253" t="n"/>
      <c r="J800" s="253" t="n"/>
      <c r="K800" s="253"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253" t="n"/>
      <c r="J801" s="253" t="n"/>
      <c r="K801" s="253"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253" t="n"/>
      <c r="J802" s="253" t="n"/>
      <c r="K802" s="253"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253" t="n"/>
      <c r="J803" s="253" t="n"/>
      <c r="K803" s="253"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253" t="n"/>
      <c r="J804" s="253" t="n"/>
      <c r="K804" s="253"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253" t="n"/>
      <c r="J805" s="253" t="n"/>
      <c r="K805" s="253"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253" t="n"/>
      <c r="J806" s="253" t="n"/>
      <c r="K806" s="253"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253" t="n"/>
      <c r="J807" s="253" t="n"/>
      <c r="K807" s="253"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253" t="n"/>
      <c r="J808" s="253" t="n"/>
      <c r="K808" s="253"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253" t="n"/>
      <c r="J809" s="253" t="n"/>
      <c r="K809" s="253"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253" t="n"/>
      <c r="J810" s="253" t="n"/>
      <c r="K810" s="253"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253" t="n"/>
      <c r="J811" s="253" t="n"/>
      <c r="K811" s="253"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253" t="n"/>
      <c r="J812" s="253" t="n"/>
      <c r="K812" s="253"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253" t="n"/>
      <c r="J813" s="253" t="n"/>
      <c r="K813" s="253"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253" t="n"/>
      <c r="J814" s="253" t="n"/>
      <c r="K814" s="253"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253" t="n"/>
      <c r="J815" s="253" t="n"/>
      <c r="K815" s="253"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253" t="n"/>
      <c r="J816" s="253" t="n"/>
      <c r="K816" s="253"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253" t="n"/>
      <c r="J817" s="253" t="n"/>
      <c r="K817" s="253"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253" t="n"/>
      <c r="J818" s="253" t="n"/>
      <c r="K818" s="253"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253" t="n"/>
      <c r="J819" s="253" t="n"/>
      <c r="K819" s="253"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253" t="n"/>
      <c r="J820" s="253" t="n"/>
      <c r="K820" s="253"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253" t="n"/>
      <c r="J821" s="253" t="n"/>
      <c r="K821" s="253"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253" t="n"/>
      <c r="J822" s="253" t="n"/>
      <c r="K822" s="253"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253" t="n"/>
      <c r="J823" s="253" t="n"/>
      <c r="K823" s="253"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253" t="n"/>
      <c r="J824" s="253" t="n"/>
      <c r="K824" s="253"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253" t="n"/>
      <c r="J825" s="253" t="n"/>
      <c r="K825" s="253"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253" t="n"/>
      <c r="J826" s="253" t="n"/>
      <c r="K826" s="253"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253" t="n"/>
      <c r="J827" s="253" t="n"/>
      <c r="K827" s="253"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253" t="n"/>
      <c r="J828" s="253" t="n"/>
      <c r="K828" s="253"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253" t="n"/>
      <c r="J829" s="253" t="n"/>
      <c r="K829" s="253"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253" t="n"/>
      <c r="J830" s="253" t="n"/>
      <c r="K830" s="253"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253" t="n"/>
      <c r="J831" s="253" t="n"/>
      <c r="K831" s="253"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253" t="n"/>
      <c r="J832" s="253" t="n"/>
      <c r="K832" s="253"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253" t="n"/>
      <c r="J833" s="253" t="n"/>
      <c r="K833" s="253"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253" t="n"/>
      <c r="J834" s="253" t="n"/>
      <c r="K834" s="253"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253" t="n"/>
      <c r="J835" s="253" t="n"/>
      <c r="K835" s="253"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253" t="n"/>
      <c r="J836" s="253" t="n"/>
      <c r="K836" s="253"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253" t="n"/>
      <c r="J837" s="253" t="n"/>
      <c r="K837" s="253"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253" t="n"/>
      <c r="J838" s="253" t="n"/>
      <c r="K838" s="253"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253" t="n"/>
      <c r="J839" s="253" t="n"/>
      <c r="K839" s="253"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253" t="n"/>
      <c r="J840" s="253" t="n"/>
      <c r="K840" s="253"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253" t="n"/>
      <c r="J841" s="253" t="n"/>
      <c r="K841" s="253"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253" t="n"/>
      <c r="J842" s="253" t="n"/>
      <c r="K842" s="253"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253" t="n"/>
      <c r="J843" s="253" t="n"/>
      <c r="K843" s="253"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253" t="n"/>
      <c r="J844" s="253" t="n"/>
      <c r="K844" s="253"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253" t="n"/>
      <c r="J845" s="253" t="n"/>
      <c r="K845" s="253"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253" t="n"/>
      <c r="J846" s="253" t="n"/>
      <c r="K846" s="253"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253" t="n"/>
      <c r="J847" s="253" t="n"/>
      <c r="K847" s="253"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253" t="n"/>
      <c r="J848" s="253" t="n"/>
      <c r="K848" s="253"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253" t="n"/>
      <c r="J849" s="253" t="n"/>
      <c r="K849" s="253"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253" t="n"/>
      <c r="J850" s="253" t="n"/>
      <c r="K850" s="253"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253" t="n"/>
      <c r="J851" s="253" t="n"/>
      <c r="K851" s="253"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253" t="n"/>
      <c r="J852" s="253" t="n"/>
      <c r="K852" s="253"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253" t="n"/>
      <c r="J853" s="253" t="n"/>
      <c r="K853" s="253"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253" t="n"/>
      <c r="J854" s="253" t="n"/>
      <c r="K854" s="253"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253" t="n"/>
      <c r="J855" s="253" t="n"/>
      <c r="K855" s="253"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253" t="n"/>
      <c r="J856" s="253" t="n"/>
      <c r="K856" s="253"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253" t="n"/>
      <c r="J857" s="253" t="n"/>
      <c r="K857" s="253"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253" t="n"/>
      <c r="J858" s="253" t="n"/>
      <c r="K858" s="253"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253" t="n"/>
      <c r="J859" s="253" t="n"/>
      <c r="K859" s="253"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253" t="n"/>
      <c r="J860" s="253" t="n"/>
      <c r="K860" s="253"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253" t="n"/>
      <c r="J861" s="253" t="n"/>
      <c r="K861" s="253"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253" t="n"/>
      <c r="J862" s="253" t="n"/>
      <c r="K862" s="253"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253" t="n"/>
      <c r="J863" s="253" t="n"/>
      <c r="K863" s="253"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253" t="n"/>
      <c r="J864" s="253" t="n"/>
      <c r="K864" s="253"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253" t="n"/>
      <c r="J865" s="253" t="n"/>
      <c r="K865" s="253"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253" t="n"/>
      <c r="J866" s="253" t="n"/>
      <c r="K866" s="253"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253" t="n"/>
      <c r="J867" s="253" t="n"/>
      <c r="K867" s="253"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253" t="n"/>
      <c r="J868" s="253" t="n"/>
      <c r="K868" s="253"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253" t="n"/>
      <c r="J869" s="253" t="n"/>
      <c r="K869" s="253"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253" t="n"/>
      <c r="J870" s="253" t="n"/>
      <c r="K870" s="253"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253" t="n"/>
      <c r="J871" s="253" t="n"/>
      <c r="K871" s="253"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253" t="n"/>
      <c r="J872" s="253" t="n"/>
      <c r="K872" s="253"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253" t="n"/>
      <c r="J873" s="253" t="n"/>
      <c r="K873" s="253"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253" t="n"/>
      <c r="J874" s="253" t="n"/>
      <c r="K874" s="253"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253" t="n"/>
      <c r="J875" s="253" t="n"/>
      <c r="K875" s="253"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253" t="n"/>
      <c r="J876" s="253" t="n"/>
      <c r="K876" s="253"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253" t="n"/>
      <c r="J877" s="253" t="n"/>
      <c r="K877" s="253"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253" t="n"/>
      <c r="J878" s="253" t="n"/>
      <c r="K878" s="253"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253" t="n"/>
      <c r="J879" s="253" t="n"/>
      <c r="K879" s="253"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253" t="n"/>
      <c r="J880" s="253" t="n"/>
      <c r="K880" s="253"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253" t="n"/>
      <c r="J881" s="253" t="n"/>
      <c r="K881" s="253"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253" t="n"/>
      <c r="J882" s="253" t="n"/>
      <c r="K882" s="253"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253" t="n"/>
      <c r="J883" s="253" t="n"/>
      <c r="K883" s="253"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253" t="n"/>
      <c r="J884" s="253" t="n"/>
      <c r="K884" s="253"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253" t="n"/>
      <c r="J885" s="253" t="n"/>
      <c r="K885" s="253"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253" t="n"/>
      <c r="J886" s="253" t="n"/>
      <c r="K886" s="253"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253" t="n"/>
      <c r="J887" s="253" t="n"/>
      <c r="K887" s="253"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253" t="n"/>
      <c r="J888" s="253" t="n"/>
      <c r="K888" s="253"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253" t="n"/>
      <c r="J889" s="253" t="n"/>
      <c r="K889" s="253"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253" t="n"/>
      <c r="J890" s="253" t="n"/>
      <c r="K890" s="253"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253" t="n"/>
      <c r="J891" s="253" t="n"/>
      <c r="K891" s="253"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253" t="n"/>
      <c r="J892" s="253" t="n"/>
      <c r="K892" s="253"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253" t="n"/>
      <c r="J893" s="253" t="n"/>
      <c r="K893" s="253"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253" t="n"/>
      <c r="J894" s="253" t="n"/>
      <c r="K894" s="253"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253" t="n"/>
      <c r="J895" s="253" t="n"/>
      <c r="K895" s="253"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253" t="n"/>
      <c r="J896" s="253" t="n"/>
      <c r="K896" s="253"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253" t="n"/>
      <c r="J897" s="253" t="n"/>
      <c r="K897" s="253"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253" t="n"/>
      <c r="J898" s="253" t="n"/>
      <c r="K898" s="253"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253" t="n"/>
      <c r="J899" s="253" t="n"/>
      <c r="K899" s="253"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253" t="n"/>
      <c r="J900" s="253" t="n"/>
      <c r="K900" s="253"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253" t="n"/>
      <c r="J901" s="253" t="n"/>
      <c r="K901" s="253"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253" t="n"/>
      <c r="J902" s="253" t="n"/>
      <c r="K902" s="253"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253" t="n"/>
      <c r="J903" s="253" t="n"/>
      <c r="K903" s="253"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253" t="n"/>
      <c r="J904" s="253" t="n"/>
      <c r="K904" s="253"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253" t="n"/>
      <c r="J905" s="253" t="n"/>
      <c r="K905" s="253"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253" t="n"/>
      <c r="J906" s="253" t="n"/>
      <c r="K906" s="253"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253" t="n"/>
      <c r="J907" s="253" t="n"/>
      <c r="K907" s="253"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253" t="n"/>
      <c r="J908" s="253" t="n"/>
      <c r="K908" s="253"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253" t="n"/>
      <c r="J909" s="253" t="n"/>
      <c r="K909" s="253"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253" t="n"/>
      <c r="J910" s="253" t="n"/>
      <c r="K910" s="253"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253" t="n"/>
      <c r="J911" s="253" t="n"/>
      <c r="K911" s="253"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253" t="n"/>
      <c r="J912" s="253" t="n"/>
      <c r="K912" s="253"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253" t="n"/>
      <c r="J913" s="253" t="n"/>
      <c r="K913" s="253"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253" t="n"/>
      <c r="J914" s="253" t="n"/>
      <c r="K914" s="253"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253" t="n"/>
      <c r="J915" s="253" t="n"/>
      <c r="K915" s="253"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253" t="n"/>
      <c r="J916" s="253" t="n"/>
      <c r="K916" s="253"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253" t="n"/>
      <c r="J917" s="253" t="n"/>
      <c r="K917" s="253"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253" t="n"/>
      <c r="J918" s="253" t="n"/>
      <c r="K918" s="253"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253" t="n"/>
      <c r="J919" s="253" t="n"/>
      <c r="K919" s="253"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253" t="n"/>
      <c r="J920" s="253" t="n"/>
      <c r="K920" s="253"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253" t="n"/>
      <c r="J921" s="253" t="n"/>
      <c r="K921" s="253"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253" t="n"/>
      <c r="J922" s="253" t="n"/>
      <c r="K922" s="253"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253" t="n"/>
      <c r="J923" s="253" t="n"/>
      <c r="K923" s="253"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253" t="n"/>
      <c r="J924" s="253" t="n"/>
      <c r="K924" s="253"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253" t="n"/>
      <c r="J925" s="253" t="n"/>
      <c r="K925" s="253"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253" t="n"/>
      <c r="J926" s="253" t="n"/>
      <c r="K926" s="253"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253" t="n"/>
      <c r="J927" s="253" t="n"/>
      <c r="K927" s="253"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253" t="n"/>
      <c r="J928" s="253" t="n"/>
      <c r="K928" s="253"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253" t="n"/>
      <c r="J929" s="253" t="n"/>
      <c r="K929" s="253"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253" t="n"/>
      <c r="J930" s="253" t="n"/>
      <c r="K930" s="253"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253" t="n"/>
      <c r="J931" s="253" t="n"/>
      <c r="K931" s="253"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253" t="n"/>
      <c r="J932" s="253" t="n"/>
      <c r="K932" s="253"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253" t="n"/>
      <c r="J933" s="253" t="n"/>
      <c r="K933" s="253"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253" t="n"/>
      <c r="J934" s="253" t="n"/>
      <c r="K934" s="253"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253" t="n"/>
      <c r="J935" s="253" t="n"/>
      <c r="K935" s="253"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253" t="n"/>
      <c r="J936" s="253" t="n"/>
      <c r="K936" s="253"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253" t="n"/>
      <c r="J937" s="253" t="n"/>
      <c r="K937" s="253"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253" t="n"/>
      <c r="J938" s="253" t="n"/>
      <c r="K938" s="253"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253" t="n"/>
      <c r="J939" s="253" t="n"/>
      <c r="K939" s="253"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253" t="n"/>
      <c r="J940" s="253" t="n"/>
      <c r="K940" s="253"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253" t="n"/>
      <c r="J941" s="253" t="n"/>
      <c r="K941" s="253"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253" t="n"/>
      <c r="J942" s="253" t="n"/>
      <c r="K942" s="253"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253" t="n"/>
      <c r="J943" s="253" t="n"/>
      <c r="K943" s="253"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253" t="n"/>
      <c r="J944" s="253" t="n"/>
      <c r="K944" s="253"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253" t="n"/>
      <c r="J945" s="253" t="n"/>
      <c r="K945" s="253"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253" t="n"/>
      <c r="J946" s="253" t="n"/>
      <c r="K946" s="253"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253" t="n"/>
      <c r="J947" s="253" t="n"/>
      <c r="K947" s="253"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253" t="n"/>
      <c r="J948" s="253" t="n"/>
      <c r="K948" s="253"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253" t="n"/>
      <c r="J949" s="253" t="n"/>
      <c r="K949" s="253"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253" t="n"/>
      <c r="J950" s="253" t="n"/>
      <c r="K950" s="253"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253" t="n"/>
      <c r="J951" s="253" t="n"/>
      <c r="K951" s="253"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253" t="n"/>
      <c r="J952" s="253" t="n"/>
      <c r="K952" s="253"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253" t="n"/>
      <c r="J953" s="253" t="n"/>
      <c r="K953" s="253"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253" t="n"/>
      <c r="J954" s="253" t="n"/>
      <c r="K954" s="253"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253" t="n"/>
      <c r="J955" s="253" t="n"/>
      <c r="K955" s="253"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253" t="n"/>
      <c r="J956" s="253" t="n"/>
      <c r="K956" s="253"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253" t="n"/>
      <c r="J957" s="253" t="n"/>
      <c r="K957" s="253"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253" t="n"/>
      <c r="J958" s="253" t="n"/>
      <c r="K958" s="253"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253" t="n"/>
      <c r="J959" s="253" t="n"/>
      <c r="K959" s="253"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253" t="n"/>
      <c r="J960" s="253" t="n"/>
      <c r="K960" s="253"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253" t="n"/>
      <c r="J961" s="253" t="n"/>
      <c r="K961" s="253"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253" t="n"/>
      <c r="J962" s="253" t="n"/>
      <c r="K962" s="253"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253" t="n"/>
      <c r="J963" s="253" t="n"/>
      <c r="K963" s="253"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253" t="n"/>
      <c r="J964" s="253" t="n"/>
      <c r="K964" s="253"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253" t="n"/>
      <c r="J965" s="253" t="n"/>
      <c r="K965" s="253"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253" t="n"/>
      <c r="J966" s="253" t="n"/>
      <c r="K966" s="253"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253" t="n"/>
      <c r="J967" s="253" t="n"/>
      <c r="K967" s="253"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253" t="n"/>
      <c r="J968" s="253" t="n"/>
      <c r="K968" s="253"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253" t="n"/>
      <c r="J969" s="253" t="n"/>
      <c r="K969" s="253"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253" t="n"/>
      <c r="J970" s="253" t="n"/>
      <c r="K970" s="253"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253" t="n"/>
      <c r="J971" s="253" t="n"/>
      <c r="K971" s="253"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253" t="n"/>
      <c r="J972" s="253" t="n"/>
      <c r="K972" s="253"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253" t="n"/>
      <c r="J973" s="253" t="n"/>
      <c r="K973" s="253"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253" t="n"/>
      <c r="J974" s="253" t="n"/>
      <c r="K974" s="253"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253" t="n"/>
      <c r="J975" s="253" t="n"/>
      <c r="K975" s="253"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253" t="n"/>
      <c r="J976" s="253" t="n"/>
      <c r="K976" s="253"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253" t="n"/>
      <c r="J977" s="253" t="n"/>
      <c r="K977" s="253"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253" t="n"/>
      <c r="J978" s="253" t="n"/>
      <c r="K978" s="253"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253" t="n"/>
      <c r="J979" s="253" t="n"/>
      <c r="K979" s="253"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253" t="n"/>
      <c r="J980" s="253" t="n"/>
      <c r="K980" s="253"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253" t="n"/>
      <c r="J981" s="253" t="n"/>
      <c r="K981" s="253"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253" t="n"/>
      <c r="J982" s="253" t="n"/>
      <c r="K982" s="253"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253" t="n"/>
      <c r="J983" s="253" t="n"/>
      <c r="K983" s="253"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253" t="n"/>
      <c r="J984" s="253" t="n"/>
      <c r="K984" s="253"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253" t="n"/>
      <c r="J985" s="253" t="n"/>
      <c r="K985" s="253"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253" t="n"/>
      <c r="J986" s="253" t="n"/>
      <c r="K986" s="253"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253" t="n"/>
      <c r="J987" s="253" t="n"/>
      <c r="K987" s="253"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253" t="n"/>
      <c r="J988" s="253" t="n"/>
      <c r="K988" s="253"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253" t="n"/>
      <c r="J989" s="253" t="n"/>
      <c r="K989" s="253"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253" t="n"/>
      <c r="J990" s="253" t="n"/>
      <c r="K990" s="253"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253" t="n"/>
      <c r="J991" s="253" t="n"/>
      <c r="K991" s="253"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253" t="n"/>
      <c r="J992" s="253" t="n"/>
      <c r="K992" s="253"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253" t="n"/>
      <c r="J993" s="253" t="n"/>
      <c r="K993" s="253"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253" t="n"/>
      <c r="J994" s="253" t="n"/>
      <c r="K994" s="253"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253" t="n"/>
      <c r="J995" s="253" t="n"/>
      <c r="K995" s="253"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253" t="n"/>
      <c r="J996" s="253" t="n"/>
      <c r="K996" s="253"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253" t="n"/>
      <c r="J997" s="253" t="n"/>
      <c r="K997" s="253"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253" t="n"/>
      <c r="J998" s="253" t="n"/>
      <c r="K998" s="253"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253" t="n"/>
      <c r="J999" s="253" t="n"/>
      <c r="K999" s="253"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253" t="n"/>
      <c r="J1000" s="253" t="n"/>
      <c r="K1000" s="253"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253" t="n"/>
      <c r="J1001" s="253" t="n"/>
      <c r="K1001" s="253"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253" t="n"/>
      <c r="J1002" s="253" t="n"/>
      <c r="K1002" s="253"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253" t="n"/>
      <c r="J1003" s="253" t="n"/>
      <c r="K1003" s="253"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253" t="n"/>
      <c r="J1004" s="253" t="n"/>
      <c r="K1004" s="253"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253" t="n"/>
      <c r="J1005" s="253" t="n"/>
      <c r="K1005" s="253"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253" t="n"/>
      <c r="J1006" s="253" t="n"/>
      <c r="K1006" s="253"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253" t="n"/>
      <c r="J1007" s="253" t="n"/>
      <c r="K1007" s="253"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253" t="n"/>
      <c r="J1008" s="253" t="n"/>
      <c r="K1008" s="253"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253" t="n"/>
      <c r="J1009" s="253" t="n"/>
      <c r="K1009" s="253"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253" t="n"/>
      <c r="J1010" s="253" t="n"/>
      <c r="K1010" s="253"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253" t="n"/>
      <c r="J1011" s="253" t="n"/>
      <c r="K1011" s="253"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253" t="n"/>
      <c r="J1012" s="253" t="n"/>
      <c r="K1012" s="253"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253" t="n"/>
      <c r="J1013" s="253" t="n"/>
      <c r="K1013" s="253"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253" t="n"/>
      <c r="J1014" s="253" t="n"/>
      <c r="K1014" s="253"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253" t="n"/>
      <c r="J1015" s="253" t="n"/>
      <c r="K1015" s="253" t="n"/>
      <c r="L1015" s="94" t="n"/>
      <c r="M1015" s="94" t="n"/>
      <c r="N1015" s="94" t="n"/>
      <c r="O1015" s="94" t="n"/>
      <c r="P1015" s="94" t="n"/>
      <c r="Q1015" s="94" t="n"/>
      <c r="R1015" s="94" t="n"/>
      <c r="S1015" s="94" t="n"/>
      <c r="T1015" s="94" t="n"/>
      <c r="U1015" s="94" t="n"/>
      <c r="V1015" s="94" t="n"/>
      <c r="W1015" s="94" t="n"/>
      <c r="X1015" s="94" t="n"/>
      <c r="Y1015" s="94" t="n"/>
      <c r="Z1015" s="94" t="n"/>
    </row>
    <row r="1016">
      <c r="A1016" s="253" t="n"/>
      <c r="B1016" s="253" t="n"/>
      <c r="C1016" s="253" t="n"/>
      <c r="D1016" s="253" t="n"/>
      <c r="E1016" s="253" t="n"/>
      <c r="F1016" s="253" t="n"/>
      <c r="G1016" s="253" t="n"/>
      <c r="H1016" s="253" t="n"/>
      <c r="I1016" s="253" t="n"/>
      <c r="J1016" s="253" t="n"/>
      <c r="K1016" s="253" t="n"/>
      <c r="L1016" s="94" t="n"/>
      <c r="M1016" s="94" t="n"/>
      <c r="N1016" s="94" t="n"/>
      <c r="O1016" s="94" t="n"/>
      <c r="P1016" s="94" t="n"/>
      <c r="Q1016" s="94" t="n"/>
      <c r="R1016" s="94" t="n"/>
      <c r="S1016" s="94" t="n"/>
      <c r="T1016" s="94" t="n"/>
      <c r="U1016" s="94" t="n"/>
      <c r="V1016" s="94" t="n"/>
      <c r="W1016" s="94" t="n"/>
      <c r="X1016" s="94" t="n"/>
      <c r="Y1016" s="94" t="n"/>
      <c r="Z1016" s="94" t="n"/>
    </row>
    <row r="1017">
      <c r="A1017" s="253" t="n"/>
      <c r="B1017" s="253" t="n"/>
      <c r="C1017" s="253" t="n"/>
      <c r="D1017" s="253" t="n"/>
      <c r="E1017" s="253" t="n"/>
      <c r="F1017" s="253" t="n"/>
      <c r="G1017" s="253" t="n"/>
      <c r="H1017" s="253" t="n"/>
      <c r="I1017" s="253" t="n"/>
      <c r="J1017" s="253" t="n"/>
      <c r="K1017" s="253" t="n"/>
      <c r="L1017" s="94" t="n"/>
      <c r="M1017" s="94" t="n"/>
      <c r="N1017" s="94" t="n"/>
      <c r="O1017" s="94" t="n"/>
      <c r="P1017" s="94" t="n"/>
      <c r="Q1017" s="94" t="n"/>
      <c r="R1017" s="94" t="n"/>
      <c r="S1017" s="94" t="n"/>
      <c r="T1017" s="94" t="n"/>
      <c r="U1017" s="94" t="n"/>
      <c r="V1017" s="94" t="n"/>
      <c r="W1017" s="94" t="n"/>
      <c r="X1017" s="94" t="n"/>
      <c r="Y1017" s="94" t="n"/>
      <c r="Z1017" s="94" t="n"/>
    </row>
    <row r="1018">
      <c r="A1018" s="253" t="n"/>
      <c r="B1018" s="253" t="n"/>
      <c r="C1018" s="253" t="n"/>
      <c r="D1018" s="253" t="n"/>
      <c r="E1018" s="253" t="n"/>
      <c r="F1018" s="253" t="n"/>
      <c r="G1018" s="253" t="n"/>
      <c r="H1018" s="253" t="n"/>
      <c r="I1018" s="253" t="n"/>
      <c r="J1018" s="253" t="n"/>
      <c r="K1018" s="253" t="n"/>
      <c r="L1018" s="94" t="n"/>
      <c r="M1018" s="94" t="n"/>
      <c r="N1018" s="94" t="n"/>
      <c r="O1018" s="94" t="n"/>
      <c r="P1018" s="94" t="n"/>
      <c r="Q1018" s="94" t="n"/>
      <c r="R1018" s="94" t="n"/>
      <c r="S1018" s="94" t="n"/>
      <c r="T1018" s="94" t="n"/>
      <c r="U1018" s="94" t="n"/>
      <c r="V1018" s="94" t="n"/>
      <c r="W1018" s="94" t="n"/>
      <c r="X1018" s="94" t="n"/>
      <c r="Y1018" s="94" t="n"/>
      <c r="Z1018" s="94" t="n"/>
    </row>
    <row r="1019">
      <c r="A1019" s="253" t="n"/>
      <c r="B1019" s="253" t="n"/>
      <c r="C1019" s="253" t="n"/>
      <c r="D1019" s="253" t="n"/>
      <c r="E1019" s="253" t="n"/>
      <c r="F1019" s="253" t="n"/>
      <c r="G1019" s="253" t="n"/>
      <c r="H1019" s="253" t="n"/>
      <c r="I1019" s="253" t="n"/>
      <c r="J1019" s="253" t="n"/>
      <c r="K1019" s="253" t="n"/>
      <c r="L1019" s="94" t="n"/>
      <c r="M1019" s="94" t="n"/>
      <c r="N1019" s="94" t="n"/>
      <c r="O1019" s="94" t="n"/>
      <c r="P1019" s="94" t="n"/>
      <c r="Q1019" s="94" t="n"/>
      <c r="R1019" s="94" t="n"/>
      <c r="S1019" s="94" t="n"/>
      <c r="T1019" s="94" t="n"/>
      <c r="U1019" s="94" t="n"/>
      <c r="V1019" s="94" t="n"/>
      <c r="W1019" s="94" t="n"/>
      <c r="X1019" s="94" t="n"/>
      <c r="Y1019" s="94" t="n"/>
      <c r="Z1019" s="94" t="n"/>
    </row>
    <row r="1020">
      <c r="A1020" s="253" t="n"/>
      <c r="B1020" s="253" t="n"/>
      <c r="C1020" s="253" t="n"/>
      <c r="D1020" s="253" t="n"/>
      <c r="E1020" s="253" t="n"/>
      <c r="F1020" s="253" t="n"/>
      <c r="G1020" s="253" t="n"/>
      <c r="H1020" s="253" t="n"/>
      <c r="I1020" s="253" t="n"/>
      <c r="J1020" s="253" t="n"/>
      <c r="K1020" s="253" t="n"/>
      <c r="L1020" s="94" t="n"/>
      <c r="M1020" s="94" t="n"/>
      <c r="N1020" s="94" t="n"/>
      <c r="O1020" s="94" t="n"/>
      <c r="P1020" s="94" t="n"/>
      <c r="Q1020" s="94" t="n"/>
      <c r="R1020" s="94" t="n"/>
      <c r="S1020" s="94" t="n"/>
      <c r="T1020" s="94" t="n"/>
      <c r="U1020" s="94" t="n"/>
      <c r="V1020" s="94" t="n"/>
      <c r="W1020" s="94" t="n"/>
      <c r="X1020" s="94" t="n"/>
      <c r="Y1020" s="94" t="n"/>
      <c r="Z1020" s="94" t="n"/>
    </row>
    <row r="1021">
      <c r="A1021" s="253" t="n"/>
      <c r="B1021" s="253" t="n"/>
      <c r="C1021" s="253" t="n"/>
      <c r="D1021" s="253" t="n"/>
      <c r="E1021" s="253" t="n"/>
      <c r="F1021" s="253" t="n"/>
      <c r="G1021" s="253" t="n"/>
      <c r="H1021" s="253" t="n"/>
      <c r="I1021" s="253" t="n"/>
      <c r="J1021" s="253" t="n"/>
      <c r="K1021" s="253"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conditionalFormatting sqref="G28:G31">
    <cfRule type="expression" priority="1" dxfId="0">
      <formula>AND(G28&lt;&gt;"",ISBLANK(G28))</formula>
    </cfRule>
    <cfRule type="expression" priority="2" dxfId="0">
      <formula>AND(OR($B28&lt;&gt;"",$C28&lt;&gt;""),G28="")</formula>
    </cfRule>
    <cfRule type="expression" priority="7" dxfId="0">
      <formula>AND(OR($B28&lt;&gt;"",$C28&lt;&gt;""),G28="")</formula>
    </cfRule>
  </conditionalFormatting>
  <conditionalFormatting sqref="G33:G35">
    <cfRule type="expression" priority="3" dxfId="0">
      <formula>AND(G33&lt;&gt;"",ISBLANK(G33))</formula>
    </cfRule>
    <cfRule type="expression" priority="4" dxfId="0">
      <formula>AND(OR($B33&lt;&gt;"",$C33&lt;&gt;""),G33="")</formula>
    </cfRule>
    <cfRule type="expression" priority="8" dxfId="0">
      <formula>AND(OR($B33&lt;&gt;"",$C33&lt;&gt;""),G33="")</formula>
    </cfRule>
  </conditionalFormatting>
  <conditionalFormatting sqref="G38:G40">
    <cfRule type="expression" priority="5" dxfId="0">
      <formula>AND(G38&lt;&gt;"",ISBLANK(G38))</formula>
    </cfRule>
    <cfRule type="expression" priority="6" dxfId="0">
      <formula>AND(OR($B38&lt;&gt;"",$C38&lt;&gt;""),G38="")</formula>
    </cfRule>
    <cfRule type="expression" priority="9" dxfId="0">
      <formula>AND(OR($B38&lt;&gt;"",$C38&lt;&gt;""),G38="")</formula>
    </cfRule>
  </conditionalFormatting>
  <conditionalFormatting sqref="B28:C31">
    <cfRule type="expression" priority="10" dxfId="1">
      <formula>AND(OR($B28&lt;&gt;"",$C28&lt;&gt;""),OR($B28="",$C28=""))</formula>
    </cfRule>
  </conditionalFormatting>
  <conditionalFormatting sqref="B33:C35">
    <cfRule type="expression" priority="11" dxfId="1">
      <formula>AND(OR($B33&lt;&gt;"",$C33&lt;&gt;""),OR($B33="",$C33=""))</formula>
    </cfRule>
  </conditionalFormatting>
  <conditionalFormatting sqref="B38:C40">
    <cfRule type="expression" priority="12" dxfId="1">
      <formula>AND(OR($B38&lt;&gt;"",$C38&lt;&gt;""),OR($B38="",$C38=""))</formula>
    </cfRule>
  </conditionalFormatting>
  <conditionalFormatting sqref="C17">
    <cfRule type="expression" priority="13" dxfId="2">
      <formula>AND(C17&lt;&gt;"",C17&lt;&gt;"20%",C17&lt;&gt;"21.5%",C17&lt;&gt;"None",C17&lt;&gt;0.2,C17&lt;&gt;0.215)</formula>
    </cfRule>
  </conditionalFormatting>
  <conditionalFormatting sqref="C18">
    <cfRule type="expression" priority="14" dxfId="2">
      <formula>AND(C18&lt;&gt;"",C18&lt;&gt;"20%",C18&lt;&gt;"None",C18&lt;&gt;0.2)</formula>
    </cfRule>
  </conditionalFormatting>
  <conditionalFormatting sqref="C19">
    <cfRule type="expression" priority="15" dxfId="2">
      <formula>AND(C19&lt;&gt;"",C19&lt;&gt;"5%",C19&lt;&gt;"None",C19&lt;&gt;0.05)</formula>
    </cfRule>
  </conditionalFormatting>
  <conditionalFormatting sqref="D88">
    <cfRule type="expression" priority="16" dxfId="3">
      <formula>SEARCH("STRONG",D88)&gt;0</formula>
    </cfRule>
    <cfRule type="expression" priority="17" dxfId="4">
      <formula>SEARCH("TARGET",D88)&gt;0</formula>
    </cfRule>
    <cfRule type="expression" priority="18" dxfId="5">
      <formula>SEARCH("REVIEW",D88)&gt;0</formula>
    </cfRule>
    <cfRule type="expression" priority="19" dxfId="6">
      <formula>SEARCH("BELOW",D88)&gt;0</formula>
    </cfRule>
    <cfRule type="expression" priority="20" dxfId="5">
      <formula>SEARCH("THIN",D88)&gt;0</formula>
    </cfRule>
    <cfRule type="expression" priority="21" dxfId="6">
      <formula>SEARCH("LOSING",D88)&gt;0</formula>
    </cfRule>
  </conditionalFormatting>
  <conditionalFormatting sqref="D93">
    <cfRule type="expression" priority="22" dxfId="3">
      <formula>SEARCH("STRONG",D93)&gt;0</formula>
    </cfRule>
    <cfRule type="expression" priority="23" dxfId="4">
      <formula>SEARCH("TARGET",D93)&gt;0</formula>
    </cfRule>
    <cfRule type="expression" priority="24" dxfId="5">
      <formula>SEARCH("REVIEW",D93)&gt;0</formula>
    </cfRule>
    <cfRule type="expression" priority="25" dxfId="6">
      <formula>SEARCH("BELOW",D93)&gt;0</formula>
    </cfRule>
    <cfRule type="expression" priority="26" dxfId="5">
      <formula>SEARCH("THIN",D93)&gt;0</formula>
    </cfRule>
    <cfRule type="expression" priority="27" dxfId="6">
      <formula>SEARCH("LOSING",D93)&gt;0</formula>
    </cfRule>
  </conditionalFormatting>
  <dataValidations count="11">
    <dataValidation sqref="B8" showDropDown="0" showInputMessage="0" showErrorMessage="0" allowBlank="1" type="list" errorStyle="stop" operator="between">
      <formula1>"Yes,No"</formula1>
      <formula2>0</formula2>
    </dataValidation>
    <dataValidation sqref="G24 G25 G26 G28 G29 G30 G31 G33 G34 G35 G38 G39 G40" showDropDown="0" showInputMessage="0" showErrorMessage="0" allowBlank="1" prompt="Select pricing category" type="list">
      <formula1>'Client Setup - Sample'!$A$23:$A$33</formula1>
    </dataValidation>
    <dataValidation sqref="B38" showDropDown="0" showInputMessage="0" showErrorMessage="0" allowBlank="0" prompt="Auto-calculated from guest count. Override if needed." type="list">
      <formula1>"1,2,3,4,5"</formula1>
    </dataValidation>
    <dataValidation sqref="B68 C68 D68" showDropDown="0" showInputMessage="0" showErrorMessage="0" allowBlank="1" type="list">
      <formula1>'Client Setup - Sample'!$A$54:$A$63</formula1>
    </dataValidation>
    <dataValidation sqref="B69 C69 D69" showDropDown="0" showInputMessage="0" showErrorMessage="0" allowBlank="1" type="list">
      <formula1>"Drive,Flight"</formula1>
    </dataValidation>
    <dataValidation sqref="B70 C70 D70" showDropDown="0" showInputMessage="0" showErrorMessage="0" allowBlank="1" type="list">
      <formula1>"1,2,3,4,5"</formula1>
    </dataValidation>
    <dataValidation sqref="B71 C71 D71" showDropDown="0" showInputMessage="0" showErrorMessage="0" allowBlank="1" type="list">
      <formula1>"0,1,2,3,4,5"</formula1>
    </dataValidation>
    <dataValidation sqref="B72 C72 D72" showDropDown="0" showInputMessage="0" showErrorMessage="0" allowBlank="1" type="list">
      <formula1>'Client Setup - Sample'!$A$67:$A$72</formula1>
    </dataValidation>
    <dataValidation sqref="C17" showDropDown="0" showInputMessage="0" showErrorMessage="0" allowBlank="1" type="list">
      <formula1>"20%,21.5%,None"</formula1>
    </dataValidation>
    <dataValidation sqref="C18" showDropDown="0" showInputMessage="0" showErrorMessage="0" allowBlank="1" type="list">
      <formula1>"20%,None"</formula1>
    </dataValidation>
    <dataValidation sqref="C19" showDropDown="0" showInputMessage="0" showErrorMessage="0"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Z1021"/>
  <sheetViews>
    <sheetView workbookViewId="0">
      <selection activeCell="A1" sqref="A1"/>
    </sheetView>
  </sheetViews>
  <sheetFormatPr baseColWidth="8" defaultColWidth="14.43359375" defaultRowHeight="15" zeroHeight="0" outlineLevelRow="0"/>
  <cols>
    <col width="30" customWidth="1" style="89" min="1" max="1"/>
    <col width="13" customWidth="1" style="89" min="2" max="3"/>
    <col width="13" customWidth="1" style="90" min="3" max="3"/>
    <col width="15" customWidth="1" style="89" min="4" max="5"/>
    <col width="15" customWidth="1" style="90" min="5" max="5"/>
    <col width="11" customWidth="1" style="89" min="6" max="6"/>
    <col width="21" customWidth="1" style="89" min="7" max="7"/>
    <col width="32" customWidth="1" style="89" min="8" max="8"/>
    <col width="22" customWidth="1" style="89" min="9" max="9"/>
    <col width="14" customWidth="1" style="89" min="10" max="10"/>
    <col width="12" customWidth="1" style="89" min="11" max="11"/>
    <col width="8.710000000000001" customWidth="1" style="89" min="12"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Restaurant / Venue Estimate</t>
        </is>
      </c>
      <c r="B2" s="92" t="n"/>
      <c r="C2" s="92" t="n"/>
      <c r="D2" s="92" t="n"/>
      <c r="E2" s="92" t="n"/>
      <c r="F2" s="92" t="n"/>
      <c r="G2" s="93" t="n"/>
      <c r="H2" s="252" t="n"/>
      <c r="I2" s="252" t="n"/>
      <c r="J2" s="252" t="n"/>
      <c r="K2" s="252"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94" t="n"/>
      <c r="M3" s="94" t="n"/>
      <c r="N3" s="94" t="n"/>
      <c r="O3" s="94" t="n"/>
      <c r="P3" s="94" t="n"/>
      <c r="Q3" s="94" t="n"/>
      <c r="R3" s="94" t="n"/>
      <c r="S3" s="94" t="n"/>
      <c r="T3" s="94" t="n"/>
      <c r="U3" s="94" t="n"/>
      <c r="V3" s="94" t="n"/>
      <c r="W3" s="94" t="n"/>
      <c r="X3" s="94" t="n"/>
      <c r="Y3" s="94" t="n"/>
      <c r="Z3" s="94" t="n"/>
    </row>
    <row r="4" ht="27" customHeight="1" s="90">
      <c r="A4" s="254" t="inlineStr">
        <is>
          <t>VENUE DETAILS</t>
        </is>
      </c>
      <c r="B4" s="92" t="n"/>
      <c r="C4" s="92" t="n"/>
      <c r="D4" s="92" t="n"/>
      <c r="E4" s="92" t="n"/>
      <c r="F4" s="92" t="n"/>
      <c r="G4" s="93" t="n"/>
      <c r="H4" s="257" t="n"/>
      <c r="I4" s="254"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301" t="inlineStr">
        <is>
          <t>Venue / Restaurant Name:</t>
        </is>
      </c>
      <c r="B5" s="302" t="n"/>
      <c r="C5" s="244" t="n"/>
      <c r="D5" s="304" t="n"/>
      <c r="E5" s="304" t="n"/>
      <c r="F5" s="304" t="n"/>
      <c r="G5" s="304" t="n"/>
      <c r="H5" s="253" t="n"/>
      <c r="I5" s="305"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301" t="inlineStr">
        <is>
          <t>Room / Space:</t>
        </is>
      </c>
      <c r="B6" s="302" t="n"/>
      <c r="C6" s="244" t="n"/>
      <c r="D6" s="304" t="n"/>
      <c r="E6" s="304" t="n"/>
      <c r="F6" s="304" t="n"/>
      <c r="G6" s="304" t="n"/>
      <c r="H6" s="253" t="n"/>
      <c r="I6" s="306" t="n"/>
      <c r="J6" s="306" t="n"/>
      <c r="K6" s="306" t="n"/>
      <c r="L6" s="94" t="n"/>
      <c r="M6" s="94" t="n"/>
      <c r="N6" s="94" t="n"/>
      <c r="O6" s="94" t="n"/>
      <c r="P6" s="94" t="n"/>
      <c r="Q6" s="94" t="n"/>
      <c r="R6" s="94" t="n"/>
      <c r="S6" s="94" t="n"/>
      <c r="T6" s="94" t="n"/>
      <c r="U6" s="94" t="n"/>
      <c r="V6" s="94" t="n"/>
      <c r="W6" s="94" t="n"/>
      <c r="X6" s="94" t="n"/>
      <c r="Y6" s="94" t="n"/>
      <c r="Z6" s="94" t="n"/>
    </row>
    <row r="7" ht="27.75" customHeight="1" s="90">
      <c r="A7" s="301" t="inlineStr">
        <is>
          <t>F&amp;B Minimum:</t>
        </is>
      </c>
      <c r="B7" s="307" t="n"/>
      <c r="C7" s="244" t="n"/>
      <c r="D7" s="304" t="n"/>
      <c r="E7" s="304" t="n"/>
      <c r="F7" s="304" t="n"/>
      <c r="G7" s="304" t="n"/>
      <c r="H7" s="253" t="n"/>
      <c r="I7" s="308"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301" t="inlineStr">
        <is>
          <t>Is Venue Rental Taxable?</t>
        </is>
      </c>
      <c r="B8" s="302" t="n"/>
      <c r="C8" s="244" t="n"/>
      <c r="D8" s="304" t="n"/>
      <c r="E8" s="304" t="n"/>
      <c r="F8" s="304" t="n"/>
      <c r="G8" s="304" t="n"/>
      <c r="H8" s="253" t="n"/>
      <c r="I8" s="311">
        <f>'Client Setup - Blank'!B5</f>
        <v/>
      </c>
      <c r="J8" s="93" t="n"/>
      <c r="K8" s="312">
        <f>B5</f>
        <v/>
      </c>
      <c r="L8" s="94" t="n"/>
      <c r="M8" s="94" t="n"/>
      <c r="N8" s="94" t="n"/>
      <c r="O8" s="94" t="n"/>
      <c r="P8" s="94" t="n"/>
      <c r="Q8" s="94" t="n"/>
      <c r="R8" s="94" t="n"/>
      <c r="S8" s="94" t="n"/>
      <c r="T8" s="94" t="n"/>
      <c r="U8" s="94" t="n"/>
      <c r="V8" s="94" t="n"/>
      <c r="W8" s="94" t="n"/>
      <c r="X8" s="94" t="n"/>
      <c r="Y8" s="94" t="n"/>
      <c r="Z8" s="94" t="n"/>
    </row>
    <row r="9" ht="21.75" customHeight="1" s="90">
      <c r="A9" s="305" t="inlineStr">
        <is>
          <t>Client:</t>
        </is>
      </c>
      <c r="B9" s="313">
        <f>'Client Setup - Blank'!B5</f>
        <v/>
      </c>
      <c r="C9" s="93" t="n"/>
      <c r="D9" s="304" t="n"/>
      <c r="E9" s="304" t="n"/>
      <c r="F9" s="304" t="n"/>
      <c r="G9" s="304" t="n"/>
      <c r="H9" s="253" t="n"/>
      <c r="I9" s="314">
        <f>TEXT('Client Setup - Blank'!B6,"MMMM D, YYYY")</f>
        <v/>
      </c>
      <c r="J9" s="93" t="n"/>
      <c r="K9" s="312">
        <f>'Client Setup - Blank'!B7&amp;" Guests"</f>
        <v/>
      </c>
      <c r="L9" s="94" t="n"/>
      <c r="M9" s="94" t="n"/>
      <c r="N9" s="94" t="n"/>
      <c r="O9" s="94" t="n"/>
      <c r="P9" s="94" t="n"/>
      <c r="Q9" s="94" t="n"/>
      <c r="R9" s="94" t="n"/>
      <c r="S9" s="94" t="n"/>
      <c r="T9" s="94" t="n"/>
      <c r="U9" s="94" t="n"/>
      <c r="V9" s="94" t="n"/>
      <c r="W9" s="94" t="n"/>
      <c r="X9" s="94" t="n"/>
      <c r="Y9" s="94" t="n"/>
      <c r="Z9" s="94" t="n"/>
    </row>
    <row r="10" ht="6" customHeight="1" s="90">
      <c r="A10" s="305" t="inlineStr">
        <is>
          <t>Guest Count:</t>
        </is>
      </c>
      <c r="B10" s="315">
        <f>'Client Setup - Blank'!B7</f>
        <v/>
      </c>
      <c r="C10" s="93" t="n"/>
      <c r="D10" s="304" t="n"/>
      <c r="E10" s="304" t="n"/>
      <c r="F10" s="304" t="n"/>
      <c r="G10" s="304" t="n"/>
      <c r="H10" s="253" t="n"/>
      <c r="I10" s="306" t="n"/>
      <c r="J10" s="306" t="n"/>
      <c r="K10" s="306" t="n"/>
      <c r="L10" s="94" t="n"/>
      <c r="M10" s="94" t="n"/>
      <c r="N10" s="94" t="n"/>
      <c r="O10" s="94" t="n"/>
      <c r="P10" s="94" t="n"/>
      <c r="Q10" s="94" t="n"/>
      <c r="R10" s="94" t="n"/>
      <c r="S10" s="94" t="n"/>
      <c r="T10" s="94" t="n"/>
      <c r="U10" s="94" t="n"/>
      <c r="V10" s="94" t="n"/>
      <c r="W10" s="94" t="n"/>
      <c r="X10" s="94" t="n"/>
      <c r="Y10" s="94" t="n"/>
      <c r="Z10" s="94" t="n"/>
    </row>
    <row r="11" ht="21.75" customHeight="1" s="90">
      <c r="A11" s="305" t="inlineStr">
        <is>
          <t>Location:</t>
        </is>
      </c>
      <c r="B11" s="313">
        <f>'Client Setup - Blank'!B16</f>
        <v/>
      </c>
      <c r="C11" s="93" t="n"/>
      <c r="D11" s="304" t="n"/>
      <c r="E11" s="304" t="n"/>
      <c r="F11" s="304" t="n"/>
      <c r="G11" s="304" t="n"/>
      <c r="H11" s="253" t="n"/>
      <c r="I11" s="316" t="inlineStr">
        <is>
          <t>Item</t>
        </is>
      </c>
      <c r="J11" s="317" t="inlineStr">
        <is>
          <t>Amount</t>
        </is>
      </c>
      <c r="K11" s="31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318" t="inlineStr">
        <is>
          <t>Company:</t>
        </is>
      </c>
      <c r="B12" s="318">
        <f>'Client Setup - Blank'!B11</f>
        <v/>
      </c>
      <c r="C12" s="280" t="n"/>
      <c r="D12" s="280" t="n"/>
      <c r="E12" s="280" t="n"/>
      <c r="F12" s="280" t="n"/>
      <c r="G12" s="280" t="n"/>
      <c r="H12" s="280" t="n"/>
      <c r="I12" s="319" t="n"/>
      <c r="J12" s="319" t="n"/>
      <c r="K12" s="319" t="n"/>
    </row>
    <row r="13" ht="25.5" customHeight="1" s="90">
      <c r="A13" s="318" t="inlineStr">
        <is>
          <t>Program:</t>
        </is>
      </c>
      <c r="B13" s="318">
        <f>'Client Setup - Blank'!B12</f>
        <v/>
      </c>
      <c r="C13" s="280" t="n"/>
      <c r="D13" s="280" t="n"/>
      <c r="E13" s="280" t="n"/>
      <c r="F13" s="280" t="n"/>
      <c r="G13" s="280" t="n"/>
      <c r="H13" s="280" t="n"/>
      <c r="I13" s="319" t="n"/>
      <c r="J13" s="319" t="n"/>
      <c r="K13" s="319" t="n"/>
    </row>
    <row r="14" ht="25.5" customHeight="1" s="90">
      <c r="A14" s="318" t="inlineStr">
        <is>
          <t>Client Hotel:</t>
        </is>
      </c>
      <c r="B14" s="318">
        <f>'Client Setup - Blank'!B13</f>
        <v/>
      </c>
      <c r="C14" s="280" t="n"/>
      <c r="D14" s="280" t="n"/>
      <c r="E14" s="280" t="n"/>
      <c r="F14" s="280" t="n"/>
      <c r="G14" s="280" t="n"/>
      <c r="H14" s="280" t="n"/>
      <c r="I14" s="418" t="inlineStr">
        <is>
          <t>CATEGORY</t>
        </is>
      </c>
      <c r="J14" s="418" t="inlineStr">
        <is>
          <t>AMOUNT</t>
        </is>
      </c>
      <c r="K14" s="418" t="inlineStr">
        <is>
          <t>PER PERSON</t>
        </is>
      </c>
    </row>
    <row r="15" ht="25.5" customHeight="1" s="90">
      <c r="A15" s="318" t="inlineStr">
        <is>
          <t>Event Time:</t>
        </is>
      </c>
      <c r="B15" s="320">
        <f>'Client Setup - Blank'!B10</f>
        <v/>
      </c>
      <c r="C15" s="253" t="n"/>
      <c r="D15" s="253" t="n"/>
      <c r="E15" s="253" t="n"/>
      <c r="F15" s="253" t="n"/>
      <c r="G15" s="253" t="n"/>
      <c r="H15" s="253" t="n"/>
      <c r="I15" s="321" t="inlineStr">
        <is>
          <t>Menu</t>
        </is>
      </c>
      <c r="J15" s="322">
        <f>ROUNDUP((E24+E26)/50,0)*50</f>
        <v/>
      </c>
      <c r="K15" s="322">
        <f>IF('Client Setup - Blank'!B7&gt;0,CEILING(J15/'Client Setup - Blank'!B7,1),0)</f>
        <v/>
      </c>
      <c r="L15" s="94" t="n"/>
      <c r="M15" s="94" t="n"/>
      <c r="N15" s="94" t="n"/>
      <c r="O15" s="94" t="n"/>
      <c r="P15" s="94" t="n"/>
      <c r="Q15" s="94" t="n"/>
      <c r="R15" s="94" t="n"/>
      <c r="S15" s="94" t="n"/>
      <c r="T15" s="94" t="n"/>
      <c r="U15" s="94" t="n"/>
      <c r="V15" s="94" t="n"/>
      <c r="W15" s="94" t="n"/>
      <c r="X15" s="94" t="n"/>
      <c r="Y15" s="94" t="n"/>
      <c r="Z15" s="94" t="n"/>
    </row>
    <row r="16" ht="20" customHeight="1" s="90">
      <c r="A16" s="323" t="inlineStr">
        <is>
          <t>VENUE FEE OVERRIDES (defaults from Client Setup — change yellow fields to override)</t>
        </is>
      </c>
      <c r="B16" s="324" t="n"/>
      <c r="C16" s="324" t="n"/>
      <c r="D16" s="324" t="n"/>
      <c r="E16" s="324" t="n"/>
      <c r="F16" s="324" t="n"/>
      <c r="G16" s="324" t="n"/>
      <c r="H16" s="253" t="n"/>
      <c r="I16" s="321" t="inlineStr">
        <is>
          <t>Bar Package</t>
        </is>
      </c>
      <c r="J16" s="322">
        <f>ROUNDUP(E25/50,0)*50</f>
        <v/>
      </c>
      <c r="K16" s="322">
        <f>IF('Client Setup - Blank'!B7&gt;0,CEILING(J16/'Client Setup - Blank'!B7,1),0)</f>
        <v/>
      </c>
      <c r="L16" s="94" t="n"/>
      <c r="M16" s="94" t="n"/>
      <c r="N16" s="94" t="n"/>
      <c r="O16" s="94" t="n"/>
      <c r="P16" s="94" t="n"/>
      <c r="Q16" s="94" t="n"/>
      <c r="R16" s="94" t="n"/>
      <c r="S16" s="94" t="n"/>
      <c r="T16" s="94" t="n"/>
      <c r="U16" s="94" t="n"/>
      <c r="V16" s="94" t="n"/>
      <c r="W16" s="94" t="n"/>
      <c r="X16" s="94" t="n"/>
      <c r="Y16" s="94" t="n"/>
      <c r="Z16" s="94" t="n"/>
    </row>
    <row r="17" ht="20" customHeight="1" s="90">
      <c r="A17" s="288" t="inlineStr">
        <is>
          <t>Service Charge:</t>
        </is>
      </c>
      <c r="B17" s="325" t="n"/>
      <c r="C17" s="417">
        <f>'Client Setup - Blank'!C40</f>
        <v/>
      </c>
      <c r="D17" s="325" t="inlineStr">
        <is>
          <t>20%, 21.5%, or None</t>
        </is>
      </c>
      <c r="E17" s="326" t="n"/>
      <c r="F17" s="326" t="n"/>
      <c r="G17" s="326" t="n"/>
      <c r="H17" s="253" t="n"/>
      <c r="I17" s="321" t="inlineStr">
        <is>
          <t>Staffing</t>
        </is>
      </c>
      <c r="J17" s="322">
        <f>ROUNDUP((E28+SUM(E38:E40))/50,0)*50</f>
        <v/>
      </c>
      <c r="K17" s="322">
        <f>IF('Client Setup - Blank'!B7&gt;0,CEILING(J17/'Client Setup - Blank'!B7,1),0)</f>
        <v/>
      </c>
      <c r="L17" s="94" t="n"/>
      <c r="M17" s="94" t="n"/>
      <c r="N17" s="94" t="n"/>
      <c r="O17" s="94" t="n"/>
      <c r="P17" s="94" t="n"/>
      <c r="Q17" s="94" t="n"/>
      <c r="R17" s="94" t="n"/>
      <c r="S17" s="94" t="n"/>
      <c r="T17" s="94" t="n"/>
      <c r="U17" s="94" t="n"/>
      <c r="V17" s="94" t="n"/>
      <c r="W17" s="94" t="n"/>
      <c r="X17" s="94" t="n"/>
      <c r="Y17" s="94" t="n"/>
      <c r="Z17" s="94" t="n"/>
    </row>
    <row r="18" ht="20" customHeight="1" s="90">
      <c r="A18" s="288" t="inlineStr">
        <is>
          <t>Gratuity:</t>
        </is>
      </c>
      <c r="B18" s="325" t="n"/>
      <c r="C18" s="417">
        <f>'Client Setup - Blank'!C41</f>
        <v/>
      </c>
      <c r="D18" s="325" t="inlineStr">
        <is>
          <t>20% or None</t>
        </is>
      </c>
      <c r="E18" s="326" t="n"/>
      <c r="F18" s="326" t="n"/>
      <c r="G18" s="326" t="n"/>
      <c r="H18" s="253" t="n"/>
      <c r="I18" s="321" t="inlineStr">
        <is>
          <t>Equipment</t>
        </is>
      </c>
      <c r="J18" s="322">
        <f>ROUNDUP((E29+E30+E31)/50,0)*50</f>
        <v/>
      </c>
      <c r="K18" s="322">
        <f>IF('Client Setup - Blank'!B7&gt;0,CEILING(J18/'Client Setup - Blank'!B7,1),0)</f>
        <v/>
      </c>
      <c r="L18" s="94" t="n"/>
      <c r="M18" s="94" t="n"/>
      <c r="N18" s="94" t="n"/>
      <c r="O18" s="94" t="n"/>
      <c r="P18" s="94" t="n"/>
      <c r="Q18" s="94" t="n"/>
      <c r="R18" s="94" t="n"/>
      <c r="S18" s="94" t="n"/>
      <c r="T18" s="94" t="n"/>
      <c r="U18" s="94" t="n"/>
      <c r="V18" s="94" t="n"/>
      <c r="W18" s="94" t="n"/>
      <c r="X18" s="94" t="n"/>
      <c r="Y18" s="94" t="n"/>
      <c r="Z18" s="94" t="n"/>
    </row>
    <row r="19" ht="20" customHeight="1" s="90">
      <c r="A19" s="288" t="inlineStr">
        <is>
          <t>Admin Fee:</t>
        </is>
      </c>
      <c r="B19" s="325" t="n"/>
      <c r="C19" s="417">
        <f>'Client Setup - Blank'!C42</f>
        <v/>
      </c>
      <c r="D19" s="325" t="inlineStr">
        <is>
          <t>5% or None</t>
        </is>
      </c>
      <c r="E19" s="326" t="n"/>
      <c r="F19" s="326" t="n"/>
      <c r="G19" s="326" t="n"/>
      <c r="H19" s="253" t="n"/>
      <c r="I19" s="321" t="inlineStr">
        <is>
          <t>Venue Rental</t>
        </is>
      </c>
      <c r="J19" s="322">
        <f>ROUNDUP((E33+E34+E35)/50,0)*50</f>
        <v/>
      </c>
      <c r="K19" s="322">
        <f>IF('Client Setup - Blank'!B7&gt;0,CEILING(J19/'Client Setup - Blank'!B7,1),0)</f>
        <v/>
      </c>
      <c r="L19" s="94" t="n"/>
      <c r="M19" s="94" t="n"/>
      <c r="N19" s="94" t="n"/>
      <c r="O19" s="94" t="n"/>
      <c r="P19" s="94" t="n"/>
      <c r="Q19" s="94" t="n"/>
      <c r="R19" s="94" t="n"/>
      <c r="S19" s="94" t="n"/>
      <c r="T19" s="94" t="n"/>
      <c r="U19" s="94" t="n"/>
      <c r="V19" s="94" t="n"/>
      <c r="W19" s="94" t="n"/>
      <c r="X19" s="94" t="n"/>
      <c r="Y19" s="94" t="n"/>
      <c r="Z19" s="94" t="n"/>
    </row>
    <row r="20" ht="30" customHeight="1" s="90">
      <c r="A20" s="253" t="n"/>
      <c r="B20" s="253" t="n"/>
      <c r="C20" s="253" t="n"/>
      <c r="D20" s="253" t="n"/>
      <c r="E20" s="253" t="n"/>
      <c r="F20" s="253" t="n"/>
      <c r="G20" s="253" t="n"/>
      <c r="H20" s="253" t="n"/>
      <c r="I20" s="321" t="inlineStr">
        <is>
          <t>Production Fee</t>
        </is>
      </c>
      <c r="J20" s="322">
        <f>ROUNDUP((E51+E52+E53+E55+E56)/100,0)*100</f>
        <v/>
      </c>
      <c r="K20" s="322">
        <f>IF('Client Setup - Blank'!B7&gt;0,CEILING(J20/'Client Setup - Blank'!B7,1),0)</f>
        <v/>
      </c>
      <c r="L20" s="94" t="n"/>
      <c r="M20" s="94" t="n"/>
      <c r="N20" s="94" t="n"/>
      <c r="O20" s="94" t="n"/>
      <c r="P20" s="94" t="n"/>
      <c r="Q20" s="94" t="n"/>
      <c r="R20" s="94" t="n"/>
      <c r="S20" s="94" t="n"/>
      <c r="T20" s="94" t="n"/>
      <c r="U20" s="94" t="n"/>
      <c r="V20" s="94" t="n"/>
      <c r="W20" s="94" t="n"/>
      <c r="X20" s="94" t="n"/>
      <c r="Y20" s="94" t="n"/>
      <c r="Z20" s="94" t="n"/>
    </row>
    <row r="21" ht="27" customHeight="1" s="90">
      <c r="A21" s="254" t="inlineStr">
        <is>
          <t>COST BUILD</t>
        </is>
      </c>
      <c r="B21" s="269" t="n"/>
      <c r="C21" s="269" t="n"/>
      <c r="D21" s="269" t="n"/>
      <c r="E21" s="269" t="n"/>
      <c r="F21" s="269" t="n"/>
      <c r="G21" s="269" t="n"/>
      <c r="H21" s="257" t="n"/>
      <c r="I21" s="321" t="inlineStr">
        <is>
          <t>Tax</t>
        </is>
      </c>
      <c r="J21" s="322">
        <f>ROUNDUP((E44+E45+E47+E50)/50,0)*50</f>
        <v/>
      </c>
      <c r="K21" s="322">
        <f>IF('Client Setup - Blank'!B7&gt;0,CEILING(J21/'Client Setup - Blank'!B7,1),0)</f>
        <v/>
      </c>
      <c r="L21" s="94" t="n"/>
      <c r="M21" s="94" t="n"/>
      <c r="N21" s="94" t="n"/>
      <c r="O21" s="94" t="n"/>
      <c r="P21" s="94" t="n"/>
      <c r="Q21" s="94" t="n"/>
      <c r="R21" s="94" t="n"/>
      <c r="S21" s="94" t="n"/>
      <c r="T21" s="94" t="n"/>
      <c r="U21" s="94" t="n"/>
      <c r="V21" s="94" t="n"/>
      <c r="W21" s="94" t="n"/>
      <c r="X21" s="94" t="n"/>
      <c r="Y21" s="94" t="n"/>
      <c r="Z21" s="94" t="n"/>
    </row>
    <row r="22" ht="23" customHeight="1" s="90">
      <c r="A22" s="273" t="inlineStr">
        <is>
          <t>Line Item</t>
        </is>
      </c>
      <c r="B22" s="273" t="inlineStr">
        <is>
          <t>Qty</t>
        </is>
      </c>
      <c r="C22" s="273" t="inlineStr">
        <is>
          <t>Unit Price</t>
        </is>
      </c>
      <c r="D22" s="273" t="inlineStr">
        <is>
          <t>Our Cost</t>
        </is>
      </c>
      <c r="E22" s="273" t="inlineStr">
        <is>
          <t>Client Cost</t>
        </is>
      </c>
      <c r="F22" s="273" t="inlineStr">
        <is>
          <t>Tax Rate</t>
        </is>
      </c>
      <c r="G22" s="272" t="inlineStr">
        <is>
          <t>Category</t>
        </is>
      </c>
      <c r="H22" s="253" t="n"/>
      <c r="I22" s="327" t="n"/>
      <c r="J22" s="327" t="n"/>
      <c r="K22" s="327" t="n"/>
      <c r="L22" s="94" t="n"/>
      <c r="M22" s="94" t="n"/>
      <c r="N22" s="94" t="n"/>
      <c r="O22" s="94" t="n"/>
      <c r="P22" s="94" t="n"/>
      <c r="Q22" s="94" t="n"/>
      <c r="R22" s="94" t="n"/>
      <c r="S22" s="94" t="n"/>
      <c r="T22" s="94" t="n"/>
      <c r="U22" s="94" t="n"/>
      <c r="V22" s="94" t="n"/>
      <c r="W22" s="94" t="n"/>
      <c r="X22" s="94" t="n"/>
      <c r="Y22" s="94" t="n"/>
      <c r="Z22" s="94" t="n"/>
    </row>
    <row r="23" ht="25" customHeight="1" s="90">
      <c r="A23" s="328" t="inlineStr">
        <is>
          <t>FOOD &amp; BEVERAGE  (F&amp;B Tax Applied)</t>
        </is>
      </c>
      <c r="B23" s="329" t="n"/>
      <c r="C23" s="329" t="n"/>
      <c r="D23" s="329" t="n"/>
      <c r="E23" s="329" t="n"/>
      <c r="F23" s="329" t="n"/>
      <c r="G23" s="329" t="n"/>
      <c r="H23" s="280" t="n"/>
      <c r="I23" s="419" t="inlineStr">
        <is>
          <t>TOTAL ESTIMATE</t>
        </is>
      </c>
      <c r="J23" s="420">
        <f>SUM(J15:J21)</f>
        <v/>
      </c>
      <c r="K23" s="420">
        <f>IF('Client Setup - Blank'!B7&gt;0,CEILING(J23/'Client Setup - Blank'!B7,1),0)</f>
        <v/>
      </c>
      <c r="L23" s="94" t="n"/>
      <c r="M23" s="94" t="n"/>
      <c r="N23" s="94" t="n"/>
      <c r="O23" s="94" t="n"/>
      <c r="P23" s="94" t="n"/>
      <c r="Q23" s="94" t="n"/>
      <c r="R23" s="94" t="n"/>
      <c r="S23" s="94" t="n"/>
      <c r="T23" s="94" t="n"/>
      <c r="U23" s="94" t="n"/>
      <c r="V23" s="94" t="n"/>
      <c r="W23" s="94" t="n"/>
      <c r="X23" s="94" t="n"/>
      <c r="Y23" s="94" t="n"/>
      <c r="Z23" s="94" t="n"/>
    </row>
    <row r="24" ht="20" customHeight="1" s="90">
      <c r="A24" s="332" t="inlineStr">
        <is>
          <t>Per Person Food</t>
        </is>
      </c>
      <c r="B24" s="333">
        <f>'Client Setup - Blank'!B7</f>
        <v/>
      </c>
      <c r="C24" s="334" t="n"/>
      <c r="D24" s="335">
        <f>B24*C24</f>
        <v/>
      </c>
      <c r="E24" s="335">
        <f>IFERROR(D24*(1+VLOOKUP(G24,'Client Setup - Blank'!$A$23:$B$33,2,FALSE)),0)</f>
        <v/>
      </c>
      <c r="F24" s="336">
        <f>'Client Setup - Blank'!B17</f>
        <v/>
      </c>
      <c r="G24" s="337" t="inlineStr">
        <is>
          <t>Catering &amp; F&amp;B</t>
        </is>
      </c>
      <c r="H24" s="253" t="n"/>
      <c r="I24" s="338" t="inlineStr">
        <is>
          <t>Guest Count</t>
        </is>
      </c>
      <c r="J24" s="339">
        <f>'Client Setup - Blank'!B7</f>
        <v/>
      </c>
      <c r="K24" s="340" t="n"/>
      <c r="L24" s="94" t="n"/>
      <c r="M24" s="94" t="n"/>
      <c r="N24" s="94" t="n"/>
      <c r="O24" s="94" t="n"/>
      <c r="P24" s="94" t="n"/>
      <c r="Q24" s="94" t="n"/>
      <c r="R24" s="94" t="n"/>
      <c r="S24" s="94" t="n"/>
      <c r="T24" s="94" t="n"/>
      <c r="U24" s="94" t="n"/>
      <c r="V24" s="94" t="n"/>
      <c r="W24" s="94" t="n"/>
      <c r="X24" s="94" t="n"/>
      <c r="Y24" s="94" t="n"/>
      <c r="Z24" s="94" t="n"/>
    </row>
    <row r="25" ht="20" customHeight="1" s="90">
      <c r="A25" s="341" t="inlineStr">
        <is>
          <t>Bar Package</t>
        </is>
      </c>
      <c r="B25" s="342">
        <f>'Client Setup - Blank'!B7</f>
        <v/>
      </c>
      <c r="C25" s="343" t="n"/>
      <c r="D25" s="344">
        <f>B25*C25</f>
        <v/>
      </c>
      <c r="E25" s="344">
        <f>IFERROR(D25*(1+VLOOKUP(G25,'Client Setup - Blank'!$A$23:$B$33,2,FALSE)),0)</f>
        <v/>
      </c>
      <c r="F25" s="345">
        <f>'Client Setup - Blank'!B18</f>
        <v/>
      </c>
      <c r="G25" s="346" t="inlineStr">
        <is>
          <t>Catering &amp; F&amp;B</t>
        </is>
      </c>
      <c r="H25" s="253" t="n"/>
      <c r="I25" s="347" t="n"/>
      <c r="J25" s="347" t="n"/>
      <c r="K25" s="347" t="n"/>
      <c r="L25" s="94" t="n"/>
      <c r="M25" s="94" t="n"/>
      <c r="N25" s="94" t="n"/>
      <c r="O25" s="94" t="n"/>
      <c r="P25" s="94" t="n"/>
      <c r="Q25" s="94" t="n"/>
      <c r="R25" s="94" t="n"/>
      <c r="S25" s="94" t="n"/>
      <c r="T25" s="94" t="n"/>
      <c r="U25" s="94" t="n"/>
      <c r="V25" s="94" t="n"/>
      <c r="W25" s="94" t="n"/>
      <c r="X25" s="94" t="n"/>
      <c r="Y25" s="94" t="n"/>
      <c r="Z25" s="94" t="n"/>
    </row>
    <row r="26" ht="20" customHeight="1" s="90">
      <c r="A26" s="332" t="inlineStr">
        <is>
          <t>NA Beverages</t>
        </is>
      </c>
      <c r="B26" s="348">
        <f>'Client Setup - Blank'!B7</f>
        <v/>
      </c>
      <c r="C26" s="334" t="n"/>
      <c r="D26" s="335">
        <f>B26*C26</f>
        <v/>
      </c>
      <c r="E26" s="335">
        <f>IFERROR(D26*(1+VLOOKUP(G26,'Client Setup - Blank'!$A$23:$B$33,2,FALSE)),0)</f>
        <v/>
      </c>
      <c r="F26" s="336">
        <f>'Client Setup - Blank'!B17</f>
        <v/>
      </c>
      <c r="G26" s="337" t="inlineStr">
        <is>
          <t>Catering &amp; F&amp;B</t>
        </is>
      </c>
      <c r="H26" s="253" t="n"/>
      <c r="I26" s="306" t="n"/>
      <c r="J26" s="306" t="n"/>
      <c r="K26" s="306" t="n"/>
      <c r="L26" s="94" t="n"/>
      <c r="M26" s="94" t="n"/>
      <c r="N26" s="94" t="n"/>
      <c r="O26" s="94" t="n"/>
      <c r="P26" s="94" t="n"/>
      <c r="Q26" s="94" t="n"/>
      <c r="R26" s="94" t="n"/>
      <c r="S26" s="94" t="n"/>
      <c r="T26" s="94" t="n"/>
      <c r="U26" s="94" t="n"/>
      <c r="V26" s="94" t="n"/>
      <c r="W26" s="94" t="n"/>
      <c r="X26" s="94" t="n"/>
      <c r="Y26" s="94" t="n"/>
      <c r="Z26" s="94" t="n"/>
    </row>
    <row r="27" ht="25" customHeight="1" s="90">
      <c r="A27" s="328" t="inlineStr">
        <is>
          <t>TAXABLE EQUIPMENT, RENTALS &amp; STAFFING  (General Sales Tax)</t>
        </is>
      </c>
      <c r="B27" s="329" t="n"/>
      <c r="C27" s="329" t="n"/>
      <c r="D27" s="329" t="n"/>
      <c r="E27" s="329" t="n"/>
      <c r="F27" s="329" t="n"/>
      <c r="G27" s="329" t="n"/>
      <c r="H27" s="280" t="n"/>
      <c r="I27" s="323" t="inlineStr">
        <is>
          <t>TEAM NOTES</t>
        </is>
      </c>
      <c r="J27" s="324" t="n"/>
      <c r="K27" s="324" t="n"/>
      <c r="L27" s="94" t="n"/>
      <c r="M27" s="94" t="n"/>
      <c r="N27" s="94" t="n"/>
      <c r="O27" s="94" t="n"/>
      <c r="P27" s="94" t="n"/>
      <c r="Q27" s="94" t="n"/>
      <c r="R27" s="94" t="n"/>
      <c r="S27" s="94" t="n"/>
      <c r="T27" s="94" t="n"/>
      <c r="U27" s="94" t="n"/>
      <c r="V27" s="94" t="n"/>
      <c r="W27" s="94" t="n"/>
      <c r="X27" s="94" t="n"/>
      <c r="Y27" s="94" t="n"/>
      <c r="Z27" s="94" t="n"/>
    </row>
    <row r="28" ht="20" customHeight="1" s="90">
      <c r="A28" s="353" t="n"/>
      <c r="B28" s="354" t="n"/>
      <c r="C28" s="343" t="n"/>
      <c r="D28" s="344">
        <f>B28*C28</f>
        <v/>
      </c>
      <c r="E28" s="344">
        <f>IFERROR(D28*(1+VLOOKUP(G28,'Client Setup - Blank'!$A$23:$B$33,2,FALSE)),0)</f>
        <v/>
      </c>
      <c r="F28" s="345">
        <f>'Client Setup - Blank'!B19</f>
        <v/>
      </c>
      <c r="G28" s="355" t="n"/>
      <c r="H28" s="253" t="n"/>
      <c r="I28" s="352" t="n"/>
      <c r="J28" s="324" t="n"/>
      <c r="K28" s="324" t="n"/>
      <c r="L28" s="94" t="n"/>
      <c r="M28" s="94" t="n"/>
      <c r="N28" s="94" t="n"/>
      <c r="O28" s="94" t="n"/>
      <c r="P28" s="94" t="n"/>
      <c r="Q28" s="94" t="n"/>
      <c r="R28" s="94" t="n"/>
      <c r="S28" s="94" t="n"/>
      <c r="T28" s="94" t="n"/>
      <c r="U28" s="94" t="n"/>
      <c r="V28" s="94" t="n"/>
      <c r="W28" s="94" t="n"/>
      <c r="X28" s="94" t="n"/>
      <c r="Y28" s="94" t="n"/>
      <c r="Z28" s="94" t="n"/>
    </row>
    <row r="29" ht="20" customHeight="1" s="90">
      <c r="A29" s="349" t="n"/>
      <c r="B29" s="350" t="n"/>
      <c r="C29" s="334" t="n"/>
      <c r="D29" s="335">
        <f>B29*C29</f>
        <v/>
      </c>
      <c r="E29" s="335">
        <f>IFERROR(D29*(1+VLOOKUP(G29,'Client Setup - Blank'!$A$23:$B$33,2,FALSE)),0)</f>
        <v/>
      </c>
      <c r="F29" s="336">
        <f>'Client Setup - Blank'!B19</f>
        <v/>
      </c>
      <c r="G29" s="351" t="n"/>
      <c r="H29" s="253" t="n"/>
      <c r="I29" s="352" t="n"/>
      <c r="J29" s="324" t="n"/>
      <c r="K29" s="324" t="n"/>
      <c r="L29" s="94" t="n"/>
      <c r="M29" s="94" t="n"/>
      <c r="N29" s="94" t="n"/>
      <c r="O29" s="94" t="n"/>
      <c r="P29" s="94" t="n"/>
      <c r="Q29" s="94" t="n"/>
      <c r="R29" s="94" t="n"/>
      <c r="S29" s="94" t="n"/>
      <c r="T29" s="94" t="n"/>
      <c r="U29" s="94" t="n"/>
      <c r="V29" s="94" t="n"/>
      <c r="W29" s="94" t="n"/>
      <c r="X29" s="94" t="n"/>
      <c r="Y29" s="94" t="n"/>
      <c r="Z29" s="94" t="n"/>
    </row>
    <row r="30" ht="20" customHeight="1" s="90">
      <c r="A30" s="353" t="n"/>
      <c r="B30" s="354" t="n"/>
      <c r="C30" s="343" t="n"/>
      <c r="D30" s="344">
        <f>B30*C30</f>
        <v/>
      </c>
      <c r="E30" s="344">
        <f>IFERROR(D30*(1+VLOOKUP(G30,'Client Setup - Blank'!$A$23:$B$33,2,FALSE)),0)</f>
        <v/>
      </c>
      <c r="F30" s="345">
        <f>'Client Setup - Blank'!B19</f>
        <v/>
      </c>
      <c r="G30" s="355" t="n"/>
      <c r="H30" s="253" t="n"/>
      <c r="I30" s="352" t="n"/>
      <c r="J30" s="324" t="n"/>
      <c r="K30" s="324" t="n"/>
      <c r="L30" s="94" t="n"/>
      <c r="M30" s="94" t="n"/>
      <c r="N30" s="94" t="n"/>
      <c r="O30" s="94" t="n"/>
      <c r="P30" s="94" t="n"/>
      <c r="Q30" s="94" t="n"/>
      <c r="R30" s="94" t="n"/>
      <c r="S30" s="94" t="n"/>
      <c r="T30" s="94" t="n"/>
      <c r="U30" s="94" t="n"/>
      <c r="V30" s="94" t="n"/>
      <c r="W30" s="94" t="n"/>
      <c r="X30" s="94" t="n"/>
      <c r="Y30" s="94" t="n"/>
      <c r="Z30" s="94" t="n"/>
    </row>
    <row r="31" ht="20" customHeight="1" s="90">
      <c r="A31" s="349" t="n"/>
      <c r="B31" s="350" t="n"/>
      <c r="C31" s="334" t="n"/>
      <c r="D31" s="335">
        <f>B31*C31</f>
        <v/>
      </c>
      <c r="E31" s="335">
        <f>IFERROR(D31*(1+VLOOKUP(G31,'Client Setup - Blank'!$A$23:$B$33,2,FALSE)),0)</f>
        <v/>
      </c>
      <c r="F31" s="336">
        <f>'Client Setup - Blank'!B19</f>
        <v/>
      </c>
      <c r="G31" s="351" t="n"/>
      <c r="H31" s="253" t="n"/>
      <c r="I31" s="352" t="n"/>
      <c r="J31" s="324" t="n"/>
      <c r="K31" s="324" t="n"/>
      <c r="L31" s="94" t="n"/>
      <c r="M31" s="94" t="n"/>
      <c r="N31" s="94" t="n"/>
      <c r="O31" s="94" t="n"/>
      <c r="P31" s="94" t="n"/>
      <c r="Q31" s="94" t="n"/>
      <c r="R31" s="94" t="n"/>
      <c r="S31" s="94" t="n"/>
      <c r="T31" s="94" t="n"/>
      <c r="U31" s="94" t="n"/>
      <c r="V31" s="94" t="n"/>
      <c r="W31" s="94" t="n"/>
      <c r="X31" s="94" t="n"/>
      <c r="Y31" s="94" t="n"/>
      <c r="Z31" s="94" t="n"/>
    </row>
    <row r="32" ht="25" customHeight="1" s="90">
      <c r="A32" s="328" t="inlineStr">
        <is>
          <t>VENUE FEES  (Taxable if toggled above)</t>
        </is>
      </c>
      <c r="B32" s="329" t="n"/>
      <c r="C32" s="329" t="n"/>
      <c r="D32" s="329" t="n"/>
      <c r="E32" s="329" t="n"/>
      <c r="F32" s="329" t="n"/>
      <c r="G32" s="329" t="n"/>
      <c r="H32" s="280" t="n"/>
      <c r="I32" s="352" t="n"/>
      <c r="J32" s="324" t="n"/>
      <c r="K32" s="324" t="n"/>
      <c r="L32" s="94" t="n"/>
      <c r="M32" s="94" t="n"/>
      <c r="N32" s="94" t="n"/>
      <c r="O32" s="94" t="n"/>
      <c r="P32" s="94" t="n"/>
      <c r="Q32" s="94" t="n"/>
      <c r="R32" s="94" t="n"/>
      <c r="S32" s="94" t="n"/>
      <c r="T32" s="94" t="n"/>
      <c r="U32" s="94" t="n"/>
      <c r="V32" s="94" t="n"/>
      <c r="W32" s="94" t="n"/>
      <c r="X32" s="94" t="n"/>
      <c r="Y32" s="94" t="n"/>
      <c r="Z32" s="94" t="n"/>
    </row>
    <row r="33" ht="20" customHeight="1" s="90">
      <c r="A33" s="353" t="n"/>
      <c r="B33" s="354" t="n"/>
      <c r="C33" s="343" t="n"/>
      <c r="D33" s="344">
        <f>B33*C33</f>
        <v/>
      </c>
      <c r="E33" s="344">
        <f>IFERROR(D33*(1+VLOOKUP(G33,'Client Setup - Blank'!$A$23:$B$33,2,FALSE)),0)</f>
        <v/>
      </c>
      <c r="F33" s="345">
        <f>IF(B8="Yes",'Client Setup - Blank'!B19,0)</f>
        <v/>
      </c>
      <c r="G33" s="355" t="n"/>
      <c r="H33" s="253" t="n"/>
      <c r="I33" s="352" t="n"/>
      <c r="J33" s="324" t="n"/>
      <c r="K33" s="324" t="n"/>
      <c r="L33" s="94" t="n"/>
      <c r="M33" s="94" t="n"/>
      <c r="N33" s="94" t="n"/>
      <c r="O33" s="94" t="n"/>
      <c r="P33" s="94" t="n"/>
      <c r="Q33" s="94" t="n"/>
      <c r="R33" s="94" t="n"/>
      <c r="S33" s="94" t="n"/>
      <c r="T33" s="94" t="n"/>
      <c r="U33" s="94" t="n"/>
      <c r="V33" s="94" t="n"/>
      <c r="W33" s="94" t="n"/>
      <c r="X33" s="94" t="n"/>
      <c r="Y33" s="94" t="n"/>
      <c r="Z33" s="94" t="n"/>
    </row>
    <row r="34" ht="20" customHeight="1" s="90">
      <c r="A34" s="349" t="n"/>
      <c r="B34" s="350" t="n"/>
      <c r="C34" s="334" t="n"/>
      <c r="D34" s="335">
        <f>B34*C34</f>
        <v/>
      </c>
      <c r="E34" s="335">
        <f>IFERROR(D34*(1+VLOOKUP(G34,'Client Setup - Blank'!$A$23:$B$33,2,FALSE)),0)</f>
        <v/>
      </c>
      <c r="F34" s="336">
        <f>IF(B8="Yes",'Client Setup - Blank'!B19,0)</f>
        <v/>
      </c>
      <c r="G34" s="351" t="n"/>
      <c r="H34" s="253" t="n"/>
      <c r="I34" s="352" t="n"/>
      <c r="J34" s="324" t="n"/>
      <c r="K34" s="324" t="n"/>
      <c r="L34" s="94" t="n"/>
      <c r="M34" s="94" t="n"/>
      <c r="N34" s="94" t="n"/>
      <c r="O34" s="94" t="n"/>
      <c r="P34" s="94" t="n"/>
      <c r="Q34" s="94" t="n"/>
      <c r="R34" s="94" t="n"/>
      <c r="S34" s="94" t="n"/>
      <c r="T34" s="94" t="n"/>
      <c r="U34" s="94" t="n"/>
      <c r="V34" s="94" t="n"/>
      <c r="W34" s="94" t="n"/>
      <c r="X34" s="94" t="n"/>
      <c r="Y34" s="94" t="n"/>
      <c r="Z34" s="94" t="n"/>
    </row>
    <row r="35" ht="20" customHeight="1" s="90">
      <c r="A35" s="353" t="n"/>
      <c r="B35" s="354" t="n"/>
      <c r="C35" s="343" t="n"/>
      <c r="D35" s="344">
        <f>B35*C35</f>
        <v/>
      </c>
      <c r="E35" s="344">
        <f>IFERROR(D35*(1+VLOOKUP(G35,'Client Setup - Blank'!$A$23:$B$33,2,FALSE)),0)</f>
        <v/>
      </c>
      <c r="F35" s="345">
        <f>IF(B8="Yes",'Client Setup - Blank'!B19,0)</f>
        <v/>
      </c>
      <c r="G35" s="355" t="n"/>
      <c r="H35" s="253" t="n"/>
      <c r="I35" s="352" t="n"/>
      <c r="J35" s="324" t="n"/>
      <c r="K35" s="324" t="n"/>
      <c r="L35" s="94" t="n"/>
      <c r="M35" s="94" t="n"/>
      <c r="N35" s="94" t="n"/>
      <c r="O35" s="94" t="n"/>
      <c r="P35" s="94" t="n"/>
      <c r="Q35" s="94" t="n"/>
      <c r="R35" s="94" t="n"/>
      <c r="S35" s="94" t="n"/>
      <c r="T35" s="94" t="n"/>
      <c r="U35" s="94" t="n"/>
      <c r="V35" s="94" t="n"/>
      <c r="W35" s="94" t="n"/>
      <c r="X35" s="94" t="n"/>
      <c r="Y35" s="94" t="n"/>
      <c r="Z35" s="94" t="n"/>
    </row>
    <row r="36" ht="25.5" customHeight="1" s="90">
      <c r="A36" s="306" t="n"/>
      <c r="B36" s="306" t="n"/>
      <c r="C36" s="306" t="n"/>
      <c r="D36" s="306" t="n"/>
      <c r="E36" s="306" t="n"/>
      <c r="F36" s="306" t="n"/>
      <c r="G36" s="306" t="n"/>
      <c r="H36" s="253" t="n"/>
      <c r="I36" s="356" t="n"/>
      <c r="J36" s="280" t="n"/>
      <c r="K36" s="280" t="n"/>
      <c r="L36" s="94" t="n"/>
      <c r="M36" s="94" t="n"/>
      <c r="N36" s="94" t="n"/>
      <c r="O36" s="94" t="n"/>
      <c r="P36" s="94" t="n"/>
      <c r="Q36" s="94" t="n"/>
      <c r="R36" s="94" t="n"/>
      <c r="S36" s="94" t="n"/>
      <c r="T36" s="94" t="n"/>
      <c r="U36" s="94" t="n"/>
      <c r="V36" s="94" t="n"/>
      <c r="W36" s="94" t="n"/>
      <c r="X36" s="94" t="n"/>
      <c r="Y36" s="94" t="n"/>
      <c r="Z36" s="94" t="n"/>
    </row>
    <row r="37" ht="25" customHeight="1" s="90">
      <c r="A37" s="328" t="inlineStr">
        <is>
          <t>NON-TAXABLE QC STAFFING</t>
        </is>
      </c>
      <c r="B37" s="329" t="n"/>
      <c r="C37" s="329" t="n"/>
      <c r="D37" s="329" t="n"/>
      <c r="E37" s="329" t="n"/>
      <c r="F37" s="329" t="n"/>
      <c r="G37" s="329" t="n"/>
      <c r="H37" s="253" t="n"/>
      <c r="I37" s="356" t="n"/>
      <c r="J37" s="280" t="n"/>
      <c r="K37" s="280" t="n"/>
      <c r="L37" s="94" t="n"/>
      <c r="M37" s="94" t="n"/>
      <c r="N37" s="94" t="n"/>
      <c r="O37" s="94" t="n"/>
      <c r="P37" s="94" t="n"/>
      <c r="Q37" s="94" t="n"/>
      <c r="R37" s="94" t="n"/>
      <c r="S37" s="94" t="n"/>
      <c r="T37" s="94" t="n"/>
      <c r="U37" s="94" t="n"/>
      <c r="V37" s="94" t="n"/>
      <c r="W37" s="94" t="n"/>
      <c r="X37" s="94" t="n"/>
      <c r="Y37" s="94" t="n"/>
      <c r="Z37" s="94" t="n"/>
    </row>
    <row r="38" ht="20" customHeight="1" s="90">
      <c r="A38" s="349" t="n"/>
      <c r="B38" s="350" t="n"/>
      <c r="C38" s="334" t="n"/>
      <c r="D38" s="335">
        <f>B38*C38</f>
        <v/>
      </c>
      <c r="E38" s="335">
        <f>IFERROR(D38*(1+VLOOKUP(G38,'Client Setup - Blank'!$A$23:$B$33,2,FALSE)),0)</f>
        <v/>
      </c>
      <c r="F38" s="336" t="n">
        <v>0</v>
      </c>
      <c r="G38" s="351" t="n"/>
      <c r="H38" s="253" t="n"/>
      <c r="I38" s="306" t="n"/>
      <c r="J38" s="306" t="n"/>
      <c r="K38" s="306" t="n"/>
      <c r="L38" s="94" t="n"/>
      <c r="M38" s="94" t="n"/>
      <c r="N38" s="94" t="n"/>
      <c r="O38" s="94" t="n"/>
      <c r="P38" s="94" t="n"/>
      <c r="Q38" s="94" t="n"/>
      <c r="R38" s="94" t="n"/>
      <c r="S38" s="94" t="n"/>
      <c r="T38" s="94" t="n"/>
      <c r="U38" s="94" t="n"/>
      <c r="V38" s="94" t="n"/>
      <c r="W38" s="94" t="n"/>
      <c r="X38" s="94" t="n"/>
      <c r="Y38" s="94" t="n"/>
      <c r="Z38" s="94" t="n"/>
    </row>
    <row r="39" ht="20" customHeight="1" s="90">
      <c r="A39" s="353" t="n"/>
      <c r="B39" s="354" t="n"/>
      <c r="C39" s="343" t="n"/>
      <c r="D39" s="344">
        <f>B39*C39</f>
        <v/>
      </c>
      <c r="E39" s="344">
        <f>IFERROR(D39*(1+VLOOKUP(G39,'Client Setup - Blank'!$A$23:$B$33,2,FALSE)),0)</f>
        <v/>
      </c>
      <c r="F39" s="345" t="n">
        <v>0</v>
      </c>
      <c r="G39" s="355" t="n"/>
      <c r="H39" s="253" t="n"/>
      <c r="I39" s="306" t="n"/>
      <c r="J39" s="306" t="n"/>
      <c r="K39" s="306" t="n"/>
      <c r="L39" s="94" t="n"/>
      <c r="M39" s="94" t="n"/>
      <c r="N39" s="94" t="n"/>
      <c r="O39" s="94" t="n"/>
      <c r="P39" s="94" t="n"/>
      <c r="Q39" s="94" t="n"/>
      <c r="R39" s="94" t="n"/>
      <c r="S39" s="94" t="n"/>
      <c r="T39" s="94" t="n"/>
      <c r="U39" s="94" t="n"/>
      <c r="V39" s="94" t="n"/>
      <c r="W39" s="94" t="n"/>
      <c r="X39" s="94" t="n"/>
      <c r="Y39" s="94" t="n"/>
      <c r="Z39" s="94" t="n"/>
    </row>
    <row r="40" ht="20" customHeight="1" s="90">
      <c r="A40" s="349" t="n"/>
      <c r="B40" s="350" t="n"/>
      <c r="C40" s="334" t="n"/>
      <c r="D40" s="335">
        <f>B40*C40</f>
        <v/>
      </c>
      <c r="E40" s="335">
        <f>IFERROR(D40*(1+VLOOKUP(G40,'Client Setup - Blank'!$A$23:$B$33,2,FALSE)),0)</f>
        <v/>
      </c>
      <c r="F40" s="336" t="n">
        <v>0</v>
      </c>
      <c r="G40" s="351" t="n"/>
      <c r="H40" s="253" t="n"/>
      <c r="I40" s="306" t="n"/>
      <c r="J40" s="306" t="n"/>
      <c r="K40" s="306" t="n"/>
      <c r="L40" s="94" t="n"/>
      <c r="M40" s="94" t="n"/>
      <c r="N40" s="94" t="n"/>
      <c r="O40" s="94" t="n"/>
      <c r="P40" s="94" t="n"/>
      <c r="Q40" s="94" t="n"/>
      <c r="R40" s="94" t="n"/>
      <c r="S40" s="94" t="n"/>
      <c r="T40" s="94" t="n"/>
      <c r="U40" s="94" t="n"/>
      <c r="V40" s="94" t="n"/>
      <c r="W40" s="94" t="n"/>
      <c r="X40" s="94" t="n"/>
      <c r="Y40" s="94" t="n"/>
      <c r="Z40" s="94" t="n"/>
    </row>
    <row r="41" ht="25.5" customHeight="1" s="90">
      <c r="A41" s="306" t="n"/>
      <c r="B41" s="306" t="n"/>
      <c r="C41" s="306" t="n"/>
      <c r="D41" s="306" t="n"/>
      <c r="E41" s="306" t="n"/>
      <c r="F41" s="306" t="n"/>
      <c r="G41" s="306" t="n"/>
      <c r="H41" s="253" t="n"/>
      <c r="I41" s="306" t="n"/>
      <c r="J41" s="306" t="n"/>
      <c r="K41" s="306" t="n"/>
      <c r="L41" s="94" t="n"/>
      <c r="M41" s="94" t="n"/>
      <c r="N41" s="94" t="n"/>
      <c r="O41" s="94" t="n"/>
      <c r="P41" s="94" t="n"/>
      <c r="Q41" s="94" t="n"/>
      <c r="R41" s="94" t="n"/>
      <c r="S41" s="94" t="n"/>
      <c r="T41" s="94" t="n"/>
      <c r="U41" s="94" t="n"/>
      <c r="V41" s="94" t="n"/>
      <c r="W41" s="94" t="n"/>
      <c r="X41" s="94" t="n"/>
      <c r="Y41" s="94" t="n"/>
      <c r="Z41" s="94" t="n"/>
    </row>
    <row r="42" ht="27" customHeight="1" s="90">
      <c r="A42" s="254" t="inlineStr">
        <is>
          <t>ESTIMATE SUMMARY</t>
        </is>
      </c>
      <c r="B42" s="269" t="n"/>
      <c r="C42" s="269" t="n"/>
      <c r="D42" s="269" t="n"/>
      <c r="E42" s="269" t="n"/>
      <c r="F42" s="269" t="n"/>
      <c r="G42" s="269" t="n"/>
      <c r="H42" s="257" t="n"/>
      <c r="I42" s="257" t="n"/>
      <c r="J42" s="257" t="n"/>
      <c r="K42" s="257" t="n"/>
      <c r="L42" s="94" t="n"/>
      <c r="M42" s="94" t="n"/>
      <c r="N42" s="94" t="n"/>
      <c r="O42" s="94" t="n"/>
      <c r="P42" s="94" t="n"/>
      <c r="Q42" s="94" t="n"/>
      <c r="R42" s="94" t="n"/>
      <c r="S42" s="94" t="n"/>
      <c r="T42" s="94" t="n"/>
      <c r="U42" s="94" t="n"/>
      <c r="V42" s="94" t="n"/>
      <c r="W42" s="94" t="n"/>
      <c r="X42" s="94" t="n"/>
      <c r="Y42" s="94" t="n"/>
      <c r="Z42" s="94" t="n"/>
    </row>
    <row r="43" ht="20" customHeight="1" s="90">
      <c r="A43" s="357" t="inlineStr">
        <is>
          <t>F&amp;B Subtotal</t>
        </is>
      </c>
      <c r="B43" s="327" t="n"/>
      <c r="C43" s="327" t="n"/>
      <c r="D43" s="358">
        <f>SUM(D24:D26)</f>
        <v/>
      </c>
      <c r="E43" s="358">
        <f>SUM(E24:E26)</f>
        <v/>
      </c>
      <c r="F43" s="327" t="n"/>
      <c r="G43" s="327" t="n"/>
      <c r="H43" s="253" t="n"/>
      <c r="I43" s="253" t="n"/>
      <c r="J43" s="253" t="n"/>
      <c r="K43" s="253" t="n"/>
      <c r="L43" s="94" t="n"/>
      <c r="M43" s="94" t="n"/>
      <c r="N43" s="94" t="n"/>
      <c r="O43" s="94" t="n"/>
      <c r="P43" s="94" t="n"/>
      <c r="Q43" s="94" t="n"/>
      <c r="R43" s="94" t="n"/>
      <c r="S43" s="94" t="n"/>
      <c r="T43" s="94" t="n"/>
      <c r="U43" s="94" t="n"/>
      <c r="V43" s="94" t="n"/>
      <c r="W43" s="94" t="n"/>
      <c r="X43" s="94" t="n"/>
      <c r="Y43" s="94" t="n"/>
      <c r="Z43" s="94" t="n"/>
    </row>
    <row r="44" ht="20" customHeight="1" s="90">
      <c r="A44" s="357" t="inlineStr">
        <is>
          <t>Food Tax</t>
        </is>
      </c>
      <c r="B44" s="327" t="n"/>
      <c r="C44" s="327" t="n"/>
      <c r="D44" s="358">
        <f>IFERROR(D24*F24+D26*F26,0)</f>
        <v/>
      </c>
      <c r="E44" s="358">
        <f>IFERROR(E24*F24+E26*F26,0)</f>
        <v/>
      </c>
      <c r="F44" s="327" t="n"/>
      <c r="G44" s="327" t="n"/>
      <c r="H44" s="253" t="n"/>
      <c r="I44" s="253" t="n"/>
      <c r="J44" s="253" t="n"/>
      <c r="K44" s="253" t="n"/>
      <c r="L44" s="94" t="n"/>
      <c r="M44" s="94" t="n"/>
      <c r="N44" s="94" t="n"/>
      <c r="O44" s="94" t="n"/>
      <c r="P44" s="94" t="n"/>
      <c r="Q44" s="94" t="n"/>
      <c r="R44" s="94" t="n"/>
      <c r="S44" s="94" t="n"/>
      <c r="T44" s="94" t="n"/>
      <c r="U44" s="94" t="n"/>
      <c r="V44" s="94" t="n"/>
      <c r="W44" s="94" t="n"/>
      <c r="X44" s="94" t="n"/>
      <c r="Y44" s="94" t="n"/>
      <c r="Z44" s="94" t="n"/>
    </row>
    <row r="45" ht="20" customHeight="1" s="90">
      <c r="A45" s="357" t="inlineStr">
        <is>
          <t>Alcohol Tax</t>
        </is>
      </c>
      <c r="B45" s="327" t="n"/>
      <c r="C45" s="327" t="n"/>
      <c r="D45" s="358">
        <f>IFERROR(D25*F25,0)</f>
        <v/>
      </c>
      <c r="E45" s="358">
        <f>IFERROR(E25*F25,0)</f>
        <v/>
      </c>
      <c r="F45" s="327" t="n"/>
      <c r="G45" s="327" t="n"/>
      <c r="H45" s="253" t="n"/>
      <c r="I45" s="253" t="n"/>
      <c r="J45" s="253" t="n"/>
      <c r="K45" s="253" t="n"/>
      <c r="L45" s="94" t="n"/>
      <c r="M45" s="94" t="n"/>
      <c r="N45" s="94" t="n"/>
      <c r="O45" s="94" t="n"/>
      <c r="P45" s="94" t="n"/>
      <c r="Q45" s="94" t="n"/>
      <c r="R45" s="94" t="n"/>
      <c r="S45" s="94" t="n"/>
      <c r="T45" s="94" t="n"/>
      <c r="U45" s="94" t="n"/>
      <c r="V45" s="94" t="n"/>
      <c r="W45" s="94" t="n"/>
      <c r="X45" s="94" t="n"/>
      <c r="Y45" s="94" t="n"/>
      <c r="Z45" s="94" t="n"/>
    </row>
    <row r="46" ht="20" customHeight="1" s="90">
      <c r="A46" s="357" t="inlineStr">
        <is>
          <t>Equipment &amp; Staffing Subtotal</t>
        </is>
      </c>
      <c r="B46" s="327" t="n"/>
      <c r="C46" s="327" t="n"/>
      <c r="D46" s="358">
        <f>SUM(D28:D31)</f>
        <v/>
      </c>
      <c r="E46" s="358">
        <f>SUM(E28:E31)</f>
        <v/>
      </c>
      <c r="F46" s="327" t="n"/>
      <c r="G46" s="327" t="n"/>
      <c r="H46" s="253" t="n"/>
      <c r="I46" s="253" t="n"/>
      <c r="J46" s="253" t="n"/>
      <c r="K46" s="253" t="n"/>
      <c r="L46" s="94" t="n"/>
      <c r="M46" s="94" t="n"/>
      <c r="N46" s="94" t="n"/>
      <c r="O46" s="94" t="n"/>
      <c r="P46" s="94" t="n"/>
      <c r="Q46" s="94" t="n"/>
      <c r="R46" s="94" t="n"/>
      <c r="S46" s="94" t="n"/>
      <c r="T46" s="94" t="n"/>
      <c r="U46" s="94" t="n"/>
      <c r="V46" s="94" t="n"/>
      <c r="W46" s="94" t="n"/>
      <c r="X46" s="94" t="n"/>
      <c r="Y46" s="94" t="n"/>
      <c r="Z46" s="94" t="n"/>
    </row>
    <row r="47" ht="20" customHeight="1" s="90">
      <c r="A47" s="357" t="inlineStr">
        <is>
          <t>Equipment &amp; Staffing Tax</t>
        </is>
      </c>
      <c r="B47" s="327" t="n"/>
      <c r="C47" s="327" t="n"/>
      <c r="D47" s="358">
        <f>IFERROR(D28*F28+D29*F29+D30*F30+D31*F31,0)</f>
        <v/>
      </c>
      <c r="E47" s="358">
        <f>IFERROR(E28*F28+E29*F29+E30*F30+E31*F31,0)</f>
        <v/>
      </c>
      <c r="F47" s="327" t="n"/>
      <c r="G47" s="327" t="n"/>
      <c r="H47" s="253" t="n"/>
      <c r="I47" s="253" t="n"/>
      <c r="J47" s="253" t="n"/>
      <c r="K47" s="253" t="n"/>
      <c r="L47" s="94" t="n"/>
      <c r="M47" s="94" t="n"/>
      <c r="N47" s="94" t="n"/>
      <c r="O47" s="94" t="n"/>
      <c r="P47" s="94" t="n"/>
      <c r="Q47" s="94" t="n"/>
      <c r="R47" s="94" t="n"/>
      <c r="S47" s="94" t="n"/>
      <c r="T47" s="94" t="n"/>
      <c r="U47" s="94" t="n"/>
      <c r="V47" s="94" t="n"/>
      <c r="W47" s="94" t="n"/>
      <c r="X47" s="94" t="n"/>
      <c r="Y47" s="94" t="n"/>
      <c r="Z47" s="94" t="n"/>
    </row>
    <row r="48" ht="20" customHeight="1" s="90">
      <c r="A48" s="357" t="inlineStr">
        <is>
          <t>QC Staffing Subtotal</t>
        </is>
      </c>
      <c r="B48" s="327" t="n"/>
      <c r="C48" s="327" t="n"/>
      <c r="D48" s="358">
        <f>SUM(D38:D40)</f>
        <v/>
      </c>
      <c r="E48" s="358">
        <f>SUM(E38:E40)</f>
        <v/>
      </c>
      <c r="F48" s="327" t="n"/>
      <c r="G48" s="327" t="n"/>
      <c r="H48" s="253" t="n"/>
      <c r="I48" s="253" t="n"/>
      <c r="J48" s="253" t="n"/>
      <c r="K48" s="253" t="n"/>
      <c r="L48" s="94" t="n"/>
      <c r="M48" s="94" t="n"/>
      <c r="N48" s="94" t="n"/>
      <c r="O48" s="94" t="n"/>
      <c r="P48" s="94" t="n"/>
      <c r="Q48" s="94" t="n"/>
      <c r="R48" s="94" t="n"/>
      <c r="S48" s="94" t="n"/>
      <c r="T48" s="94" t="n"/>
      <c r="U48" s="94" t="n"/>
      <c r="V48" s="94" t="n"/>
      <c r="W48" s="94" t="n"/>
      <c r="X48" s="94" t="n"/>
      <c r="Y48" s="94" t="n"/>
      <c r="Z48" s="94" t="n"/>
    </row>
    <row r="49" ht="20" customHeight="1" s="90">
      <c r="A49" s="357" t="inlineStr">
        <is>
          <t>Venue Fees Subtotal</t>
        </is>
      </c>
      <c r="B49" s="327" t="n"/>
      <c r="C49" s="327" t="n"/>
      <c r="D49" s="358">
        <f>SUM(D33:D35)</f>
        <v/>
      </c>
      <c r="E49" s="358">
        <f>SUM(E33:E35)</f>
        <v/>
      </c>
      <c r="F49" s="327" t="n"/>
      <c r="G49" s="327" t="n"/>
      <c r="H49" s="253" t="n"/>
      <c r="I49" s="253" t="n"/>
      <c r="J49" s="253" t="n"/>
      <c r="K49" s="253" t="n"/>
      <c r="L49" s="94" t="n"/>
      <c r="M49" s="94" t="n"/>
      <c r="N49" s="94" t="n"/>
      <c r="O49" s="94" t="n"/>
      <c r="P49" s="94" t="n"/>
      <c r="Q49" s="94" t="n"/>
      <c r="R49" s="94" t="n"/>
      <c r="S49" s="94" t="n"/>
      <c r="T49" s="94" t="n"/>
      <c r="U49" s="94" t="n"/>
      <c r="V49" s="94" t="n"/>
      <c r="W49" s="94" t="n"/>
      <c r="X49" s="94" t="n"/>
      <c r="Y49" s="94" t="n"/>
      <c r="Z49" s="94" t="n"/>
    </row>
    <row r="50" ht="20" customHeight="1" s="90">
      <c r="A50" s="357" t="inlineStr">
        <is>
          <t>Venue Tax</t>
        </is>
      </c>
      <c r="B50" s="327" t="n"/>
      <c r="C50" s="327" t="n"/>
      <c r="D50" s="358">
        <f>IFERROR(D49*F33,0)</f>
        <v/>
      </c>
      <c r="E50" s="358">
        <f>IFERROR(E49*F33,0)</f>
        <v/>
      </c>
      <c r="F50" s="327" t="n"/>
      <c r="G50" s="327" t="n"/>
      <c r="H50" s="253" t="n"/>
      <c r="I50" s="253" t="n"/>
      <c r="J50" s="253" t="n"/>
      <c r="K50" s="253" t="n"/>
      <c r="L50" s="94" t="n"/>
      <c r="M50" s="94" t="n"/>
      <c r="N50" s="94" t="n"/>
      <c r="O50" s="94" t="n"/>
      <c r="P50" s="94" t="n"/>
      <c r="Q50" s="94" t="n"/>
      <c r="R50" s="94" t="n"/>
      <c r="S50" s="94" t="n"/>
      <c r="T50" s="94" t="n"/>
      <c r="U50" s="94" t="n"/>
      <c r="V50" s="94" t="n"/>
      <c r="W50" s="94" t="n"/>
      <c r="X50" s="94" t="n"/>
      <c r="Y50" s="94" t="n"/>
      <c r="Z50" s="94" t="n"/>
    </row>
    <row r="51" ht="20" customHeight="1" s="90">
      <c r="A51" s="357" t="inlineStr">
        <is>
          <t>Service Charge</t>
        </is>
      </c>
      <c r="B51" s="327" t="n"/>
      <c r="C51" s="327" t="n"/>
      <c r="D51" s="358">
        <f>D43*IF(OR(C17="None",C17="",C17=0),0,IF(ISNUMBER(C17),C17,IFERROR(VALUE(SUBSTITUTE(C17,"%",""))/100,0)))</f>
        <v/>
      </c>
      <c r="E51" s="358">
        <f>E43*IF(OR(C17="None",C17="",C17=0),0,IF(ISNUMBER(C17),C17,IFERROR(VALUE(SUBSTITUTE(C17,"%",""))/100,0)))</f>
        <v/>
      </c>
      <c r="F51" s="327" t="n"/>
      <c r="G51" s="327" t="n"/>
      <c r="H51" s="253" t="n"/>
      <c r="I51" s="253" t="n"/>
      <c r="J51" s="253" t="n"/>
      <c r="K51" s="253" t="n"/>
      <c r="L51" s="94" t="n"/>
      <c r="M51" s="94" t="n"/>
      <c r="N51" s="94" t="n"/>
      <c r="O51" s="94" t="n"/>
      <c r="P51" s="94" t="n"/>
      <c r="Q51" s="94" t="n"/>
      <c r="R51" s="94" t="n"/>
      <c r="S51" s="94" t="n"/>
      <c r="T51" s="94" t="n"/>
      <c r="U51" s="94" t="n"/>
      <c r="V51" s="94" t="n"/>
      <c r="W51" s="94" t="n"/>
      <c r="X51" s="94" t="n"/>
      <c r="Y51" s="94" t="n"/>
      <c r="Z51" s="94" t="n"/>
    </row>
    <row r="52" ht="20" customHeight="1" s="90">
      <c r="A52" s="357" t="inlineStr">
        <is>
          <t>Gratuity</t>
        </is>
      </c>
      <c r="B52" s="327" t="n"/>
      <c r="C52" s="327" t="n"/>
      <c r="D52" s="358">
        <f>D43*IF(OR(C18="None",C18="",C18=0),0,IF(ISNUMBER(C18),C18,IFERROR(VALUE(SUBSTITUTE(C18,"%",""))/100,0)))</f>
        <v/>
      </c>
      <c r="E52" s="358">
        <f>E43*IF(OR(C18="None",C18="",C18=0),0,IF(ISNUMBER(C18),C18,IFERROR(VALUE(SUBSTITUTE(C18,"%",""))/100,0)))</f>
        <v/>
      </c>
      <c r="F52" s="327" t="n"/>
      <c r="G52" s="327" t="n"/>
      <c r="H52" s="253" t="n"/>
      <c r="I52" s="253" t="n"/>
      <c r="J52" s="253" t="n"/>
      <c r="K52" s="253" t="n"/>
      <c r="L52" s="94" t="n"/>
      <c r="M52" s="94" t="n"/>
      <c r="N52" s="94" t="n"/>
      <c r="O52" s="94" t="n"/>
      <c r="P52" s="94" t="n"/>
      <c r="Q52" s="94" t="n"/>
      <c r="R52" s="94" t="n"/>
      <c r="S52" s="94" t="n"/>
      <c r="T52" s="94" t="n"/>
      <c r="U52" s="94" t="n"/>
      <c r="V52" s="94" t="n"/>
      <c r="W52" s="94" t="n"/>
      <c r="X52" s="94" t="n"/>
      <c r="Y52" s="94" t="n"/>
      <c r="Z52" s="94" t="n"/>
    </row>
    <row r="53" ht="20" customHeight="1" s="90">
      <c r="A53" s="357" t="inlineStr">
        <is>
          <t>Admin Fee</t>
        </is>
      </c>
      <c r="B53" s="327" t="n"/>
      <c r="C53" s="327" t="n"/>
      <c r="D53" s="358">
        <f>D43*IF(OR(C19="None",C19="",C19=0),0,IF(ISNUMBER(C19),C19,IFERROR(VALUE(SUBSTITUTE(C19,"%",""))/100,0)))</f>
        <v/>
      </c>
      <c r="E53" s="358">
        <f>E43*IF(OR(C19="None",C19="",C19=0),0,IF(ISNUMBER(C19),C19,IFERROR(VALUE(SUBSTITUTE(C19,"%",""))/100,0)))</f>
        <v/>
      </c>
      <c r="F53" s="327" t="n"/>
      <c r="G53" s="327" t="n"/>
      <c r="H53" s="253" t="n"/>
      <c r="I53" s="253" t="n"/>
      <c r="J53" s="253" t="n"/>
      <c r="K53" s="253" t="n"/>
      <c r="L53" s="94" t="n"/>
      <c r="M53" s="94" t="n"/>
      <c r="N53" s="94" t="n"/>
      <c r="O53" s="94" t="n"/>
      <c r="P53" s="94" t="n"/>
      <c r="Q53" s="94" t="n"/>
      <c r="R53" s="94" t="n"/>
      <c r="S53" s="94" t="n"/>
      <c r="T53" s="94" t="n"/>
      <c r="U53" s="94" t="n"/>
      <c r="V53" s="94" t="n"/>
      <c r="W53" s="94" t="n"/>
      <c r="X53" s="94" t="n"/>
      <c r="Y53" s="94" t="n"/>
      <c r="Z53" s="94" t="n"/>
    </row>
    <row r="54" ht="22" customHeight="1" s="90">
      <c r="A54" s="359" t="inlineStr">
        <is>
          <t>SUBTOTAL</t>
        </is>
      </c>
      <c r="B54" s="360" t="n"/>
      <c r="C54" s="360" t="n"/>
      <c r="D54" s="361">
        <f>SUM(D43:D53)</f>
        <v/>
      </c>
      <c r="E54" s="361">
        <f>SUM(E43:E53)</f>
        <v/>
      </c>
      <c r="F54" s="362" t="n"/>
      <c r="G54" s="362" t="n"/>
      <c r="H54" s="253" t="n"/>
      <c r="I54" s="253" t="n"/>
      <c r="J54" s="253" t="n"/>
      <c r="K54" s="253" t="n"/>
      <c r="L54" s="94" t="n"/>
      <c r="M54" s="94" t="n"/>
      <c r="N54" s="94" t="n"/>
      <c r="O54" s="94" t="n"/>
      <c r="P54" s="94" t="n"/>
      <c r="Q54" s="94" t="n"/>
      <c r="R54" s="94" t="n"/>
      <c r="S54" s="94" t="n"/>
      <c r="T54" s="94" t="n"/>
      <c r="U54" s="94" t="n"/>
      <c r="V54" s="94" t="n"/>
      <c r="W54" s="94" t="n"/>
      <c r="X54" s="94" t="n"/>
      <c r="Y54" s="94" t="n"/>
      <c r="Z54" s="94" t="n"/>
    </row>
    <row r="55" ht="20" customHeight="1" s="90">
      <c r="A55" s="357" t="inlineStr">
        <is>
          <t>CC Processing Fee</t>
        </is>
      </c>
      <c r="B55" s="327" t="n"/>
      <c r="C55" s="327" t="n"/>
      <c r="D55" s="358">
        <f>E55</f>
        <v/>
      </c>
      <c r="E55" s="358">
        <f>IFERROR(E54*'Client Setup - Blank'!B35,0)</f>
        <v/>
      </c>
      <c r="F55" s="327" t="n"/>
      <c r="G55" s="327" t="n"/>
      <c r="H55" s="253" t="n"/>
      <c r="I55" s="253" t="n"/>
      <c r="J55" s="253" t="n"/>
      <c r="K55" s="253" t="n"/>
      <c r="L55" s="94" t="n"/>
      <c r="M55" s="94" t="n"/>
      <c r="N55" s="94" t="n"/>
      <c r="O55" s="94" t="n"/>
      <c r="P55" s="94" t="n"/>
      <c r="Q55" s="94" t="n"/>
      <c r="R55" s="94" t="n"/>
      <c r="S55" s="94" t="n"/>
      <c r="T55" s="94" t="n"/>
      <c r="U55" s="94" t="n"/>
      <c r="V55" s="94" t="n"/>
      <c r="W55" s="94" t="n"/>
      <c r="X55" s="94" t="n"/>
      <c r="Y55" s="94" t="n"/>
      <c r="Z55" s="94" t="n"/>
    </row>
    <row r="56" ht="20" customHeight="1" s="90">
      <c r="A56" s="357" t="inlineStr">
        <is>
          <t>Third-Party Commission</t>
        </is>
      </c>
      <c r="B56" s="327" t="n"/>
      <c r="C56" s="327" t="n"/>
      <c r="D56" s="358">
        <f>E56</f>
        <v/>
      </c>
      <c r="E56" s="358">
        <f>IFERROR((E43+E46+E48+E49+E51+E52+E53)*'Client Setup - Blank'!B36,0)</f>
        <v/>
      </c>
      <c r="F56" s="327" t="n"/>
      <c r="G56" s="327" t="n"/>
      <c r="H56" s="253" t="n"/>
      <c r="I56" s="253" t="n"/>
      <c r="J56" s="253" t="n"/>
      <c r="K56" s="253" t="n"/>
      <c r="L56" s="94" t="n"/>
      <c r="M56" s="94" t="n"/>
      <c r="N56" s="94" t="n"/>
      <c r="O56" s="94" t="n"/>
      <c r="P56" s="94" t="n"/>
      <c r="Q56" s="94" t="n"/>
      <c r="R56" s="94" t="n"/>
      <c r="S56" s="94" t="n"/>
      <c r="T56" s="94" t="n"/>
      <c r="U56" s="94" t="n"/>
      <c r="V56" s="94" t="n"/>
      <c r="W56" s="94" t="n"/>
      <c r="X56" s="94" t="n"/>
      <c r="Y56" s="94" t="n"/>
      <c r="Z56" s="94" t="n"/>
    </row>
    <row r="57" ht="25" customHeight="1" s="90">
      <c r="A57" s="363" t="inlineStr">
        <is>
          <t>TOTAL ESTIMATE</t>
        </is>
      </c>
      <c r="B57" s="364" t="n"/>
      <c r="C57" s="364" t="n"/>
      <c r="D57" s="365">
        <f>D54+D55+D56</f>
        <v/>
      </c>
      <c r="E57" s="365">
        <f>E54+E55+E56</f>
        <v/>
      </c>
      <c r="F57" s="366" t="n"/>
      <c r="G57" s="366" t="n"/>
      <c r="H57" s="253" t="n"/>
      <c r="I57" s="253" t="n"/>
      <c r="J57" s="253" t="n"/>
      <c r="K57" s="253" t="n"/>
      <c r="L57" s="94" t="n"/>
      <c r="M57" s="94" t="n"/>
      <c r="N57" s="94" t="n"/>
      <c r="O57" s="94" t="n"/>
      <c r="P57" s="94" t="n"/>
      <c r="Q57" s="94" t="n"/>
      <c r="R57" s="94" t="n"/>
      <c r="S57" s="94" t="n"/>
      <c r="T57" s="94" t="n"/>
      <c r="U57" s="94" t="n"/>
      <c r="V57" s="94" t="n"/>
      <c r="W57" s="94" t="n"/>
      <c r="X57" s="94" t="n"/>
      <c r="Y57" s="94" t="n"/>
      <c r="Z57" s="94" t="n"/>
    </row>
    <row r="58" ht="27.75" customHeight="1" s="90">
      <c r="A58" s="306" t="n"/>
      <c r="B58" s="306" t="n"/>
      <c r="C58" s="306" t="n"/>
      <c r="D58" s="306" t="n"/>
      <c r="E58" s="306" t="n"/>
      <c r="F58" s="306" t="n"/>
      <c r="G58" s="306" t="n"/>
      <c r="H58" s="253" t="n"/>
      <c r="I58" s="253" t="n"/>
      <c r="J58" s="253" t="n"/>
      <c r="K58" s="253" t="n"/>
      <c r="L58" s="94" t="n"/>
      <c r="M58" s="94" t="n"/>
      <c r="N58" s="94" t="n"/>
      <c r="O58" s="94" t="n"/>
      <c r="P58" s="94" t="n"/>
      <c r="Q58" s="94" t="n"/>
      <c r="R58" s="94" t="n"/>
      <c r="S58" s="94" t="n"/>
      <c r="T58" s="94" t="n"/>
      <c r="U58" s="94" t="n"/>
      <c r="V58" s="94" t="n"/>
      <c r="W58" s="94" t="n"/>
      <c r="X58" s="94" t="n"/>
      <c r="Y58" s="94" t="n"/>
      <c r="Z58" s="94" t="n"/>
    </row>
    <row r="59" ht="27" customHeight="1" s="90">
      <c r="A59" s="254" t="inlineStr">
        <is>
          <t>CLIENT PRICING</t>
        </is>
      </c>
      <c r="B59" s="269" t="n"/>
      <c r="C59" s="269" t="n"/>
      <c r="D59" s="269" t="n"/>
      <c r="E59" s="269" t="n"/>
      <c r="F59" s="269" t="n"/>
      <c r="G59" s="269" t="n"/>
      <c r="H59" s="257" t="n"/>
      <c r="I59" s="257" t="n"/>
      <c r="J59" s="257" t="n"/>
      <c r="K59" s="257" t="n"/>
      <c r="L59" s="94" t="n"/>
      <c r="M59" s="94" t="n"/>
      <c r="N59" s="94" t="n"/>
      <c r="O59" s="94" t="n"/>
      <c r="P59" s="94" t="n"/>
      <c r="Q59" s="94" t="n"/>
      <c r="R59" s="94" t="n"/>
      <c r="S59" s="94" t="n"/>
      <c r="T59" s="94" t="n"/>
      <c r="U59" s="94" t="n"/>
      <c r="V59" s="94" t="n"/>
      <c r="W59" s="94" t="n"/>
      <c r="X59" s="94" t="n"/>
      <c r="Y59" s="94" t="n"/>
      <c r="Z59" s="94" t="n"/>
    </row>
    <row r="60" ht="20" customHeight="1" s="90">
      <c r="A60" s="367" t="inlineStr">
        <is>
          <t>Price Per Person</t>
        </is>
      </c>
      <c r="B60" s="368">
        <f>IF('Client Setup - Blank'!B7&gt;0,CEILING(E57/'Client Setup - Blank'!B7,1),0)</f>
        <v/>
      </c>
      <c r="C60" s="340" t="n"/>
      <c r="D60" s="340" t="n"/>
      <c r="E60" s="340" t="n"/>
      <c r="F60" s="340" t="n"/>
      <c r="G60" s="340" t="n"/>
      <c r="H60" s="253" t="n"/>
      <c r="I60" s="253" t="n"/>
      <c r="J60" s="253" t="n"/>
      <c r="K60" s="253" t="n"/>
      <c r="L60" s="94" t="n"/>
      <c r="M60" s="94" t="n"/>
      <c r="N60" s="94" t="n"/>
      <c r="O60" s="94" t="n"/>
      <c r="P60" s="94" t="n"/>
      <c r="Q60" s="94" t="n"/>
      <c r="R60" s="94" t="n"/>
      <c r="S60" s="94" t="n"/>
      <c r="T60" s="94" t="n"/>
      <c r="U60" s="94" t="n"/>
      <c r="V60" s="94" t="n"/>
      <c r="W60" s="94" t="n"/>
      <c r="X60" s="94" t="n"/>
      <c r="Y60" s="94" t="n"/>
      <c r="Z60" s="94" t="n"/>
    </row>
    <row r="61" ht="20" customHeight="1" s="90">
      <c r="A61" s="367" t="inlineStr">
        <is>
          <t>Total Estimated Client Cost</t>
        </is>
      </c>
      <c r="B61" s="369">
        <f>IF('Client Setup - Blank'!B7&gt;0,B60*'Client Setup - Blank'!B7,0)</f>
        <v/>
      </c>
      <c r="C61" s="340" t="n"/>
      <c r="D61" s="340" t="n"/>
      <c r="E61" s="340" t="n"/>
      <c r="F61" s="340" t="n"/>
      <c r="G61" s="340" t="n"/>
      <c r="H61" s="253" t="n"/>
      <c r="I61" s="253" t="n"/>
      <c r="J61" s="253" t="n"/>
      <c r="K61" s="253" t="n"/>
      <c r="L61" s="94" t="n"/>
      <c r="M61" s="94" t="n"/>
      <c r="N61" s="94" t="n"/>
      <c r="O61" s="94" t="n"/>
      <c r="P61" s="94" t="n"/>
      <c r="Q61" s="94" t="n"/>
      <c r="R61" s="94" t="n"/>
      <c r="S61" s="94" t="n"/>
      <c r="T61" s="94" t="n"/>
      <c r="U61" s="94" t="n"/>
      <c r="V61" s="94" t="n"/>
      <c r="W61" s="94" t="n"/>
      <c r="X61" s="94" t="n"/>
      <c r="Y61" s="94" t="n"/>
      <c r="Z61" s="94" t="n"/>
    </row>
    <row r="62" ht="20" customHeight="1" s="90">
      <c r="A62" s="367" t="inlineStr">
        <is>
          <t>F&amp;B Minimum Status:</t>
        </is>
      </c>
      <c r="B62" s="370">
        <f>IF(B7=0,"No F&amp;B Minimum Set",IF(D43&gt;=B7,"✓ F&amp;B MINIMUM MET","✗ NOT MET — Shortfall: "&amp;TEXT(B7-D43,"$#,##0")))</f>
        <v/>
      </c>
      <c r="C62" s="280" t="n"/>
      <c r="D62" s="280" t="n"/>
      <c r="E62" s="280" t="n"/>
      <c r="F62" s="280" t="n"/>
      <c r="G62" s="280" t="n"/>
      <c r="H62" s="253" t="n"/>
      <c r="I62" s="253" t="n"/>
      <c r="J62" s="253" t="n"/>
      <c r="K62" s="253" t="n"/>
      <c r="L62" s="94" t="n"/>
      <c r="M62" s="94" t="n"/>
      <c r="N62" s="94" t="n"/>
      <c r="O62" s="94" t="n"/>
      <c r="P62" s="94" t="n"/>
      <c r="Q62" s="94" t="n"/>
      <c r="R62" s="94" t="n"/>
      <c r="S62" s="94" t="n"/>
      <c r="T62" s="94" t="n"/>
      <c r="U62" s="94" t="n"/>
      <c r="V62" s="94" t="n"/>
      <c r="W62" s="94" t="n"/>
      <c r="X62" s="94" t="n"/>
      <c r="Y62" s="94" t="n"/>
      <c r="Z62" s="94" t="n"/>
    </row>
    <row r="63" ht="25.5" customHeight="1" s="90">
      <c r="A63" s="306" t="n"/>
      <c r="B63" s="306" t="n"/>
      <c r="C63" s="306" t="n"/>
      <c r="D63" s="306" t="n"/>
      <c r="E63" s="306" t="n"/>
      <c r="F63" s="306" t="n"/>
      <c r="G63" s="306" t="n"/>
      <c r="H63" s="253" t="n"/>
      <c r="I63" s="253" t="n"/>
      <c r="J63" s="253" t="n"/>
      <c r="K63" s="253" t="n"/>
      <c r="L63" s="94" t="n"/>
      <c r="M63" s="94" t="n"/>
      <c r="N63" s="94" t="n"/>
      <c r="O63" s="94" t="n"/>
      <c r="P63" s="94" t="n"/>
      <c r="Q63" s="94" t="n"/>
      <c r="R63" s="94" t="n"/>
      <c r="S63" s="94" t="n"/>
      <c r="T63" s="94" t="n"/>
      <c r="U63" s="94" t="n"/>
      <c r="V63" s="94" t="n"/>
      <c r="W63" s="94" t="n"/>
      <c r="X63" s="94" t="n"/>
      <c r="Y63" s="94" t="n"/>
      <c r="Z63" s="94" t="n"/>
    </row>
    <row r="64" ht="25.5" customHeight="1" s="90">
      <c r="A64" s="280" t="n"/>
      <c r="B64" s="280" t="n"/>
      <c r="C64" s="280" t="n"/>
      <c r="D64" s="280" t="n"/>
      <c r="E64" s="280" t="n"/>
      <c r="F64" s="280" t="n"/>
      <c r="G64" s="280" t="n"/>
      <c r="H64" s="280" t="n"/>
      <c r="I64" s="280" t="n"/>
      <c r="J64" s="280" t="n"/>
      <c r="K64" s="280" t="n"/>
    </row>
    <row r="65" ht="27" customHeight="1" s="90">
      <c r="A65" s="269" t="inlineStr">
        <is>
          <t>QC TRAVEL EXPENSES</t>
        </is>
      </c>
      <c r="B65" s="269" t="n"/>
      <c r="C65" s="269" t="n"/>
      <c r="D65" s="269" t="n"/>
      <c r="E65" s="269" t="n"/>
      <c r="F65" s="269" t="n"/>
      <c r="G65" s="269" t="n"/>
      <c r="H65" s="269" t="n"/>
      <c r="I65" s="269" t="n"/>
      <c r="J65" s="269" t="n"/>
      <c r="K65" s="269" t="n"/>
    </row>
    <row r="66" ht="22" customHeight="1" s="90">
      <c r="A66" s="371" t="inlineStr"/>
      <c r="B66" s="372" t="n"/>
      <c r="C66" s="372" t="n"/>
      <c r="D66" s="372" t="n"/>
      <c r="E66" s="280" t="n"/>
      <c r="F66" s="280" t="n"/>
      <c r="G66" s="280" t="n"/>
      <c r="H66" s="280" t="n"/>
      <c r="I66" s="280" t="n"/>
      <c r="J66" s="280" t="n"/>
      <c r="K66" s="280" t="n"/>
    </row>
    <row r="67" ht="20" customHeight="1" s="90">
      <c r="A67" s="357" t="inlineStr">
        <is>
          <t>Trip Label</t>
        </is>
      </c>
      <c r="B67" s="373" t="n"/>
      <c r="C67" s="373" t="n"/>
      <c r="D67" s="373" t="n"/>
      <c r="E67" s="280" t="n"/>
      <c r="F67" s="280" t="n"/>
      <c r="G67" s="280" t="n"/>
      <c r="H67" s="280" t="n"/>
      <c r="I67" s="280" t="n"/>
      <c r="J67" s="280" t="n"/>
      <c r="K67" s="280" t="n"/>
    </row>
    <row r="68" ht="20" customHeight="1" s="90">
      <c r="A68" s="285" t="inlineStr">
        <is>
          <t>Destination</t>
        </is>
      </c>
      <c r="B68" s="259" t="n"/>
      <c r="C68" s="259" t="n"/>
      <c r="D68" s="259" t="n"/>
      <c r="E68" s="280" t="n"/>
      <c r="F68" s="280" t="n"/>
      <c r="G68" s="280" t="n"/>
      <c r="H68" s="280" t="n"/>
      <c r="I68" s="280" t="n"/>
      <c r="J68" s="280" t="n"/>
      <c r="K68" s="280" t="n"/>
    </row>
    <row r="69" ht="20" customHeight="1" s="90">
      <c r="A69" s="357" t="inlineStr">
        <is>
          <t>Travel Type</t>
        </is>
      </c>
      <c r="B69" s="373">
        <f>IF(B68&lt;&gt;"",VLOOKUP(B68,'Client Setup - Blank'!$A$54:$F$63,2,FALSE),"")</f>
        <v/>
      </c>
      <c r="C69" s="373">
        <f>IF(C68&lt;&gt;"",VLOOKUP(C68,'Client Setup - Blank'!$A$54:$F$63,2,FALSE),"")</f>
        <v/>
      </c>
      <c r="D69" s="373">
        <f>IF(D68&lt;&gt;"",VLOOKUP(D68,'Client Setup - Blank'!$A$54:$F$63,2,FALSE),"")</f>
        <v/>
      </c>
      <c r="E69" s="280" t="n"/>
      <c r="F69" s="280" t="n"/>
      <c r="G69" s="280" t="n"/>
      <c r="H69" s="280" t="n"/>
      <c r="I69" s="280" t="n"/>
      <c r="J69" s="280" t="n"/>
      <c r="K69" s="280" t="n"/>
    </row>
    <row r="70" ht="20" customHeight="1" s="90">
      <c r="A70" s="285" t="inlineStr">
        <is>
          <t>Staff Traveling</t>
        </is>
      </c>
      <c r="B70" s="259" t="n"/>
      <c r="C70" s="259" t="n"/>
      <c r="D70" s="259" t="n"/>
      <c r="E70" s="280" t="n"/>
      <c r="F70" s="280" t="n"/>
      <c r="G70" s="280" t="n"/>
      <c r="H70" s="280" t="n"/>
      <c r="I70" s="280" t="n"/>
      <c r="J70" s="280" t="n"/>
      <c r="K70" s="280" t="n"/>
    </row>
    <row r="71" ht="20" customHeight="1" s="90">
      <c r="A71" s="357" t="inlineStr">
        <is>
          <t>Nights</t>
        </is>
      </c>
      <c r="B71" s="373" t="n"/>
      <c r="C71" s="373" t="n"/>
      <c r="D71" s="373" t="n"/>
      <c r="E71" s="280" t="n"/>
      <c r="F71" s="280" t="n"/>
      <c r="G71" s="280" t="n"/>
      <c r="H71" s="280" t="n"/>
      <c r="I71" s="280" t="n"/>
      <c r="J71" s="280" t="n"/>
      <c r="K71" s="280" t="n"/>
    </row>
    <row r="72" ht="20" customHeight="1" s="90">
      <c r="A72" s="285" t="inlineStr">
        <is>
          <t>On-Site Vehicle</t>
        </is>
      </c>
      <c r="B72" s="259" t="n"/>
      <c r="C72" s="259" t="n"/>
      <c r="D72" s="259" t="n"/>
      <c r="E72" s="280" t="n"/>
      <c r="F72" s="280" t="n"/>
      <c r="G72" s="280" t="n"/>
      <c r="H72" s="280" t="n"/>
      <c r="I72" s="280" t="n"/>
      <c r="J72" s="280" t="n"/>
      <c r="K72" s="280" t="n"/>
    </row>
    <row r="73" ht="20" customHeight="1" s="90">
      <c r="A73" s="357" t="inlineStr">
        <is>
          <t>Custom Vehicle Cost</t>
        </is>
      </c>
      <c r="B73" s="374" t="n"/>
      <c r="C73" s="374" t="n"/>
      <c r="D73" s="374" t="n"/>
      <c r="E73" s="280" t="n"/>
      <c r="F73" s="280" t="n"/>
      <c r="G73" s="280" t="n"/>
      <c r="H73" s="280" t="n"/>
      <c r="I73" s="280" t="n"/>
      <c r="J73" s="280" t="n"/>
      <c r="K73" s="280" t="n"/>
    </row>
    <row r="74" ht="20" customHeight="1" s="90">
      <c r="A74" s="375" t="n"/>
      <c r="B74" s="260" t="n"/>
      <c r="C74" s="260" t="n"/>
      <c r="D74" s="260" t="n"/>
      <c r="E74" s="280" t="n"/>
      <c r="F74" s="280" t="n"/>
      <c r="G74" s="280" t="n"/>
      <c r="H74" s="280" t="n"/>
      <c r="I74" s="280" t="n"/>
      <c r="J74" s="280" t="n"/>
      <c r="K74" s="280" t="n"/>
    </row>
    <row r="75" ht="20" customHeight="1" s="90">
      <c r="A75" s="357" t="inlineStr">
        <is>
          <t>Travel Cost</t>
        </is>
      </c>
      <c r="B75" s="374">
        <f>IF(OR(B68="",B70=""),0,IF(B69="Flight",VLOOKUP(B68,'Client Setup - Blank'!$A$54:$F$63,4,FALSE)*B70,IF(B69="Drive",VLOOKUP(B68,'Client Setup - Blank'!$A$54:$F$63,3,FALSE),0)))</f>
        <v/>
      </c>
      <c r="C75" s="374">
        <f>IF(OR(C68="",C70=""),0,IF(C69="Flight",VLOOKUP(C68,'Client Setup - Blank'!$A$54:$F$63,4,FALSE)*C70,IF(C69="Drive",VLOOKUP(C68,'Client Setup - Blank'!$A$54:$F$63,3,FALSE),0)))</f>
        <v/>
      </c>
      <c r="D75" s="374">
        <f>IF(OR(D68="",D70=""),0,IF(D69="Flight",VLOOKUP(D68,'Client Setup - Blank'!$A$54:$F$63,4,FALSE)*D70,IF(D69="Drive",VLOOKUP(D68,'Client Setup - Blank'!$A$54:$F$63,3,FALSE),0)))</f>
        <v/>
      </c>
      <c r="E75" s="280" t="n"/>
      <c r="F75" s="280" t="n"/>
      <c r="G75" s="280" t="n"/>
      <c r="H75" s="280" t="n"/>
      <c r="I75" s="280" t="n"/>
      <c r="J75" s="280" t="n"/>
      <c r="K75" s="280" t="n"/>
    </row>
    <row r="76" ht="20" customHeight="1" s="90">
      <c r="A76" s="285" t="inlineStr">
        <is>
          <t>Hotel Cost</t>
        </is>
      </c>
      <c r="B76" s="376">
        <f>IF(OR(B68="",B70="",B71=""),0,VLOOKUP(B68,'Client Setup - Blank'!$A$54:$F$63,5,FALSE)*B71*B70)</f>
        <v/>
      </c>
      <c r="C76" s="376">
        <f>IF(OR(C68="",C70="",C71=""),0,VLOOKUP(C68,'Client Setup - Blank'!$A$54:$F$63,5,FALSE)*C71*C70)</f>
        <v/>
      </c>
      <c r="D76" s="376">
        <f>IF(OR(D68="",D70="",D71=""),0,VLOOKUP(D68,'Client Setup - Blank'!$A$54:$F$63,5,FALSE)*D71*D70)</f>
        <v/>
      </c>
      <c r="E76" s="280" t="n"/>
      <c r="F76" s="280" t="n"/>
      <c r="G76" s="280" t="n"/>
      <c r="H76" s="280" t="n"/>
      <c r="I76" s="280" t="n"/>
      <c r="J76" s="280" t="n"/>
      <c r="K76" s="280" t="n"/>
    </row>
    <row r="77" ht="20" customHeight="1" s="90">
      <c r="A77" s="357" t="inlineStr">
        <is>
          <t>Per Diem Cost</t>
        </is>
      </c>
      <c r="B77" s="374">
        <f>IF(OR(B68="",B70=""),0,VLOOKUP(B68,'Client Setup - Blank'!$A$54:$F$63,6,FALSE)*(B71+1)*B70)</f>
        <v/>
      </c>
      <c r="C77" s="374">
        <f>IF(OR(C68="",C70=""),0,VLOOKUP(C68,'Client Setup - Blank'!$A$54:$F$63,6,FALSE)*(C71+1)*C70)</f>
        <v/>
      </c>
      <c r="D77" s="374">
        <f>IF(OR(D68="",D70=""),0,VLOOKUP(D68,'Client Setup - Blank'!$A$54:$F$63,6,FALSE)*(D71+1)*D70)</f>
        <v/>
      </c>
      <c r="E77" s="280" t="n"/>
      <c r="F77" s="280" t="n"/>
      <c r="G77" s="280" t="n"/>
      <c r="H77" s="280" t="n"/>
      <c r="I77" s="280" t="n"/>
      <c r="J77" s="280" t="n"/>
      <c r="K77" s="280" t="n"/>
    </row>
    <row r="78" ht="20" customHeight="1" s="90">
      <c r="A78" s="285" t="inlineStr">
        <is>
          <t>Vehicle Cost</t>
        </is>
      </c>
      <c r="B78" s="376">
        <f>IF(OR(B72="",B72="None"),0,IF(B72="Custom",IF(ISNUMBER(B73),B73,0),IFERROR(VLOOKUP(B72,'Client Setup - Blank'!$A$67:$B$72,2,FALSE),0)))</f>
        <v/>
      </c>
      <c r="C78" s="376">
        <f>IF(OR(C72="",C72="None"),0,IF(C72="Custom",IF(ISNUMBER(C73),C73,0),IFERROR(VLOOKUP(C72,'Client Setup - Blank'!$A$67:$B$72,2,FALSE),0)))</f>
        <v/>
      </c>
      <c r="D78" s="376">
        <f>IF(OR(D72="",D72="None"),0,IF(D72="Custom",IF(ISNUMBER(D73),D73,0),IFERROR(VLOOKUP(D72,'Client Setup - Blank'!$A$67:$B$72,2,FALSE),0)))</f>
        <v/>
      </c>
      <c r="E78" s="280" t="n"/>
      <c r="F78" s="280" t="n"/>
      <c r="G78" s="280" t="n"/>
      <c r="H78" s="280" t="n"/>
      <c r="I78" s="280" t="n"/>
      <c r="J78" s="280" t="n"/>
      <c r="K78" s="280" t="n"/>
    </row>
    <row r="79" ht="20" customHeight="1" s="90">
      <c r="A79" s="357" t="inlineStr">
        <is>
          <t>Trip Total</t>
        </is>
      </c>
      <c r="B79" s="377">
        <f>B75+B76+B77+B78</f>
        <v/>
      </c>
      <c r="C79" s="377">
        <f>C75+C76+C77+C78</f>
        <v/>
      </c>
      <c r="D79" s="377">
        <f>D75+D76+D77+D78</f>
        <v/>
      </c>
      <c r="E79" s="280" t="n"/>
      <c r="F79" s="280" t="n"/>
      <c r="G79" s="280" t="n"/>
      <c r="H79" s="280" t="n"/>
      <c r="I79" s="280" t="n"/>
      <c r="J79" s="280" t="n"/>
      <c r="K79" s="280" t="n"/>
    </row>
    <row r="80" ht="20" customHeight="1" s="90">
      <c r="A80" s="375" t="n"/>
      <c r="B80" s="326" t="n"/>
      <c r="C80" s="326" t="n"/>
      <c r="D80" s="326" t="n"/>
      <c r="E80" s="280" t="n"/>
      <c r="F80" s="280" t="n"/>
      <c r="G80" s="280" t="n"/>
      <c r="H80" s="280" t="n"/>
      <c r="I80" s="280" t="n"/>
      <c r="J80" s="280" t="n"/>
      <c r="K80" s="280" t="n"/>
    </row>
    <row r="81" ht="22" customHeight="1" s="90">
      <c r="A81" s="359" t="inlineStr">
        <is>
          <t>Total Travel Expenses</t>
        </is>
      </c>
      <c r="B81" s="360" t="n"/>
      <c r="C81" s="360" t="n"/>
      <c r="D81" s="378">
        <f>B79+C79+D79</f>
        <v/>
      </c>
      <c r="E81" s="280" t="n"/>
      <c r="F81" s="280" t="n"/>
      <c r="G81" s="280" t="n"/>
      <c r="H81" s="280" t="n"/>
      <c r="I81" s="280" t="n"/>
      <c r="J81" s="280" t="n"/>
      <c r="K81" s="280" t="n"/>
    </row>
    <row r="82" ht="27" customHeight="1" s="90">
      <c r="A82" s="254" t="inlineStr">
        <is>
          <t>PROFIT &amp; MARGIN ANALYSIS</t>
        </is>
      </c>
      <c r="B82" s="269" t="n"/>
      <c r="C82" s="269" t="n"/>
      <c r="D82" s="269" t="n"/>
      <c r="E82" s="269" t="n"/>
      <c r="F82" s="269" t="n"/>
      <c r="G82" s="269" t="n"/>
      <c r="H82" s="257" t="n"/>
      <c r="I82" s="257" t="n"/>
      <c r="J82" s="257" t="n"/>
      <c r="K82" s="257" t="n"/>
      <c r="L82" s="94" t="n"/>
      <c r="M82" s="94" t="n"/>
      <c r="N82" s="94" t="n"/>
      <c r="O82" s="94" t="n"/>
      <c r="P82" s="94" t="n"/>
      <c r="Q82" s="94" t="n"/>
      <c r="R82" s="94" t="n"/>
      <c r="S82" s="94" t="n"/>
      <c r="T82" s="94" t="n"/>
      <c r="U82" s="94" t="n"/>
      <c r="V82" s="94" t="n"/>
      <c r="W82" s="94" t="n"/>
      <c r="X82" s="94" t="n"/>
      <c r="Y82" s="94" t="n"/>
      <c r="Z82" s="94" t="n"/>
    </row>
    <row r="83" ht="20" customHeight="1" s="90">
      <c r="A83" s="357" t="inlineStr">
        <is>
          <t>Third-Party Commission</t>
        </is>
      </c>
      <c r="B83" s="327" t="n"/>
      <c r="C83" s="379">
        <f>'Client Setup - Blank'!B36</f>
        <v/>
      </c>
      <c r="D83" s="377">
        <f>(E43+E46+E48+E49+E51+E52+E53)*C83</f>
        <v/>
      </c>
      <c r="E83" s="327" t="n"/>
      <c r="F83" s="340" t="n"/>
      <c r="G83" s="340" t="n"/>
      <c r="H83" s="253" t="n"/>
      <c r="I83" s="253" t="n"/>
      <c r="J83" s="253" t="n"/>
      <c r="K83" s="253" t="n"/>
      <c r="L83" s="94" t="n"/>
      <c r="M83" s="94" t="n"/>
      <c r="N83" s="94" t="n"/>
      <c r="O83" s="94" t="n"/>
      <c r="P83" s="94" t="n"/>
      <c r="Q83" s="94" t="n"/>
      <c r="R83" s="94" t="n"/>
      <c r="S83" s="94" t="n"/>
      <c r="T83" s="94" t="n"/>
      <c r="U83" s="94" t="n"/>
      <c r="V83" s="94" t="n"/>
      <c r="W83" s="94" t="n"/>
      <c r="X83" s="94" t="n"/>
      <c r="Y83" s="94" t="n"/>
      <c r="Z83" s="94" t="n"/>
    </row>
    <row r="84" ht="20" customHeight="1" s="90">
      <c r="A84" s="357" t="inlineStr">
        <is>
          <t>Global DMC Fee (6.5%)</t>
        </is>
      </c>
      <c r="B84" s="327" t="n"/>
      <c r="C84" s="380">
        <f>IF('Client Setup - Blank'!B37="Yes",0.065,0)</f>
        <v/>
      </c>
      <c r="D84" s="377">
        <f>IF('Client Setup - Blank'!B37="Yes",(E43+E46+E48+E49+E51+E52+E53)*0.065,0)</f>
        <v/>
      </c>
      <c r="E84" s="327" t="n"/>
      <c r="F84" s="340" t="n"/>
      <c r="G84" s="340" t="n"/>
      <c r="H84" s="253" t="n"/>
      <c r="I84" s="253" t="n"/>
      <c r="J84" s="253" t="n"/>
      <c r="K84" s="253" t="n"/>
      <c r="L84" s="94" t="n"/>
      <c r="M84" s="94" t="n"/>
      <c r="N84" s="94" t="n"/>
      <c r="O84" s="94" t="n"/>
      <c r="P84" s="94" t="n"/>
      <c r="Q84" s="94" t="n"/>
      <c r="R84" s="94" t="n"/>
      <c r="S84" s="94" t="n"/>
      <c r="T84" s="94" t="n"/>
      <c r="U84" s="94" t="n"/>
      <c r="V84" s="94" t="n"/>
      <c r="W84" s="94" t="n"/>
      <c r="X84" s="94" t="n"/>
      <c r="Y84" s="94" t="n"/>
      <c r="Z84" s="94" t="n"/>
    </row>
    <row r="85" ht="20" customHeight="1" s="90">
      <c r="A85" s="357" t="inlineStr">
        <is>
          <t>Total Vendor Costs (incl. CC fee)</t>
        </is>
      </c>
      <c r="B85" s="327" t="n"/>
      <c r="C85" s="327" t="n"/>
      <c r="D85" s="377">
        <f>D54+D55</f>
        <v/>
      </c>
      <c r="E85" s="327" t="n"/>
      <c r="F85" s="340" t="n"/>
      <c r="G85" s="340" t="n"/>
      <c r="H85" s="253" t="n"/>
      <c r="I85" s="253" t="n"/>
      <c r="J85" s="253" t="n"/>
      <c r="K85" s="253" t="n"/>
      <c r="L85" s="94" t="n"/>
      <c r="M85" s="94" t="n"/>
      <c r="N85" s="94" t="n"/>
      <c r="O85" s="94" t="n"/>
      <c r="P85" s="94" t="n"/>
      <c r="Q85" s="94" t="n"/>
      <c r="R85" s="94" t="n"/>
      <c r="S85" s="94" t="n"/>
      <c r="T85" s="94" t="n"/>
      <c r="U85" s="94" t="n"/>
      <c r="V85" s="94" t="n"/>
      <c r="W85" s="94" t="n"/>
      <c r="X85" s="94" t="n"/>
      <c r="Y85" s="94" t="n"/>
      <c r="Z85" s="94" t="n"/>
    </row>
    <row r="86" ht="20" customHeight="1" s="90">
      <c r="A86" s="357" t="inlineStr">
        <is>
          <t>QC Revenue</t>
        </is>
      </c>
      <c r="B86" s="327" t="n"/>
      <c r="C86" s="327" t="n"/>
      <c r="D86" s="377">
        <f>IFERROR(E57-D83-D84-D85,0)</f>
        <v/>
      </c>
      <c r="E86" s="327" t="n"/>
      <c r="F86" s="340" t="n"/>
      <c r="G86" s="340" t="n"/>
      <c r="H86" s="253" t="n"/>
      <c r="I86" s="253" t="n"/>
      <c r="J86" s="253" t="n"/>
      <c r="K86" s="253" t="n"/>
      <c r="L86" s="94" t="n"/>
      <c r="M86" s="94" t="n"/>
      <c r="N86" s="94" t="n"/>
      <c r="O86" s="94" t="n"/>
      <c r="P86" s="94" t="n"/>
      <c r="Q86" s="94" t="n"/>
      <c r="R86" s="94" t="n"/>
      <c r="S86" s="94" t="n"/>
      <c r="T86" s="94" t="n"/>
      <c r="U86" s="94" t="n"/>
      <c r="V86" s="94" t="n"/>
      <c r="W86" s="94" t="n"/>
      <c r="X86" s="94" t="n"/>
      <c r="Y86" s="94" t="n"/>
      <c r="Z86" s="94" t="n"/>
    </row>
    <row r="87" ht="20" customHeight="1" s="90">
      <c r="A87" s="357" t="inlineStr">
        <is>
          <t>QC Margin %</t>
        </is>
      </c>
      <c r="B87" s="327" t="n"/>
      <c r="C87" s="327" t="n"/>
      <c r="D87" s="381">
        <f>IFERROR(IF(E57&gt;0,D86/E57,0),0)</f>
        <v/>
      </c>
      <c r="E87" s="327" t="n"/>
      <c r="F87" s="382" t="n"/>
      <c r="G87" s="382" t="n"/>
      <c r="H87" s="253" t="n"/>
      <c r="I87" s="253" t="n"/>
      <c r="J87" s="253" t="n"/>
      <c r="K87" s="253" t="n"/>
      <c r="L87" s="94" t="n"/>
      <c r="M87" s="94" t="n"/>
      <c r="N87" s="94" t="n"/>
      <c r="O87" s="94" t="n"/>
      <c r="P87" s="94" t="n"/>
      <c r="Q87" s="94" t="n"/>
      <c r="R87" s="94" t="n"/>
      <c r="S87" s="94" t="n"/>
      <c r="T87" s="94" t="n"/>
      <c r="U87" s="94" t="n"/>
      <c r="V87" s="94" t="n"/>
      <c r="W87" s="94" t="n"/>
      <c r="X87" s="94" t="n"/>
      <c r="Y87" s="94" t="n"/>
      <c r="Z87" s="94" t="n"/>
    </row>
    <row r="88" ht="20" customHeight="1" s="90">
      <c r="A88" s="357" t="inlineStr">
        <is>
          <t>Margin Health</t>
        </is>
      </c>
      <c r="B88" s="327" t="n"/>
      <c r="C88" s="327" t="n"/>
      <c r="D88" s="383">
        <f>IF(D87&gt;=0.45,"✓ STRONG",IF(D87&gt;=0.35,"→ ON TARGET",IF(D87&gt;=0.25,"⚠ REVIEW","✗ BELOW FLOOR")))</f>
        <v/>
      </c>
      <c r="E88" s="327" t="n"/>
      <c r="F88" s="306" t="n"/>
      <c r="G88" s="306" t="n"/>
      <c r="H88" s="253" t="n"/>
      <c r="I88" s="253" t="n"/>
      <c r="J88" s="253" t="n"/>
      <c r="K88" s="253" t="n"/>
      <c r="L88" s="94" t="n"/>
      <c r="M88" s="94" t="n"/>
      <c r="N88" s="94" t="n"/>
      <c r="O88" s="94" t="n"/>
      <c r="P88" s="94" t="n"/>
      <c r="Q88" s="94" t="n"/>
      <c r="R88" s="94" t="n"/>
      <c r="S88" s="94" t="n"/>
      <c r="T88" s="94" t="n"/>
      <c r="U88" s="94" t="n"/>
      <c r="V88" s="94" t="n"/>
      <c r="W88" s="94" t="n"/>
      <c r="X88" s="94" t="n"/>
      <c r="Y88" s="94" t="n"/>
      <c r="Z88" s="94" t="n"/>
    </row>
    <row r="89" ht="20" customHeight="1" s="90">
      <c r="A89" s="384" t="n"/>
      <c r="B89" s="327" t="n"/>
      <c r="C89" s="327" t="n"/>
      <c r="D89" s="327" t="n"/>
      <c r="E89" s="327" t="n"/>
      <c r="F89" s="306" t="n"/>
      <c r="G89" s="306" t="n"/>
      <c r="H89" s="253" t="n"/>
      <c r="I89" s="253" t="n"/>
      <c r="J89" s="253" t="n"/>
      <c r="K89" s="253" t="n"/>
      <c r="L89" s="94" t="n"/>
      <c r="M89" s="94" t="n"/>
      <c r="N89" s="94" t="n"/>
      <c r="O89" s="94" t="n"/>
      <c r="P89" s="94" t="n"/>
      <c r="Q89" s="94" t="n"/>
      <c r="R89" s="94" t="n"/>
      <c r="S89" s="94" t="n"/>
      <c r="T89" s="94" t="n"/>
      <c r="U89" s="94" t="n"/>
      <c r="V89" s="94" t="n"/>
      <c r="W89" s="94" t="n"/>
      <c r="X89" s="94" t="n"/>
      <c r="Y89" s="94" t="n"/>
      <c r="Z89" s="94" t="n"/>
    </row>
    <row r="90" ht="20" customHeight="1" s="90">
      <c r="A90" s="357" t="inlineStr">
        <is>
          <t>Estimated Team Hours</t>
        </is>
      </c>
      <c r="B90" s="327" t="n"/>
      <c r="C90" s="385" t="n"/>
      <c r="D90" s="377">
        <f>IF(ISNUMBER(C90),C90*90,0)</f>
        <v/>
      </c>
      <c r="E90" s="321" t="inlineStr">
        <is>
          <t>Hours × $90/hr</t>
        </is>
      </c>
      <c r="F90" s="306" t="n"/>
      <c r="G90" s="306" t="n"/>
      <c r="H90" s="253" t="n"/>
      <c r="I90" s="253" t="n"/>
      <c r="J90" s="253" t="n"/>
      <c r="K90" s="253" t="n"/>
      <c r="L90" s="94" t="n"/>
      <c r="M90" s="94" t="n"/>
      <c r="N90" s="94" t="n"/>
      <c r="O90" s="94" t="n"/>
      <c r="P90" s="94" t="n"/>
      <c r="Q90" s="94" t="n"/>
      <c r="R90" s="94" t="n"/>
      <c r="S90" s="94" t="n"/>
      <c r="T90" s="94" t="n"/>
      <c r="U90" s="94" t="n"/>
      <c r="V90" s="94" t="n"/>
      <c r="W90" s="94" t="n"/>
      <c r="X90" s="94" t="n"/>
      <c r="Y90" s="94" t="n"/>
      <c r="Z90" s="94" t="n"/>
    </row>
    <row r="91" ht="20" customHeight="1" s="90">
      <c r="A91" s="357" t="inlineStr">
        <is>
          <t>True Net Profit</t>
        </is>
      </c>
      <c r="B91" s="327" t="n"/>
      <c r="C91" s="327" t="n"/>
      <c r="D91" s="377">
        <f>D86-D90-D81</f>
        <v/>
      </c>
      <c r="E91" s="327" t="n"/>
      <c r="F91" s="253" t="n"/>
      <c r="G91" s="253" t="n"/>
      <c r="H91" s="253" t="n"/>
      <c r="I91" s="253" t="n"/>
      <c r="J91" s="253" t="n"/>
      <c r="K91" s="253" t="n"/>
      <c r="L91" s="94" t="n"/>
      <c r="M91" s="94" t="n"/>
      <c r="N91" s="94" t="n"/>
      <c r="O91" s="94" t="n"/>
      <c r="P91" s="94" t="n"/>
      <c r="Q91" s="94" t="n"/>
      <c r="R91" s="94" t="n"/>
      <c r="S91" s="94" t="n"/>
      <c r="T91" s="94" t="n"/>
      <c r="U91" s="94" t="n"/>
      <c r="V91" s="94" t="n"/>
      <c r="W91" s="94" t="n"/>
      <c r="X91" s="94" t="n"/>
      <c r="Y91" s="94" t="n"/>
      <c r="Z91" s="94" t="n"/>
    </row>
    <row r="92" ht="20" customHeight="1" s="90">
      <c r="A92" s="357" t="inlineStr">
        <is>
          <t>True Net Margin %</t>
        </is>
      </c>
      <c r="B92" s="327" t="n"/>
      <c r="C92" s="327" t="n"/>
      <c r="D92" s="381">
        <f>IFERROR(IF(E57&gt;0,D91/E57,0),0)</f>
        <v/>
      </c>
      <c r="E92" s="327" t="n"/>
      <c r="F92" s="253" t="n"/>
      <c r="G92" s="253" t="n"/>
      <c r="H92" s="253" t="n"/>
      <c r="I92" s="253" t="n"/>
      <c r="J92" s="253" t="n"/>
      <c r="K92" s="253" t="n"/>
      <c r="L92" s="94" t="n"/>
      <c r="M92" s="94" t="n"/>
      <c r="N92" s="94" t="n"/>
      <c r="O92" s="94" t="n"/>
      <c r="P92" s="94" t="n"/>
      <c r="Q92" s="94" t="n"/>
      <c r="R92" s="94" t="n"/>
      <c r="S92" s="94" t="n"/>
      <c r="T92" s="94" t="n"/>
      <c r="U92" s="94" t="n"/>
      <c r="V92" s="94" t="n"/>
      <c r="W92" s="94" t="n"/>
      <c r="X92" s="94" t="n"/>
      <c r="Y92" s="94" t="n"/>
      <c r="Z92" s="94" t="n"/>
    </row>
    <row r="93" ht="20" customHeight="1" s="90">
      <c r="A93" s="357" t="inlineStr">
        <is>
          <t>True Net Health</t>
        </is>
      </c>
      <c r="B93" s="327" t="n"/>
      <c r="C93" s="327" t="n"/>
      <c r="D93" s="383">
        <f>IF(D92&gt;=0.15,"✓ STRONG",IF(D92&gt;=0.07,"→ ON TARGET",IF(D92&gt;=0,"⚠ THIN","✗ LOSING MONEY")))</f>
        <v/>
      </c>
      <c r="E93" s="327" t="n"/>
      <c r="F93" s="253" t="n"/>
      <c r="G93" s="253" t="n"/>
      <c r="H93" s="253" t="n"/>
      <c r="I93" s="253" t="n"/>
      <c r="J93" s="253" t="n"/>
      <c r="K93" s="253" t="n"/>
      <c r="L93" s="94" t="n"/>
      <c r="M93" s="94" t="n"/>
      <c r="N93" s="94" t="n"/>
      <c r="O93" s="94" t="n"/>
      <c r="P93" s="94" t="n"/>
      <c r="Q93" s="94" t="n"/>
      <c r="R93" s="94" t="n"/>
      <c r="S93" s="94" t="n"/>
      <c r="T93" s="94" t="n"/>
      <c r="U93" s="94" t="n"/>
      <c r="V93" s="94" t="n"/>
      <c r="W93" s="94" t="n"/>
      <c r="X93" s="94" t="n"/>
      <c r="Y93" s="94" t="n"/>
      <c r="Z93" s="94" t="n"/>
    </row>
    <row r="94" ht="15.75" customHeight="1" s="90">
      <c r="A94" s="253" t="n"/>
      <c r="B94" s="253" t="n"/>
      <c r="C94" s="253" t="n"/>
      <c r="D94" s="253" t="n"/>
      <c r="E94" s="253" t="n"/>
      <c r="F94" s="253" t="n"/>
      <c r="G94" s="253" t="n"/>
      <c r="H94" s="253" t="n"/>
      <c r="I94" s="253" t="n"/>
      <c r="J94" s="253" t="n"/>
      <c r="K94" s="253" t="n"/>
      <c r="L94" s="94" t="n"/>
      <c r="M94" s="94" t="n"/>
      <c r="N94" s="94" t="n"/>
      <c r="O94" s="94" t="n"/>
      <c r="P94" s="94" t="n"/>
      <c r="Q94" s="94" t="n"/>
      <c r="R94" s="94" t="n"/>
      <c r="S94" s="94" t="n"/>
      <c r="T94" s="94" t="n"/>
      <c r="U94" s="94" t="n"/>
      <c r="V94" s="94" t="n"/>
      <c r="W94" s="94" t="n"/>
      <c r="X94" s="94" t="n"/>
      <c r="Y94" s="94" t="n"/>
      <c r="Z94" s="94" t="n"/>
    </row>
    <row r="95" ht="15.75" customHeight="1" s="90">
      <c r="A95" s="253" t="n"/>
      <c r="B95" s="253" t="n"/>
      <c r="C95" s="253" t="n"/>
      <c r="D95" s="253" t="n"/>
      <c r="E95" s="253" t="n"/>
      <c r="F95" s="253" t="n"/>
      <c r="G95" s="253" t="n"/>
      <c r="H95" s="253" t="n"/>
      <c r="I95" s="253" t="n"/>
      <c r="J95" s="253" t="n"/>
      <c r="K95" s="253" t="n"/>
      <c r="L95" s="94" t="n"/>
      <c r="M95" s="94" t="n"/>
      <c r="N95" s="94" t="n"/>
      <c r="O95" s="94" t="n"/>
      <c r="P95" s="94" t="n"/>
      <c r="Q95" s="94" t="n"/>
      <c r="R95" s="94" t="n"/>
      <c r="S95" s="94" t="n"/>
      <c r="T95" s="94" t="n"/>
      <c r="U95" s="94" t="n"/>
      <c r="V95" s="94" t="n"/>
      <c r="W95" s="94" t="n"/>
      <c r="X95" s="94" t="n"/>
      <c r="Y95" s="94" t="n"/>
      <c r="Z95" s="94" t="n"/>
    </row>
    <row r="96" ht="15.75" customHeight="1" s="90">
      <c r="A96" s="253" t="n"/>
      <c r="B96" s="253" t="n"/>
      <c r="C96" s="253" t="n"/>
      <c r="D96" s="253" t="n"/>
      <c r="E96" s="253" t="n"/>
      <c r="F96" s="253" t="n"/>
      <c r="G96" s="253" t="n"/>
      <c r="H96" s="253" t="n"/>
      <c r="I96" s="253" t="n"/>
      <c r="J96" s="253" t="n"/>
      <c r="K96" s="253"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253" t="n"/>
      <c r="J97" s="253" t="n"/>
      <c r="K97" s="253"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253" t="n"/>
      <c r="J98" s="253" t="n"/>
      <c r="K98" s="253"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253" t="n"/>
      <c r="J99" s="253" t="n"/>
      <c r="K99" s="253"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253" t="n"/>
      <c r="J100" s="253" t="n"/>
      <c r="K100" s="253"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253" t="n"/>
      <c r="J101" s="253" t="n"/>
      <c r="K101" s="253"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253" t="n"/>
      <c r="J102" s="253" t="n"/>
      <c r="K102" s="253"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253" t="n"/>
      <c r="J103" s="253" t="n"/>
      <c r="K103" s="253"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253" t="n"/>
      <c r="J104" s="253" t="n"/>
      <c r="K104" s="253"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253" t="n"/>
      <c r="J105" s="253" t="n"/>
      <c r="K105" s="253"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253" t="n"/>
      <c r="J106" s="253" t="n"/>
      <c r="K106" s="253"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253" t="n"/>
      <c r="J107" s="253" t="n"/>
      <c r="K107" s="253"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253" t="n"/>
      <c r="J108" s="253" t="n"/>
      <c r="K108" s="253"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253" t="n"/>
      <c r="J109" s="253" t="n"/>
      <c r="K109" s="253"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253" t="n"/>
      <c r="J110" s="253" t="n"/>
      <c r="K110" s="253"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253" t="n"/>
      <c r="J111" s="253" t="n"/>
      <c r="K111" s="253"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253" t="n"/>
      <c r="J112" s="253" t="n"/>
      <c r="K112" s="253"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253" t="n"/>
      <c r="J113" s="253" t="n"/>
      <c r="K113" s="253"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253" t="n"/>
      <c r="J114" s="253" t="n"/>
      <c r="K114" s="253"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253" t="n"/>
      <c r="J115" s="253" t="n"/>
      <c r="K115" s="253"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253" t="n"/>
      <c r="J116" s="253" t="n"/>
      <c r="K116" s="253"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253" t="n"/>
      <c r="J117" s="253" t="n"/>
      <c r="K117" s="253"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253" t="n"/>
      <c r="J118" s="253" t="n"/>
      <c r="K118" s="253"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253" t="n"/>
      <c r="J119" s="253" t="n"/>
      <c r="K119" s="253"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253" t="n"/>
      <c r="J120" s="253" t="n"/>
      <c r="K120" s="253"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253" t="n"/>
      <c r="J121" s="253" t="n"/>
      <c r="K121" s="253"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253" t="n"/>
      <c r="J122" s="253" t="n"/>
      <c r="K122" s="253"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253" t="n"/>
      <c r="J123" s="253" t="n"/>
      <c r="K123" s="253"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253" t="n"/>
      <c r="J124" s="253" t="n"/>
      <c r="K124" s="253"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253" t="n"/>
      <c r="J125" s="253" t="n"/>
      <c r="K125" s="253"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253" t="n"/>
      <c r="J126" s="253" t="n"/>
      <c r="K126" s="253"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253" t="n"/>
      <c r="J127" s="253" t="n"/>
      <c r="K127" s="253"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253" t="n"/>
      <c r="J128" s="253" t="n"/>
      <c r="K128" s="253"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253" t="n"/>
      <c r="J129" s="253" t="n"/>
      <c r="K129" s="253"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253" t="n"/>
      <c r="J130" s="253" t="n"/>
      <c r="K130" s="253"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253" t="n"/>
      <c r="J131" s="253" t="n"/>
      <c r="K131" s="253"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253" t="n"/>
      <c r="J132" s="253" t="n"/>
      <c r="K132" s="253"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253" t="n"/>
      <c r="J133" s="253" t="n"/>
      <c r="K133" s="253"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253" t="n"/>
      <c r="J134" s="253" t="n"/>
      <c r="K134" s="253"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253" t="n"/>
      <c r="J135" s="253" t="n"/>
      <c r="K135" s="253"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253" t="n"/>
      <c r="J136" s="253" t="n"/>
      <c r="K136" s="253"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253" t="n"/>
      <c r="J137" s="253" t="n"/>
      <c r="K137" s="253"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253" t="n"/>
      <c r="J138" s="253" t="n"/>
      <c r="K138" s="253"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253" t="n"/>
      <c r="J140" s="253" t="n"/>
      <c r="K140" s="253"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253" t="n"/>
      <c r="J141" s="253" t="n"/>
      <c r="K141" s="253"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253" t="n"/>
      <c r="J142" s="253" t="n"/>
      <c r="K142" s="253"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253" t="n"/>
      <c r="J143" s="253" t="n"/>
      <c r="K143" s="253"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253" t="n"/>
      <c r="J144" s="253" t="n"/>
      <c r="K144" s="253"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253" t="n"/>
      <c r="J145" s="253" t="n"/>
      <c r="K145" s="253"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253" t="n"/>
      <c r="J146" s="253" t="n"/>
      <c r="K146" s="253"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253" t="n"/>
      <c r="J147" s="253" t="n"/>
      <c r="K147" s="253"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253" t="n"/>
      <c r="J148" s="253" t="n"/>
      <c r="K148" s="253"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253" t="n"/>
      <c r="J149" s="253" t="n"/>
      <c r="K149" s="253"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253" t="n"/>
      <c r="J150" s="253" t="n"/>
      <c r="K150" s="253"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253" t="n"/>
      <c r="J151" s="253" t="n"/>
      <c r="K151" s="253"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253" t="n"/>
      <c r="J152" s="253" t="n"/>
      <c r="K152" s="253"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253" t="n"/>
      <c r="J153" s="253" t="n"/>
      <c r="K153" s="253"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253" t="n"/>
      <c r="J154" s="253" t="n"/>
      <c r="K154" s="253"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253" t="n"/>
      <c r="J155" s="253" t="n"/>
      <c r="K155" s="253"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253" t="n"/>
      <c r="J156" s="253" t="n"/>
      <c r="K156" s="253"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253" t="n"/>
      <c r="J157" s="253" t="n"/>
      <c r="K157" s="253"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253" t="n"/>
      <c r="J158" s="253" t="n"/>
      <c r="K158" s="253"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253" t="n"/>
      <c r="J159" s="253" t="n"/>
      <c r="K159" s="253"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253" t="n"/>
      <c r="J160" s="253" t="n"/>
      <c r="K160" s="253"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253" t="n"/>
      <c r="J161" s="253" t="n"/>
      <c r="K161" s="253"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253" t="n"/>
      <c r="J162" s="253" t="n"/>
      <c r="K162" s="253"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253" t="n"/>
      <c r="J163" s="253" t="n"/>
      <c r="K163" s="253"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253" t="n"/>
      <c r="J164" s="253" t="n"/>
      <c r="K164" s="253"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253" t="n"/>
      <c r="J165" s="253" t="n"/>
      <c r="K165" s="253"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253" t="n"/>
      <c r="J166" s="253" t="n"/>
      <c r="K166" s="253"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253" t="n"/>
      <c r="J167" s="253" t="n"/>
      <c r="K167" s="253"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253" t="n"/>
      <c r="J168" s="253" t="n"/>
      <c r="K168" s="253"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253" t="n"/>
      <c r="J169" s="253" t="n"/>
      <c r="K169" s="253"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253" t="n"/>
      <c r="J170" s="253" t="n"/>
      <c r="K170" s="253"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253" t="n"/>
      <c r="J171" s="253" t="n"/>
      <c r="K171" s="253"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253" t="n"/>
      <c r="J172" s="253" t="n"/>
      <c r="K172" s="253"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253" t="n"/>
      <c r="J173" s="253" t="n"/>
      <c r="K173" s="253"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253" t="n"/>
      <c r="J174" s="253" t="n"/>
      <c r="K174" s="253"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253" t="n"/>
      <c r="J175" s="253" t="n"/>
      <c r="K175" s="253"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253" t="n"/>
      <c r="J176" s="253" t="n"/>
      <c r="K176" s="253"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253" t="n"/>
      <c r="J177" s="253" t="n"/>
      <c r="K177" s="253"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253" t="n"/>
      <c r="J178" s="253" t="n"/>
      <c r="K178" s="253"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253" t="n"/>
      <c r="J179" s="253" t="n"/>
      <c r="K179" s="253"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253" t="n"/>
      <c r="J180" s="253" t="n"/>
      <c r="K180" s="253"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253" t="n"/>
      <c r="J181" s="253" t="n"/>
      <c r="K181" s="253"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253" t="n"/>
      <c r="J182" s="253" t="n"/>
      <c r="K182" s="253"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253" t="n"/>
      <c r="J183" s="253" t="n"/>
      <c r="K183" s="253"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253" t="n"/>
      <c r="J184" s="253" t="n"/>
      <c r="K184" s="253"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253" t="n"/>
      <c r="J185" s="253" t="n"/>
      <c r="K185" s="253"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253" t="n"/>
      <c r="J186" s="253" t="n"/>
      <c r="K186" s="253"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253" t="n"/>
      <c r="J187" s="253" t="n"/>
      <c r="K187" s="253"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253" t="n"/>
      <c r="J188" s="253" t="n"/>
      <c r="K188" s="253"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253" t="n"/>
      <c r="J189" s="253" t="n"/>
      <c r="K189" s="253"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253" t="n"/>
      <c r="J190" s="253" t="n"/>
      <c r="K190" s="253"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253" t="n"/>
      <c r="J191" s="253" t="n"/>
      <c r="K191" s="253"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253" t="n"/>
      <c r="J192" s="253" t="n"/>
      <c r="K192" s="253"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253" t="n"/>
      <c r="J193" s="253" t="n"/>
      <c r="K193" s="253"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253" t="n"/>
      <c r="J194" s="253" t="n"/>
      <c r="K194" s="253"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253" t="n"/>
      <c r="J195" s="253" t="n"/>
      <c r="K195" s="253"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253" t="n"/>
      <c r="J196" s="253" t="n"/>
      <c r="K196" s="253"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253" t="n"/>
      <c r="J197" s="253" t="n"/>
      <c r="K197" s="253"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253" t="n"/>
      <c r="J198" s="253" t="n"/>
      <c r="K198" s="253"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253" t="n"/>
      <c r="J199" s="253" t="n"/>
      <c r="K199" s="253"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253" t="n"/>
      <c r="J200" s="253" t="n"/>
      <c r="K200" s="253"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253" t="n"/>
      <c r="J201" s="253" t="n"/>
      <c r="K201" s="253"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253" t="n"/>
      <c r="J202" s="253" t="n"/>
      <c r="K202" s="253"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253" t="n"/>
      <c r="J203" s="253" t="n"/>
      <c r="K203" s="253"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253" t="n"/>
      <c r="J204" s="253" t="n"/>
      <c r="K204" s="253"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253" t="n"/>
      <c r="J205" s="253" t="n"/>
      <c r="K205" s="253"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253" t="n"/>
      <c r="J206" s="253" t="n"/>
      <c r="K206" s="253"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253" t="n"/>
      <c r="J207" s="253" t="n"/>
      <c r="K207" s="253"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253" t="n"/>
      <c r="J208" s="253" t="n"/>
      <c r="K208" s="253"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253" t="n"/>
      <c r="J209" s="253" t="n"/>
      <c r="K209" s="253"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253" t="n"/>
      <c r="J210" s="253" t="n"/>
      <c r="K210" s="253"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253" t="n"/>
      <c r="J211" s="253" t="n"/>
      <c r="K211" s="253"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253" t="n"/>
      <c r="J212" s="253" t="n"/>
      <c r="K212" s="253"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253" t="n"/>
      <c r="J213" s="253" t="n"/>
      <c r="K213" s="253"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253" t="n"/>
      <c r="J214" s="253" t="n"/>
      <c r="K214" s="253"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253" t="n"/>
      <c r="J215" s="253" t="n"/>
      <c r="K215" s="253"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253" t="n"/>
      <c r="J216" s="253" t="n"/>
      <c r="K216" s="253"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253" t="n"/>
      <c r="J217" s="253" t="n"/>
      <c r="K217" s="253"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253" t="n"/>
      <c r="J218" s="253" t="n"/>
      <c r="K218" s="253"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253" t="n"/>
      <c r="J219" s="253" t="n"/>
      <c r="K219" s="253"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253" t="n"/>
      <c r="J220" s="253" t="n"/>
      <c r="K220" s="253"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253" t="n"/>
      <c r="J221" s="253" t="n"/>
      <c r="K221" s="253"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253" t="n"/>
      <c r="J222" s="253" t="n"/>
      <c r="K222" s="253"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253" t="n"/>
      <c r="J223" s="253" t="n"/>
      <c r="K223" s="253"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253" t="n"/>
      <c r="J224" s="253" t="n"/>
      <c r="K224" s="253"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253" t="n"/>
      <c r="J225" s="253" t="n"/>
      <c r="K225" s="253"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253" t="n"/>
      <c r="J226" s="253" t="n"/>
      <c r="K226" s="253"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253" t="n"/>
      <c r="J227" s="253" t="n"/>
      <c r="K227" s="253"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253" t="n"/>
      <c r="J228" s="253" t="n"/>
      <c r="K228" s="253"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253" t="n"/>
      <c r="J229" s="253" t="n"/>
      <c r="K229" s="253"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253" t="n"/>
      <c r="J230" s="253" t="n"/>
      <c r="K230" s="253"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253" t="n"/>
      <c r="J231" s="253" t="n"/>
      <c r="K231" s="253"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253" t="n"/>
      <c r="J232" s="253" t="n"/>
      <c r="K232" s="253"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253" t="n"/>
      <c r="J233" s="253" t="n"/>
      <c r="K233" s="253"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253" t="n"/>
      <c r="J234" s="253" t="n"/>
      <c r="K234" s="253"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253" t="n"/>
      <c r="J235" s="253" t="n"/>
      <c r="K235" s="253"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253" t="n"/>
      <c r="J236" s="253" t="n"/>
      <c r="K236" s="253"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253" t="n"/>
      <c r="J237" s="253" t="n"/>
      <c r="K237" s="253"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253" t="n"/>
      <c r="J238" s="253" t="n"/>
      <c r="K238" s="253"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253" t="n"/>
      <c r="J239" s="253" t="n"/>
      <c r="K239" s="253"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253" t="n"/>
      <c r="J240" s="253" t="n"/>
      <c r="K240" s="253"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253" t="n"/>
      <c r="J241" s="253" t="n"/>
      <c r="K241" s="253"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253" t="n"/>
      <c r="J242" s="253" t="n"/>
      <c r="K242" s="253"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253" t="n"/>
      <c r="J243" s="253" t="n"/>
      <c r="K243" s="253"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253" t="n"/>
      <c r="J244" s="253" t="n"/>
      <c r="K244" s="253"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253" t="n"/>
      <c r="J245" s="253" t="n"/>
      <c r="K245" s="253"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253" t="n"/>
      <c r="J246" s="253" t="n"/>
      <c r="K246" s="253"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253" t="n"/>
      <c r="J247" s="253" t="n"/>
      <c r="K247" s="253"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253" t="n"/>
      <c r="J248" s="253" t="n"/>
      <c r="K248" s="253"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253" t="n"/>
      <c r="J249" s="253" t="n"/>
      <c r="K249" s="253"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253" t="n"/>
      <c r="J250" s="253" t="n"/>
      <c r="K250" s="253"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253" t="n"/>
      <c r="J251" s="253" t="n"/>
      <c r="K251" s="253"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253" t="n"/>
      <c r="J252" s="253" t="n"/>
      <c r="K252" s="253"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253" t="n"/>
      <c r="J253" s="253" t="n"/>
      <c r="K253" s="253"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253" t="n"/>
      <c r="J254" s="253" t="n"/>
      <c r="K254" s="253"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253" t="n"/>
      <c r="J255" s="253" t="n"/>
      <c r="K255" s="253"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253" t="n"/>
      <c r="J256" s="253" t="n"/>
      <c r="K256" s="253"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253" t="n"/>
      <c r="J257" s="253" t="n"/>
      <c r="K257" s="253"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253" t="n"/>
      <c r="J258" s="253" t="n"/>
      <c r="K258" s="253"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253" t="n"/>
      <c r="J259" s="253" t="n"/>
      <c r="K259" s="253"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253" t="n"/>
      <c r="J260" s="253" t="n"/>
      <c r="K260" s="253"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253" t="n"/>
      <c r="J261" s="253" t="n"/>
      <c r="K261" s="253"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253" t="n"/>
      <c r="J262" s="253" t="n"/>
      <c r="K262" s="253"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253" t="n"/>
      <c r="J263" s="253" t="n"/>
      <c r="K263" s="253"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253" t="n"/>
      <c r="J264" s="253" t="n"/>
      <c r="K264" s="253"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253" t="n"/>
      <c r="J265" s="253" t="n"/>
      <c r="K265" s="253"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253" t="n"/>
      <c r="J266" s="253" t="n"/>
      <c r="K266" s="253"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253" t="n"/>
      <c r="J267" s="253" t="n"/>
      <c r="K267" s="253"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253" t="n"/>
      <c r="J268" s="253" t="n"/>
      <c r="K268" s="253"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253" t="n"/>
      <c r="J269" s="253" t="n"/>
      <c r="K269" s="253"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253" t="n"/>
      <c r="J270" s="253" t="n"/>
      <c r="K270" s="253"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253" t="n"/>
      <c r="J271" s="253" t="n"/>
      <c r="K271" s="253"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253" t="n"/>
      <c r="J272" s="253" t="n"/>
      <c r="K272" s="253"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253" t="n"/>
      <c r="J273" s="253" t="n"/>
      <c r="K273" s="253"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253" t="n"/>
      <c r="J274" s="253" t="n"/>
      <c r="K274" s="253"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253" t="n"/>
      <c r="J275" s="253" t="n"/>
      <c r="K275" s="253"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253" t="n"/>
      <c r="J276" s="253" t="n"/>
      <c r="K276" s="253"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253" t="n"/>
      <c r="J277" s="253" t="n"/>
      <c r="K277" s="253"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253" t="n"/>
      <c r="J278" s="253" t="n"/>
      <c r="K278" s="253"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253" t="n"/>
      <c r="J279" s="253" t="n"/>
      <c r="K279" s="253"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253" t="n"/>
      <c r="J280" s="253" t="n"/>
      <c r="K280" s="253"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253" t="n"/>
      <c r="J281" s="253" t="n"/>
      <c r="K281" s="253"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253" t="n"/>
      <c r="J282" s="253" t="n"/>
      <c r="K282" s="253"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253" t="n"/>
      <c r="J283" s="253" t="n"/>
      <c r="K283" s="253"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253" t="n"/>
      <c r="J284" s="253" t="n"/>
      <c r="K284" s="253"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253" t="n"/>
      <c r="J285" s="253" t="n"/>
      <c r="K285" s="253"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253" t="n"/>
      <c r="J286" s="253" t="n"/>
      <c r="K286" s="253"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253" t="n"/>
      <c r="J287" s="253" t="n"/>
      <c r="K287" s="253"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253" t="n"/>
      <c r="J288" s="253" t="n"/>
      <c r="K288" s="253"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253" t="n"/>
      <c r="J289" s="253" t="n"/>
      <c r="K289" s="253"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253" t="n"/>
      <c r="J290" s="253" t="n"/>
      <c r="K290" s="253"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253" t="n"/>
      <c r="J291" s="253" t="n"/>
      <c r="K291" s="253"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253" t="n"/>
      <c r="J292" s="253" t="n"/>
      <c r="K292" s="253"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253" t="n"/>
      <c r="J293" s="253" t="n"/>
      <c r="K293" s="253"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253" t="n"/>
      <c r="J294" s="253" t="n"/>
      <c r="K294" s="253"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253" t="n"/>
      <c r="J295" s="253" t="n"/>
      <c r="K295" s="253"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253" t="n"/>
      <c r="J296" s="253" t="n"/>
      <c r="K296" s="253"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253" t="n"/>
      <c r="J297" s="253" t="n"/>
      <c r="K297" s="253"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253" t="n"/>
      <c r="J298" s="253" t="n"/>
      <c r="K298" s="253"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253" t="n"/>
      <c r="J299" s="253" t="n"/>
      <c r="K299" s="253"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253" t="n"/>
      <c r="J300" s="253" t="n"/>
      <c r="K300" s="253"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253" t="n"/>
      <c r="J301" s="253" t="n"/>
      <c r="K301" s="253"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253" t="n"/>
      <c r="J302" s="253" t="n"/>
      <c r="K302" s="253"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253" t="n"/>
      <c r="J303" s="253" t="n"/>
      <c r="K303" s="253"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253" t="n"/>
      <c r="J304" s="253" t="n"/>
      <c r="K304" s="253"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253" t="n"/>
      <c r="J305" s="253" t="n"/>
      <c r="K305" s="253"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253" t="n"/>
      <c r="J306" s="253" t="n"/>
      <c r="K306" s="253"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253" t="n"/>
      <c r="J307" s="253" t="n"/>
      <c r="K307" s="253"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253" t="n"/>
      <c r="J308" s="253" t="n"/>
      <c r="K308" s="253"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253" t="n"/>
      <c r="J309" s="253" t="n"/>
      <c r="K309" s="253"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253" t="n"/>
      <c r="J310" s="253" t="n"/>
      <c r="K310" s="253"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253" t="n"/>
      <c r="J311" s="253" t="n"/>
      <c r="K311" s="253"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253" t="n"/>
      <c r="J312" s="253" t="n"/>
      <c r="K312" s="253"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253" t="n"/>
      <c r="J313" s="253" t="n"/>
      <c r="K313" s="253"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253" t="n"/>
      <c r="J314" s="253" t="n"/>
      <c r="K314" s="253"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253" t="n"/>
      <c r="J315" s="253" t="n"/>
      <c r="K315" s="253"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253" t="n"/>
      <c r="J316" s="253" t="n"/>
      <c r="K316" s="253"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253" t="n"/>
      <c r="J317" s="253" t="n"/>
      <c r="K317" s="253"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253" t="n"/>
      <c r="J318" s="253" t="n"/>
      <c r="K318" s="253"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253" t="n"/>
      <c r="J319" s="253" t="n"/>
      <c r="K319" s="253"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253" t="n"/>
      <c r="J320" s="253" t="n"/>
      <c r="K320" s="253"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253" t="n"/>
      <c r="J321" s="253" t="n"/>
      <c r="K321" s="253"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253" t="n"/>
      <c r="J322" s="253" t="n"/>
      <c r="K322" s="253"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253" t="n"/>
      <c r="J323" s="253" t="n"/>
      <c r="K323" s="253"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253" t="n"/>
      <c r="J324" s="253" t="n"/>
      <c r="K324" s="253"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253" t="n"/>
      <c r="J325" s="253" t="n"/>
      <c r="K325" s="253"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253" t="n"/>
      <c r="J326" s="253" t="n"/>
      <c r="K326" s="253"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253" t="n"/>
      <c r="J327" s="253" t="n"/>
      <c r="K327" s="253"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253" t="n"/>
      <c r="J328" s="253" t="n"/>
      <c r="K328" s="253"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253" t="n"/>
      <c r="J329" s="253" t="n"/>
      <c r="K329" s="253"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253" t="n"/>
      <c r="J330" s="253" t="n"/>
      <c r="K330" s="253"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253" t="n"/>
      <c r="J331" s="253" t="n"/>
      <c r="K331" s="253"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253" t="n"/>
      <c r="J332" s="253" t="n"/>
      <c r="K332" s="253"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253" t="n"/>
      <c r="J333" s="253" t="n"/>
      <c r="K333" s="253"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253" t="n"/>
      <c r="J334" s="253" t="n"/>
      <c r="K334" s="253"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253" t="n"/>
      <c r="J335" s="253" t="n"/>
      <c r="K335" s="253"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253" t="n"/>
      <c r="J336" s="253" t="n"/>
      <c r="K336" s="253"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253" t="n"/>
      <c r="J337" s="253" t="n"/>
      <c r="K337" s="253"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253" t="n"/>
      <c r="J338" s="253" t="n"/>
      <c r="K338" s="253"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253" t="n"/>
      <c r="J339" s="253" t="n"/>
      <c r="K339" s="253"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253" t="n"/>
      <c r="J340" s="253" t="n"/>
      <c r="K340" s="253"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253" t="n"/>
      <c r="J341" s="253" t="n"/>
      <c r="K341" s="253"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253" t="n"/>
      <c r="J342" s="253" t="n"/>
      <c r="K342" s="253"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253" t="n"/>
      <c r="J343" s="253" t="n"/>
      <c r="K343" s="253"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253" t="n"/>
      <c r="J344" s="253" t="n"/>
      <c r="K344" s="253"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253" t="n"/>
      <c r="J345" s="253" t="n"/>
      <c r="K345" s="253"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253" t="n"/>
      <c r="J346" s="253" t="n"/>
      <c r="K346" s="253"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253" t="n"/>
      <c r="J347" s="253" t="n"/>
      <c r="K347" s="253"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253" t="n"/>
      <c r="J348" s="253" t="n"/>
      <c r="K348" s="253"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253" t="n"/>
      <c r="J349" s="253" t="n"/>
      <c r="K349" s="253"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253" t="n"/>
      <c r="J350" s="253" t="n"/>
      <c r="K350" s="253"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253" t="n"/>
      <c r="J351" s="253" t="n"/>
      <c r="K351" s="253"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253" t="n"/>
      <c r="J352" s="253" t="n"/>
      <c r="K352" s="253"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253" t="n"/>
      <c r="J353" s="253" t="n"/>
      <c r="K353" s="253"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253" t="n"/>
      <c r="J354" s="253" t="n"/>
      <c r="K354" s="253"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253" t="n"/>
      <c r="J355" s="253" t="n"/>
      <c r="K355" s="253"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253" t="n"/>
      <c r="J356" s="253" t="n"/>
      <c r="K356" s="253"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253" t="n"/>
      <c r="J357" s="253" t="n"/>
      <c r="K357" s="253"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253" t="n"/>
      <c r="J358" s="253" t="n"/>
      <c r="K358" s="253"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253" t="n"/>
      <c r="J359" s="253" t="n"/>
      <c r="K359" s="253"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253" t="n"/>
      <c r="J360" s="253" t="n"/>
      <c r="K360" s="253"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253" t="n"/>
      <c r="J361" s="253" t="n"/>
      <c r="K361" s="253"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253" t="n"/>
      <c r="J362" s="253" t="n"/>
      <c r="K362" s="253"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253" t="n"/>
      <c r="J363" s="253" t="n"/>
      <c r="K363" s="253"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253" t="n"/>
      <c r="J364" s="253" t="n"/>
      <c r="K364" s="253"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253" t="n"/>
      <c r="J365" s="253" t="n"/>
      <c r="K365" s="253"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253" t="n"/>
      <c r="J366" s="253" t="n"/>
      <c r="K366" s="253"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253" t="n"/>
      <c r="J367" s="253" t="n"/>
      <c r="K367" s="253"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253" t="n"/>
      <c r="J368" s="253" t="n"/>
      <c r="K368" s="253"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253" t="n"/>
      <c r="J369" s="253" t="n"/>
      <c r="K369" s="253"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253" t="n"/>
      <c r="J370" s="253" t="n"/>
      <c r="K370" s="253"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253" t="n"/>
      <c r="J371" s="253" t="n"/>
      <c r="K371" s="253"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253" t="n"/>
      <c r="J372" s="253" t="n"/>
      <c r="K372" s="253"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253" t="n"/>
      <c r="J373" s="253" t="n"/>
      <c r="K373" s="253"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253" t="n"/>
      <c r="J374" s="253" t="n"/>
      <c r="K374" s="253"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253" t="n"/>
      <c r="J375" s="253" t="n"/>
      <c r="K375" s="253"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253" t="n"/>
      <c r="J376" s="253" t="n"/>
      <c r="K376" s="253"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253" t="n"/>
      <c r="J377" s="253" t="n"/>
      <c r="K377" s="253"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253" t="n"/>
      <c r="J378" s="253" t="n"/>
      <c r="K378" s="253"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253" t="n"/>
      <c r="J379" s="253" t="n"/>
      <c r="K379" s="253"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253" t="n"/>
      <c r="J380" s="253" t="n"/>
      <c r="K380" s="253"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253" t="n"/>
      <c r="J381" s="253" t="n"/>
      <c r="K381" s="253"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253" t="n"/>
      <c r="J382" s="253" t="n"/>
      <c r="K382" s="253"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253" t="n"/>
      <c r="J383" s="253" t="n"/>
      <c r="K383" s="253"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253" t="n"/>
      <c r="J384" s="253" t="n"/>
      <c r="K384" s="253"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253" t="n"/>
      <c r="J385" s="253" t="n"/>
      <c r="K385" s="253"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253" t="n"/>
      <c r="J386" s="253" t="n"/>
      <c r="K386" s="253"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253" t="n"/>
      <c r="J387" s="253" t="n"/>
      <c r="K387" s="253"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253" t="n"/>
      <c r="J388" s="253" t="n"/>
      <c r="K388" s="253"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253" t="n"/>
      <c r="J389" s="253" t="n"/>
      <c r="K389" s="253"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253" t="n"/>
      <c r="J390" s="253" t="n"/>
      <c r="K390" s="253"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253" t="n"/>
      <c r="J391" s="253" t="n"/>
      <c r="K391" s="253"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253" t="n"/>
      <c r="J392" s="253" t="n"/>
      <c r="K392" s="253"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253" t="n"/>
      <c r="J393" s="253" t="n"/>
      <c r="K393" s="253"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253" t="n"/>
      <c r="J394" s="253" t="n"/>
      <c r="K394" s="253"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253" t="n"/>
      <c r="J395" s="253" t="n"/>
      <c r="K395" s="253"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253" t="n"/>
      <c r="J396" s="253" t="n"/>
      <c r="K396" s="253"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253" t="n"/>
      <c r="J397" s="253" t="n"/>
      <c r="K397" s="253"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253" t="n"/>
      <c r="J398" s="253" t="n"/>
      <c r="K398" s="253"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253" t="n"/>
      <c r="J399" s="253" t="n"/>
      <c r="K399" s="253"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253" t="n"/>
      <c r="J400" s="253" t="n"/>
      <c r="K400" s="253"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253" t="n"/>
      <c r="J401" s="253" t="n"/>
      <c r="K401" s="253"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253" t="n"/>
      <c r="J402" s="253" t="n"/>
      <c r="K402" s="253"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253" t="n"/>
      <c r="J403" s="253" t="n"/>
      <c r="K403" s="253"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253" t="n"/>
      <c r="J404" s="253" t="n"/>
      <c r="K404" s="253"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253" t="n"/>
      <c r="J405" s="253" t="n"/>
      <c r="K405" s="253"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253" t="n"/>
      <c r="J406" s="253" t="n"/>
      <c r="K406" s="253"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253" t="n"/>
      <c r="J407" s="253" t="n"/>
      <c r="K407" s="253"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253" t="n"/>
      <c r="J408" s="253" t="n"/>
      <c r="K408" s="253"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253" t="n"/>
      <c r="J409" s="253" t="n"/>
      <c r="K409" s="253"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253" t="n"/>
      <c r="J410" s="253" t="n"/>
      <c r="K410" s="253"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253" t="n"/>
      <c r="J411" s="253" t="n"/>
      <c r="K411" s="253"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253" t="n"/>
      <c r="J412" s="253" t="n"/>
      <c r="K412" s="253"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253" t="n"/>
      <c r="J413" s="253" t="n"/>
      <c r="K413" s="253"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253" t="n"/>
      <c r="J414" s="253" t="n"/>
      <c r="K414" s="253"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253" t="n"/>
      <c r="J415" s="253" t="n"/>
      <c r="K415" s="253"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253" t="n"/>
      <c r="J416" s="253" t="n"/>
      <c r="K416" s="253"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253" t="n"/>
      <c r="J417" s="253" t="n"/>
      <c r="K417" s="253"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253" t="n"/>
      <c r="J418" s="253" t="n"/>
      <c r="K418" s="253"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253" t="n"/>
      <c r="J419" s="253" t="n"/>
      <c r="K419" s="253"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253" t="n"/>
      <c r="J420" s="253" t="n"/>
      <c r="K420" s="253"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253" t="n"/>
      <c r="J421" s="253" t="n"/>
      <c r="K421" s="253"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253" t="n"/>
      <c r="J422" s="253" t="n"/>
      <c r="K422" s="253"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253" t="n"/>
      <c r="J423" s="253" t="n"/>
      <c r="K423" s="253"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253" t="n"/>
      <c r="J424" s="253" t="n"/>
      <c r="K424" s="253"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253" t="n"/>
      <c r="J425" s="253" t="n"/>
      <c r="K425" s="253"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253" t="n"/>
      <c r="J426" s="253" t="n"/>
      <c r="K426" s="253"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253" t="n"/>
      <c r="J427" s="253" t="n"/>
      <c r="K427" s="253"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253" t="n"/>
      <c r="J428" s="253" t="n"/>
      <c r="K428" s="253"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253" t="n"/>
      <c r="J429" s="253" t="n"/>
      <c r="K429" s="253"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253" t="n"/>
      <c r="J430" s="253" t="n"/>
      <c r="K430" s="253"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253" t="n"/>
      <c r="J431" s="253" t="n"/>
      <c r="K431" s="253"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253" t="n"/>
      <c r="J432" s="253" t="n"/>
      <c r="K432" s="253"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253" t="n"/>
      <c r="J433" s="253" t="n"/>
      <c r="K433" s="253"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253" t="n"/>
      <c r="J434" s="253" t="n"/>
      <c r="K434" s="253"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253" t="n"/>
      <c r="J435" s="253" t="n"/>
      <c r="K435" s="253"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253" t="n"/>
      <c r="J436" s="253" t="n"/>
      <c r="K436" s="253"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253" t="n"/>
      <c r="J437" s="253" t="n"/>
      <c r="K437" s="253"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253" t="n"/>
      <c r="J438" s="253" t="n"/>
      <c r="K438" s="253"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253" t="n"/>
      <c r="J439" s="253" t="n"/>
      <c r="K439" s="253"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253" t="n"/>
      <c r="J440" s="253" t="n"/>
      <c r="K440" s="253"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253" t="n"/>
      <c r="J441" s="253" t="n"/>
      <c r="K441" s="253"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253" t="n"/>
      <c r="J442" s="253" t="n"/>
      <c r="K442" s="253"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253" t="n"/>
      <c r="J443" s="253" t="n"/>
      <c r="K443" s="253"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253" t="n"/>
      <c r="J444" s="253" t="n"/>
      <c r="K444" s="253"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253" t="n"/>
      <c r="J445" s="253" t="n"/>
      <c r="K445" s="253"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253" t="n"/>
      <c r="J446" s="253" t="n"/>
      <c r="K446" s="253"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253" t="n"/>
      <c r="J447" s="253" t="n"/>
      <c r="K447" s="253"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253" t="n"/>
      <c r="J448" s="253" t="n"/>
      <c r="K448" s="253"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253" t="n"/>
      <c r="J449" s="253" t="n"/>
      <c r="K449" s="253"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253" t="n"/>
      <c r="J450" s="253" t="n"/>
      <c r="K450" s="253"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253" t="n"/>
      <c r="J451" s="253" t="n"/>
      <c r="K451" s="253"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253" t="n"/>
      <c r="J452" s="253" t="n"/>
      <c r="K452" s="253"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253" t="n"/>
      <c r="J453" s="253" t="n"/>
      <c r="K453" s="253"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253" t="n"/>
      <c r="J454" s="253" t="n"/>
      <c r="K454" s="253"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253" t="n"/>
      <c r="J455" s="253" t="n"/>
      <c r="K455" s="253"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253" t="n"/>
      <c r="J456" s="253" t="n"/>
      <c r="K456" s="253"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253" t="n"/>
      <c r="J457" s="253" t="n"/>
      <c r="K457" s="253"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253" t="n"/>
      <c r="J458" s="253" t="n"/>
      <c r="K458" s="253"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253" t="n"/>
      <c r="J459" s="253" t="n"/>
      <c r="K459" s="253"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253" t="n"/>
      <c r="J460" s="253" t="n"/>
      <c r="K460" s="253"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253" t="n"/>
      <c r="J461" s="253" t="n"/>
      <c r="K461" s="253"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253" t="n"/>
      <c r="J462" s="253" t="n"/>
      <c r="K462" s="253"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253" t="n"/>
      <c r="J463" s="253" t="n"/>
      <c r="K463" s="253"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253" t="n"/>
      <c r="J464" s="253" t="n"/>
      <c r="K464" s="253"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253" t="n"/>
      <c r="J465" s="253" t="n"/>
      <c r="K465" s="253"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253" t="n"/>
      <c r="J466" s="253" t="n"/>
      <c r="K466" s="253"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253" t="n"/>
      <c r="J467" s="253" t="n"/>
      <c r="K467" s="253"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253" t="n"/>
      <c r="J468" s="253" t="n"/>
      <c r="K468" s="253"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253" t="n"/>
      <c r="J469" s="253" t="n"/>
      <c r="K469" s="253"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253" t="n"/>
      <c r="J470" s="253" t="n"/>
      <c r="K470" s="253"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253" t="n"/>
      <c r="J471" s="253" t="n"/>
      <c r="K471" s="253"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253" t="n"/>
      <c r="J472" s="253" t="n"/>
      <c r="K472" s="253"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253" t="n"/>
      <c r="J473" s="253" t="n"/>
      <c r="K473" s="253"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253" t="n"/>
      <c r="J474" s="253" t="n"/>
      <c r="K474" s="253"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253" t="n"/>
      <c r="J475" s="253" t="n"/>
      <c r="K475" s="253"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253" t="n"/>
      <c r="J476" s="253" t="n"/>
      <c r="K476" s="253"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253" t="n"/>
      <c r="J477" s="253" t="n"/>
      <c r="K477" s="253"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253" t="n"/>
      <c r="J478" s="253" t="n"/>
      <c r="K478" s="253"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253" t="n"/>
      <c r="J479" s="253" t="n"/>
      <c r="K479" s="253"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253" t="n"/>
      <c r="J480" s="253" t="n"/>
      <c r="K480" s="253"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253" t="n"/>
      <c r="J481" s="253" t="n"/>
      <c r="K481" s="253"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253" t="n"/>
      <c r="J482" s="253" t="n"/>
      <c r="K482" s="253"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253" t="n"/>
      <c r="J483" s="253" t="n"/>
      <c r="K483" s="253"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253" t="n"/>
      <c r="J484" s="253" t="n"/>
      <c r="K484" s="253"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253" t="n"/>
      <c r="J485" s="253" t="n"/>
      <c r="K485" s="253"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253" t="n"/>
      <c r="J486" s="253" t="n"/>
      <c r="K486" s="253"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253" t="n"/>
      <c r="J487" s="253" t="n"/>
      <c r="K487" s="253"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253" t="n"/>
      <c r="J488" s="253" t="n"/>
      <c r="K488" s="253"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253" t="n"/>
      <c r="J489" s="253" t="n"/>
      <c r="K489" s="253"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253" t="n"/>
      <c r="J490" s="253" t="n"/>
      <c r="K490" s="253"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253" t="n"/>
      <c r="J491" s="253" t="n"/>
      <c r="K491" s="253"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253" t="n"/>
      <c r="J492" s="253" t="n"/>
      <c r="K492" s="253"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253" t="n"/>
      <c r="J493" s="253" t="n"/>
      <c r="K493" s="253"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253" t="n"/>
      <c r="J494" s="253" t="n"/>
      <c r="K494" s="253"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253" t="n"/>
      <c r="J495" s="253" t="n"/>
      <c r="K495" s="253"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253" t="n"/>
      <c r="J496" s="253" t="n"/>
      <c r="K496" s="253"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253" t="n"/>
      <c r="J497" s="253" t="n"/>
      <c r="K497" s="253"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253" t="n"/>
      <c r="J498" s="253" t="n"/>
      <c r="K498" s="253"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253" t="n"/>
      <c r="J499" s="253" t="n"/>
      <c r="K499" s="253"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253" t="n"/>
      <c r="J500" s="253" t="n"/>
      <c r="K500" s="253"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253" t="n"/>
      <c r="J501" s="253" t="n"/>
      <c r="K501" s="253"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253" t="n"/>
      <c r="J502" s="253" t="n"/>
      <c r="K502" s="253"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253" t="n"/>
      <c r="J503" s="253" t="n"/>
      <c r="K503" s="253"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253" t="n"/>
      <c r="J504" s="253" t="n"/>
      <c r="K504" s="253"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253" t="n"/>
      <c r="J505" s="253" t="n"/>
      <c r="K505" s="253"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253" t="n"/>
      <c r="J506" s="253" t="n"/>
      <c r="K506" s="253"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253" t="n"/>
      <c r="J507" s="253" t="n"/>
      <c r="K507" s="253"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253" t="n"/>
      <c r="J508" s="253" t="n"/>
      <c r="K508" s="253"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253" t="n"/>
      <c r="J509" s="253" t="n"/>
      <c r="K509" s="253"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253" t="n"/>
      <c r="J510" s="253" t="n"/>
      <c r="K510" s="253"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253" t="n"/>
      <c r="J511" s="253" t="n"/>
      <c r="K511" s="253"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253" t="n"/>
      <c r="J512" s="253" t="n"/>
      <c r="K512" s="253"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253" t="n"/>
      <c r="J513" s="253" t="n"/>
      <c r="K513" s="253"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253" t="n"/>
      <c r="J514" s="253" t="n"/>
      <c r="K514" s="253"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253" t="n"/>
      <c r="J515" s="253" t="n"/>
      <c r="K515" s="253"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253" t="n"/>
      <c r="J516" s="253" t="n"/>
      <c r="K516" s="253"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253" t="n"/>
      <c r="J517" s="253" t="n"/>
      <c r="K517" s="253"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253" t="n"/>
      <c r="J518" s="253" t="n"/>
      <c r="K518" s="253"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253" t="n"/>
      <c r="J519" s="253" t="n"/>
      <c r="K519" s="253"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253" t="n"/>
      <c r="J520" s="253" t="n"/>
      <c r="K520" s="253"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253" t="n"/>
      <c r="J521" s="253" t="n"/>
      <c r="K521" s="253"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253" t="n"/>
      <c r="J522" s="253" t="n"/>
      <c r="K522" s="253"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253" t="n"/>
      <c r="J523" s="253" t="n"/>
      <c r="K523" s="253"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253" t="n"/>
      <c r="J524" s="253" t="n"/>
      <c r="K524" s="253"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253" t="n"/>
      <c r="J525" s="253" t="n"/>
      <c r="K525" s="253"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253" t="n"/>
      <c r="J526" s="253" t="n"/>
      <c r="K526" s="253"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253" t="n"/>
      <c r="J527" s="253" t="n"/>
      <c r="K527" s="253"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253" t="n"/>
      <c r="J528" s="253" t="n"/>
      <c r="K528" s="253"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253" t="n"/>
      <c r="J529" s="253" t="n"/>
      <c r="K529" s="253"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253" t="n"/>
      <c r="J530" s="253" t="n"/>
      <c r="K530" s="253"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253" t="n"/>
      <c r="J531" s="253" t="n"/>
      <c r="K531" s="253"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253" t="n"/>
      <c r="J532" s="253" t="n"/>
      <c r="K532" s="253"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253" t="n"/>
      <c r="J533" s="253" t="n"/>
      <c r="K533" s="253"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253" t="n"/>
      <c r="J534" s="253" t="n"/>
      <c r="K534" s="253"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253" t="n"/>
      <c r="J535" s="253" t="n"/>
      <c r="K535" s="253"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253" t="n"/>
      <c r="J536" s="253" t="n"/>
      <c r="K536" s="253"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253" t="n"/>
      <c r="J537" s="253" t="n"/>
      <c r="K537" s="253"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253" t="n"/>
      <c r="J538" s="253" t="n"/>
      <c r="K538" s="253"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253" t="n"/>
      <c r="J539" s="253" t="n"/>
      <c r="K539" s="253"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253" t="n"/>
      <c r="J540" s="253" t="n"/>
      <c r="K540" s="253"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253" t="n"/>
      <c r="J541" s="253" t="n"/>
      <c r="K541" s="253"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253" t="n"/>
      <c r="J542" s="253" t="n"/>
      <c r="K542" s="253"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253" t="n"/>
      <c r="J543" s="253" t="n"/>
      <c r="K543" s="253"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253" t="n"/>
      <c r="J544" s="253" t="n"/>
      <c r="K544" s="253"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253" t="n"/>
      <c r="J545" s="253" t="n"/>
      <c r="K545" s="253"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253" t="n"/>
      <c r="J546" s="253" t="n"/>
      <c r="K546" s="253"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253" t="n"/>
      <c r="J547" s="253" t="n"/>
      <c r="K547" s="253"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253" t="n"/>
      <c r="J548" s="253" t="n"/>
      <c r="K548" s="253"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253" t="n"/>
      <c r="J549" s="253" t="n"/>
      <c r="K549" s="253"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253" t="n"/>
      <c r="J550" s="253" t="n"/>
      <c r="K550" s="253"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253" t="n"/>
      <c r="J551" s="253" t="n"/>
      <c r="K551" s="253"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253" t="n"/>
      <c r="J552" s="253" t="n"/>
      <c r="K552" s="253"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253" t="n"/>
      <c r="J553" s="253" t="n"/>
      <c r="K553" s="253"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253" t="n"/>
      <c r="J554" s="253" t="n"/>
      <c r="K554" s="253"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253" t="n"/>
      <c r="J555" s="253" t="n"/>
      <c r="K555" s="253"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253" t="n"/>
      <c r="J556" s="253" t="n"/>
      <c r="K556" s="253"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253" t="n"/>
      <c r="J557" s="253" t="n"/>
      <c r="K557" s="253"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253" t="n"/>
      <c r="J558" s="253" t="n"/>
      <c r="K558" s="253"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253" t="n"/>
      <c r="J559" s="253" t="n"/>
      <c r="K559" s="253"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253" t="n"/>
      <c r="J560" s="253" t="n"/>
      <c r="K560" s="253"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253" t="n"/>
      <c r="J561" s="253" t="n"/>
      <c r="K561" s="253"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253" t="n"/>
      <c r="J562" s="253" t="n"/>
      <c r="K562" s="253"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253" t="n"/>
      <c r="J563" s="253" t="n"/>
      <c r="K563" s="253"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253" t="n"/>
      <c r="J564" s="253" t="n"/>
      <c r="K564" s="253"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253" t="n"/>
      <c r="J565" s="253" t="n"/>
      <c r="K565" s="253"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253" t="n"/>
      <c r="J566" s="253" t="n"/>
      <c r="K566" s="253"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253" t="n"/>
      <c r="J567" s="253" t="n"/>
      <c r="K567" s="253"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253" t="n"/>
      <c r="J568" s="253" t="n"/>
      <c r="K568" s="253"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253" t="n"/>
      <c r="J569" s="253" t="n"/>
      <c r="K569" s="253"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253" t="n"/>
      <c r="J570" s="253" t="n"/>
      <c r="K570" s="253"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253" t="n"/>
      <c r="J571" s="253" t="n"/>
      <c r="K571" s="253"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253" t="n"/>
      <c r="J572" s="253" t="n"/>
      <c r="K572" s="253"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253" t="n"/>
      <c r="J573" s="253" t="n"/>
      <c r="K573" s="253"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253" t="n"/>
      <c r="J574" s="253" t="n"/>
      <c r="K574" s="253"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253" t="n"/>
      <c r="J575" s="253" t="n"/>
      <c r="K575" s="253"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253" t="n"/>
      <c r="J576" s="253" t="n"/>
      <c r="K576" s="253"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253" t="n"/>
      <c r="J577" s="253" t="n"/>
      <c r="K577" s="253"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253" t="n"/>
      <c r="J578" s="253" t="n"/>
      <c r="K578" s="253"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253" t="n"/>
      <c r="J579" s="253" t="n"/>
      <c r="K579" s="253"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253" t="n"/>
      <c r="J580" s="253" t="n"/>
      <c r="K580" s="253"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253" t="n"/>
      <c r="J581" s="253" t="n"/>
      <c r="K581" s="253"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253" t="n"/>
      <c r="J582" s="253" t="n"/>
      <c r="K582" s="253"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253" t="n"/>
      <c r="J583" s="253" t="n"/>
      <c r="K583" s="253"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253" t="n"/>
      <c r="J584" s="253" t="n"/>
      <c r="K584" s="253"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253" t="n"/>
      <c r="J585" s="253" t="n"/>
      <c r="K585" s="253"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253" t="n"/>
      <c r="J586" s="253" t="n"/>
      <c r="K586" s="253"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253" t="n"/>
      <c r="J587" s="253" t="n"/>
      <c r="K587" s="253"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253" t="n"/>
      <c r="J588" s="253" t="n"/>
      <c r="K588" s="253"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253" t="n"/>
      <c r="J589" s="253" t="n"/>
      <c r="K589" s="253"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253" t="n"/>
      <c r="J590" s="253" t="n"/>
      <c r="K590" s="253"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253" t="n"/>
      <c r="J591" s="253" t="n"/>
      <c r="K591" s="253"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253" t="n"/>
      <c r="J592" s="253" t="n"/>
      <c r="K592" s="253"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253" t="n"/>
      <c r="J593" s="253" t="n"/>
      <c r="K593" s="253"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253" t="n"/>
      <c r="J594" s="253" t="n"/>
      <c r="K594" s="253"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253" t="n"/>
      <c r="J595" s="253" t="n"/>
      <c r="K595" s="253"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253" t="n"/>
      <c r="J596" s="253" t="n"/>
      <c r="K596" s="253"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253" t="n"/>
      <c r="J597" s="253" t="n"/>
      <c r="K597" s="253"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253" t="n"/>
      <c r="J598" s="253" t="n"/>
      <c r="K598" s="253"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253" t="n"/>
      <c r="J599" s="253" t="n"/>
      <c r="K599" s="253"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253" t="n"/>
      <c r="J600" s="253" t="n"/>
      <c r="K600" s="253"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253" t="n"/>
      <c r="J601" s="253" t="n"/>
      <c r="K601" s="253"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253" t="n"/>
      <c r="J602" s="253" t="n"/>
      <c r="K602" s="253"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253" t="n"/>
      <c r="J603" s="253" t="n"/>
      <c r="K603" s="253"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253" t="n"/>
      <c r="J604" s="253" t="n"/>
      <c r="K604" s="253"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253" t="n"/>
      <c r="J605" s="253" t="n"/>
      <c r="K605" s="253"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253" t="n"/>
      <c r="J606" s="253" t="n"/>
      <c r="K606" s="253"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253" t="n"/>
      <c r="J607" s="253" t="n"/>
      <c r="K607" s="253"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253" t="n"/>
      <c r="J608" s="253" t="n"/>
      <c r="K608" s="253"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253" t="n"/>
      <c r="J609" s="253" t="n"/>
      <c r="K609" s="253"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253" t="n"/>
      <c r="J610" s="253" t="n"/>
      <c r="K610" s="253"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253" t="n"/>
      <c r="J611" s="253" t="n"/>
      <c r="K611" s="253"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253" t="n"/>
      <c r="J612" s="253" t="n"/>
      <c r="K612" s="253"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253" t="n"/>
      <c r="J613" s="253" t="n"/>
      <c r="K613" s="253"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253" t="n"/>
      <c r="J614" s="253" t="n"/>
      <c r="K614" s="253"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253" t="n"/>
      <c r="J615" s="253" t="n"/>
      <c r="K615" s="253"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253" t="n"/>
      <c r="J616" s="253" t="n"/>
      <c r="K616" s="253"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253" t="n"/>
      <c r="J617" s="253" t="n"/>
      <c r="K617" s="253"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253" t="n"/>
      <c r="J618" s="253" t="n"/>
      <c r="K618" s="253"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253" t="n"/>
      <c r="J619" s="253" t="n"/>
      <c r="K619" s="253"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253" t="n"/>
      <c r="J620" s="253" t="n"/>
      <c r="K620" s="253"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253" t="n"/>
      <c r="J621" s="253" t="n"/>
      <c r="K621" s="253"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253" t="n"/>
      <c r="J622" s="253" t="n"/>
      <c r="K622" s="253"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253" t="n"/>
      <c r="J623" s="253" t="n"/>
      <c r="K623" s="253"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253" t="n"/>
      <c r="J624" s="253" t="n"/>
      <c r="K624" s="253"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253" t="n"/>
      <c r="J625" s="253" t="n"/>
      <c r="K625" s="253"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253" t="n"/>
      <c r="J626" s="253" t="n"/>
      <c r="K626" s="253"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253" t="n"/>
      <c r="J627" s="253" t="n"/>
      <c r="K627" s="253"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253" t="n"/>
      <c r="J628" s="253" t="n"/>
      <c r="K628" s="253"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253" t="n"/>
      <c r="J629" s="253" t="n"/>
      <c r="K629" s="253"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253" t="n"/>
      <c r="J630" s="253" t="n"/>
      <c r="K630" s="253"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253" t="n"/>
      <c r="J631" s="253" t="n"/>
      <c r="K631" s="253"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253" t="n"/>
      <c r="J632" s="253" t="n"/>
      <c r="K632" s="253"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253" t="n"/>
      <c r="J633" s="253" t="n"/>
      <c r="K633" s="253"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253" t="n"/>
      <c r="J634" s="253" t="n"/>
      <c r="K634" s="253"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253" t="n"/>
      <c r="J635" s="253" t="n"/>
      <c r="K635" s="253"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253" t="n"/>
      <c r="J636" s="253" t="n"/>
      <c r="K636" s="253"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253" t="n"/>
      <c r="J637" s="253" t="n"/>
      <c r="K637" s="253"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253" t="n"/>
      <c r="J638" s="253" t="n"/>
      <c r="K638" s="253"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253" t="n"/>
      <c r="J639" s="253" t="n"/>
      <c r="K639" s="253"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253" t="n"/>
      <c r="J640" s="253" t="n"/>
      <c r="K640" s="253"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253" t="n"/>
      <c r="J641" s="253" t="n"/>
      <c r="K641" s="253"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253" t="n"/>
      <c r="J642" s="253" t="n"/>
      <c r="K642" s="253"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253" t="n"/>
      <c r="J643" s="253" t="n"/>
      <c r="K643" s="253"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253" t="n"/>
      <c r="J644" s="253" t="n"/>
      <c r="K644" s="253"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253" t="n"/>
      <c r="J645" s="253" t="n"/>
      <c r="K645" s="253"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253" t="n"/>
      <c r="J646" s="253" t="n"/>
      <c r="K646" s="253"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253" t="n"/>
      <c r="J647" s="253" t="n"/>
      <c r="K647" s="253"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253" t="n"/>
      <c r="J648" s="253" t="n"/>
      <c r="K648" s="253"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253" t="n"/>
      <c r="J649" s="253" t="n"/>
      <c r="K649" s="253"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253" t="n"/>
      <c r="J650" s="253" t="n"/>
      <c r="K650" s="253"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253" t="n"/>
      <c r="J651" s="253" t="n"/>
      <c r="K651" s="253"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253" t="n"/>
      <c r="J652" s="253" t="n"/>
      <c r="K652" s="253"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253" t="n"/>
      <c r="J653" s="253" t="n"/>
      <c r="K653" s="253"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253" t="n"/>
      <c r="J654" s="253" t="n"/>
      <c r="K654" s="253"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253" t="n"/>
      <c r="J655" s="253" t="n"/>
      <c r="K655" s="253"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253" t="n"/>
      <c r="J656" s="253" t="n"/>
      <c r="K656" s="253"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253" t="n"/>
      <c r="J657" s="253" t="n"/>
      <c r="K657" s="253"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253" t="n"/>
      <c r="J658" s="253" t="n"/>
      <c r="K658" s="253"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253" t="n"/>
      <c r="J659" s="253" t="n"/>
      <c r="K659" s="253"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253" t="n"/>
      <c r="J660" s="253" t="n"/>
      <c r="K660" s="253"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253" t="n"/>
      <c r="J661" s="253" t="n"/>
      <c r="K661" s="253"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253" t="n"/>
      <c r="J662" s="253" t="n"/>
      <c r="K662" s="253"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253" t="n"/>
      <c r="J663" s="253" t="n"/>
      <c r="K663" s="253"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253" t="n"/>
      <c r="J664" s="253" t="n"/>
      <c r="K664" s="253"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253" t="n"/>
      <c r="J665" s="253" t="n"/>
      <c r="K665" s="253"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253" t="n"/>
      <c r="J666" s="253" t="n"/>
      <c r="K666" s="253"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253" t="n"/>
      <c r="J667" s="253" t="n"/>
      <c r="K667" s="253"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253" t="n"/>
      <c r="J668" s="253" t="n"/>
      <c r="K668" s="253"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253" t="n"/>
      <c r="J669" s="253" t="n"/>
      <c r="K669" s="253"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253" t="n"/>
      <c r="J670" s="253" t="n"/>
      <c r="K670" s="253"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253" t="n"/>
      <c r="J671" s="253" t="n"/>
      <c r="K671" s="253"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253" t="n"/>
      <c r="J672" s="253" t="n"/>
      <c r="K672" s="253"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253" t="n"/>
      <c r="J673" s="253" t="n"/>
      <c r="K673" s="253"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253" t="n"/>
      <c r="J674" s="253" t="n"/>
      <c r="K674" s="253"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253" t="n"/>
      <c r="J675" s="253" t="n"/>
      <c r="K675" s="253"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253" t="n"/>
      <c r="J676" s="253" t="n"/>
      <c r="K676" s="253"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253" t="n"/>
      <c r="J677" s="253" t="n"/>
      <c r="K677" s="253"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253" t="n"/>
      <c r="J678" s="253" t="n"/>
      <c r="K678" s="253"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253" t="n"/>
      <c r="J679" s="253" t="n"/>
      <c r="K679" s="253"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253" t="n"/>
      <c r="J680" s="253" t="n"/>
      <c r="K680" s="253"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253" t="n"/>
      <c r="J681" s="253" t="n"/>
      <c r="K681" s="253"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253" t="n"/>
      <c r="J682" s="253" t="n"/>
      <c r="K682" s="253"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253" t="n"/>
      <c r="J683" s="253" t="n"/>
      <c r="K683" s="253"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253" t="n"/>
      <c r="J684" s="253" t="n"/>
      <c r="K684" s="253"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253" t="n"/>
      <c r="J685" s="253" t="n"/>
      <c r="K685" s="253"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253" t="n"/>
      <c r="J686" s="253" t="n"/>
      <c r="K686" s="253"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253" t="n"/>
      <c r="J687" s="253" t="n"/>
      <c r="K687" s="253"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253" t="n"/>
      <c r="J688" s="253" t="n"/>
      <c r="K688" s="253"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253" t="n"/>
      <c r="J689" s="253" t="n"/>
      <c r="K689" s="253"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253" t="n"/>
      <c r="J690" s="253" t="n"/>
      <c r="K690" s="253"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253" t="n"/>
      <c r="J691" s="253" t="n"/>
      <c r="K691" s="253"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253" t="n"/>
      <c r="J692" s="253" t="n"/>
      <c r="K692" s="253"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253" t="n"/>
      <c r="J693" s="253" t="n"/>
      <c r="K693" s="253"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253" t="n"/>
      <c r="J694" s="253" t="n"/>
      <c r="K694" s="253"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253" t="n"/>
      <c r="J695" s="253" t="n"/>
      <c r="K695" s="253"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253" t="n"/>
      <c r="J696" s="253" t="n"/>
      <c r="K696" s="253"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253" t="n"/>
      <c r="J697" s="253" t="n"/>
      <c r="K697" s="253"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253" t="n"/>
      <c r="J698" s="253" t="n"/>
      <c r="K698" s="253"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253" t="n"/>
      <c r="J699" s="253" t="n"/>
      <c r="K699" s="253"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253" t="n"/>
      <c r="J700" s="253" t="n"/>
      <c r="K700" s="253"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253" t="n"/>
      <c r="J701" s="253" t="n"/>
      <c r="K701" s="253"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253" t="n"/>
      <c r="J702" s="253" t="n"/>
      <c r="K702" s="253"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253" t="n"/>
      <c r="J703" s="253" t="n"/>
      <c r="K703" s="253"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253" t="n"/>
      <c r="J704" s="253" t="n"/>
      <c r="K704" s="253"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253" t="n"/>
      <c r="J705" s="253" t="n"/>
      <c r="K705" s="253"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253" t="n"/>
      <c r="J706" s="253" t="n"/>
      <c r="K706" s="253"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253" t="n"/>
      <c r="J707" s="253" t="n"/>
      <c r="K707" s="253"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253" t="n"/>
      <c r="J708" s="253" t="n"/>
      <c r="K708" s="253"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253" t="n"/>
      <c r="J709" s="253" t="n"/>
      <c r="K709" s="253"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253" t="n"/>
      <c r="J710" s="253" t="n"/>
      <c r="K710" s="253"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253" t="n"/>
      <c r="J711" s="253" t="n"/>
      <c r="K711" s="253"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253" t="n"/>
      <c r="J712" s="253" t="n"/>
      <c r="K712" s="253"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253" t="n"/>
      <c r="J713" s="253" t="n"/>
      <c r="K713" s="253"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253" t="n"/>
      <c r="J714" s="253" t="n"/>
      <c r="K714" s="253"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253" t="n"/>
      <c r="J715" s="253" t="n"/>
      <c r="K715" s="253"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253" t="n"/>
      <c r="J716" s="253" t="n"/>
      <c r="K716" s="253"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253" t="n"/>
      <c r="J717" s="253" t="n"/>
      <c r="K717" s="253"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253" t="n"/>
      <c r="J718" s="253" t="n"/>
      <c r="K718" s="253"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253" t="n"/>
      <c r="J719" s="253" t="n"/>
      <c r="K719" s="253"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253" t="n"/>
      <c r="J720" s="253" t="n"/>
      <c r="K720" s="253"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253" t="n"/>
      <c r="J721" s="253" t="n"/>
      <c r="K721" s="253"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253" t="n"/>
      <c r="J722" s="253" t="n"/>
      <c r="K722" s="253"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253" t="n"/>
      <c r="J723" s="253" t="n"/>
      <c r="K723" s="253"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253" t="n"/>
      <c r="J724" s="253" t="n"/>
      <c r="K724" s="253"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253" t="n"/>
      <c r="J725" s="253" t="n"/>
      <c r="K725" s="253"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253" t="n"/>
      <c r="J726" s="253" t="n"/>
      <c r="K726" s="253"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253" t="n"/>
      <c r="J727" s="253" t="n"/>
      <c r="K727" s="253"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253" t="n"/>
      <c r="J728" s="253" t="n"/>
      <c r="K728" s="253"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253" t="n"/>
      <c r="J729" s="253" t="n"/>
      <c r="K729" s="253"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253" t="n"/>
      <c r="J730" s="253" t="n"/>
      <c r="K730" s="253"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253" t="n"/>
      <c r="J731" s="253" t="n"/>
      <c r="K731" s="253"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253" t="n"/>
      <c r="J732" s="253" t="n"/>
      <c r="K732" s="253"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253" t="n"/>
      <c r="J733" s="253" t="n"/>
      <c r="K733" s="253"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253" t="n"/>
      <c r="J734" s="253" t="n"/>
      <c r="K734" s="253"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253" t="n"/>
      <c r="J735" s="253" t="n"/>
      <c r="K735" s="253"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253" t="n"/>
      <c r="J736" s="253" t="n"/>
      <c r="K736" s="253"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253" t="n"/>
      <c r="J737" s="253" t="n"/>
      <c r="K737" s="253"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253" t="n"/>
      <c r="J738" s="253" t="n"/>
      <c r="K738" s="253"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253" t="n"/>
      <c r="J739" s="253" t="n"/>
      <c r="K739" s="253"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253" t="n"/>
      <c r="J740" s="253" t="n"/>
      <c r="K740" s="253"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253" t="n"/>
      <c r="J741" s="253" t="n"/>
      <c r="K741" s="253"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253" t="n"/>
      <c r="J742" s="253" t="n"/>
      <c r="K742" s="253"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253" t="n"/>
      <c r="J743" s="253" t="n"/>
      <c r="K743" s="253"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253" t="n"/>
      <c r="J744" s="253" t="n"/>
      <c r="K744" s="253"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253" t="n"/>
      <c r="J745" s="253" t="n"/>
      <c r="K745" s="253"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253" t="n"/>
      <c r="J746" s="253" t="n"/>
      <c r="K746" s="253"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253" t="n"/>
      <c r="J747" s="253" t="n"/>
      <c r="K747" s="253"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253" t="n"/>
      <c r="J748" s="253" t="n"/>
      <c r="K748" s="253"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253" t="n"/>
      <c r="J749" s="253" t="n"/>
      <c r="K749" s="253"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253" t="n"/>
      <c r="J750" s="253" t="n"/>
      <c r="K750" s="253"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253" t="n"/>
      <c r="J751" s="253" t="n"/>
      <c r="K751" s="253"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253" t="n"/>
      <c r="J752" s="253" t="n"/>
      <c r="K752" s="253"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253" t="n"/>
      <c r="J753" s="253" t="n"/>
      <c r="K753" s="253"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253" t="n"/>
      <c r="J754" s="253" t="n"/>
      <c r="K754" s="253"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253" t="n"/>
      <c r="J755" s="253" t="n"/>
      <c r="K755" s="253"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253" t="n"/>
      <c r="J756" s="253" t="n"/>
      <c r="K756" s="253"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253" t="n"/>
      <c r="J757" s="253" t="n"/>
      <c r="K757" s="253"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253" t="n"/>
      <c r="J758" s="253" t="n"/>
      <c r="K758" s="253"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253" t="n"/>
      <c r="J759" s="253" t="n"/>
      <c r="K759" s="253"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253" t="n"/>
      <c r="J760" s="253" t="n"/>
      <c r="K760" s="253"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253" t="n"/>
      <c r="J761" s="253" t="n"/>
      <c r="K761" s="253"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253" t="n"/>
      <c r="J762" s="253" t="n"/>
      <c r="K762" s="253"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253" t="n"/>
      <c r="J763" s="253" t="n"/>
      <c r="K763" s="253"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253" t="n"/>
      <c r="J764" s="253" t="n"/>
      <c r="K764" s="253"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253" t="n"/>
      <c r="J765" s="253" t="n"/>
      <c r="K765" s="253"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253" t="n"/>
      <c r="J766" s="253" t="n"/>
      <c r="K766" s="253"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253" t="n"/>
      <c r="J767" s="253" t="n"/>
      <c r="K767" s="253"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253" t="n"/>
      <c r="J768" s="253" t="n"/>
      <c r="K768" s="253"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253" t="n"/>
      <c r="J769" s="253" t="n"/>
      <c r="K769" s="253"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253" t="n"/>
      <c r="J770" s="253" t="n"/>
      <c r="K770" s="253"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253" t="n"/>
      <c r="J771" s="253" t="n"/>
      <c r="K771" s="253"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253" t="n"/>
      <c r="J772" s="253" t="n"/>
      <c r="K772" s="253"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253" t="n"/>
      <c r="J773" s="253" t="n"/>
      <c r="K773" s="253"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253" t="n"/>
      <c r="J774" s="253" t="n"/>
      <c r="K774" s="253"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253" t="n"/>
      <c r="J775" s="253" t="n"/>
      <c r="K775" s="253"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253" t="n"/>
      <c r="J776" s="253" t="n"/>
      <c r="K776" s="253"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253" t="n"/>
      <c r="J777" s="253" t="n"/>
      <c r="K777" s="253"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253" t="n"/>
      <c r="J778" s="253" t="n"/>
      <c r="K778" s="253"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253" t="n"/>
      <c r="J779" s="253" t="n"/>
      <c r="K779" s="253"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253" t="n"/>
      <c r="J780" s="253" t="n"/>
      <c r="K780" s="253"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253" t="n"/>
      <c r="J781" s="253" t="n"/>
      <c r="K781" s="253"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253" t="n"/>
      <c r="J782" s="253" t="n"/>
      <c r="K782" s="253"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253" t="n"/>
      <c r="J783" s="253" t="n"/>
      <c r="K783" s="253"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253" t="n"/>
      <c r="J784" s="253" t="n"/>
      <c r="K784" s="253"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253" t="n"/>
      <c r="J785" s="253" t="n"/>
      <c r="K785" s="253"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253" t="n"/>
      <c r="J786" s="253" t="n"/>
      <c r="K786" s="253"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253" t="n"/>
      <c r="J787" s="253" t="n"/>
      <c r="K787" s="253"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253" t="n"/>
      <c r="J788" s="253" t="n"/>
      <c r="K788" s="253"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253" t="n"/>
      <c r="J789" s="253" t="n"/>
      <c r="K789" s="253"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253" t="n"/>
      <c r="J790" s="253" t="n"/>
      <c r="K790" s="253"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253" t="n"/>
      <c r="J791" s="253" t="n"/>
      <c r="K791" s="253"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253" t="n"/>
      <c r="J792" s="253" t="n"/>
      <c r="K792" s="253"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253" t="n"/>
      <c r="J793" s="253" t="n"/>
      <c r="K793" s="253"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253" t="n"/>
      <c r="J794" s="253" t="n"/>
      <c r="K794" s="253"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253" t="n"/>
      <c r="J795" s="253" t="n"/>
      <c r="K795" s="253"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253" t="n"/>
      <c r="J796" s="253" t="n"/>
      <c r="K796" s="253"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253" t="n"/>
      <c r="J797" s="253" t="n"/>
      <c r="K797" s="253"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253" t="n"/>
      <c r="J798" s="253" t="n"/>
      <c r="K798" s="253"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253" t="n"/>
      <c r="J799" s="253" t="n"/>
      <c r="K799" s="253"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253" t="n"/>
      <c r="J800" s="253" t="n"/>
      <c r="K800" s="253"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253" t="n"/>
      <c r="J801" s="253" t="n"/>
      <c r="K801" s="253"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253" t="n"/>
      <c r="J802" s="253" t="n"/>
      <c r="K802" s="253"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253" t="n"/>
      <c r="J803" s="253" t="n"/>
      <c r="K803" s="253"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253" t="n"/>
      <c r="J804" s="253" t="n"/>
      <c r="K804" s="253"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253" t="n"/>
      <c r="J805" s="253" t="n"/>
      <c r="K805" s="253"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253" t="n"/>
      <c r="J806" s="253" t="n"/>
      <c r="K806" s="253"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253" t="n"/>
      <c r="J807" s="253" t="n"/>
      <c r="K807" s="253"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253" t="n"/>
      <c r="J808" s="253" t="n"/>
      <c r="K808" s="253"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253" t="n"/>
      <c r="J809" s="253" t="n"/>
      <c r="K809" s="253"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253" t="n"/>
      <c r="J810" s="253" t="n"/>
      <c r="K810" s="253"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253" t="n"/>
      <c r="J811" s="253" t="n"/>
      <c r="K811" s="253"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253" t="n"/>
      <c r="J812" s="253" t="n"/>
      <c r="K812" s="253"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253" t="n"/>
      <c r="J813" s="253" t="n"/>
      <c r="K813" s="253"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253" t="n"/>
      <c r="J814" s="253" t="n"/>
      <c r="K814" s="253"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253" t="n"/>
      <c r="J815" s="253" t="n"/>
      <c r="K815" s="253"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253" t="n"/>
      <c r="J816" s="253" t="n"/>
      <c r="K816" s="253"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253" t="n"/>
      <c r="J817" s="253" t="n"/>
      <c r="K817" s="253"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253" t="n"/>
      <c r="J818" s="253" t="n"/>
      <c r="K818" s="253"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253" t="n"/>
      <c r="J819" s="253" t="n"/>
      <c r="K819" s="253"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253" t="n"/>
      <c r="J820" s="253" t="n"/>
      <c r="K820" s="253"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253" t="n"/>
      <c r="J821" s="253" t="n"/>
      <c r="K821" s="253"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253" t="n"/>
      <c r="J822" s="253" t="n"/>
      <c r="K822" s="253"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253" t="n"/>
      <c r="J823" s="253" t="n"/>
      <c r="K823" s="253"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253" t="n"/>
      <c r="J824" s="253" t="n"/>
      <c r="K824" s="253"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253" t="n"/>
      <c r="J825" s="253" t="n"/>
      <c r="K825" s="253"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253" t="n"/>
      <c r="J826" s="253" t="n"/>
      <c r="K826" s="253"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253" t="n"/>
      <c r="J827" s="253" t="n"/>
      <c r="K827" s="253"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253" t="n"/>
      <c r="J828" s="253" t="n"/>
      <c r="K828" s="253"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253" t="n"/>
      <c r="J829" s="253" t="n"/>
      <c r="K829" s="253"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253" t="n"/>
      <c r="J830" s="253" t="n"/>
      <c r="K830" s="253"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253" t="n"/>
      <c r="J831" s="253" t="n"/>
      <c r="K831" s="253"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253" t="n"/>
      <c r="J832" s="253" t="n"/>
      <c r="K832" s="253"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253" t="n"/>
      <c r="J833" s="253" t="n"/>
      <c r="K833" s="253"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253" t="n"/>
      <c r="J834" s="253" t="n"/>
      <c r="K834" s="253"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253" t="n"/>
      <c r="J835" s="253" t="n"/>
      <c r="K835" s="253"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253" t="n"/>
      <c r="J836" s="253" t="n"/>
      <c r="K836" s="253"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253" t="n"/>
      <c r="J837" s="253" t="n"/>
      <c r="K837" s="253"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253" t="n"/>
      <c r="J838" s="253" t="n"/>
      <c r="K838" s="253"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253" t="n"/>
      <c r="J839" s="253" t="n"/>
      <c r="K839" s="253"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253" t="n"/>
      <c r="J840" s="253" t="n"/>
      <c r="K840" s="253"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253" t="n"/>
      <c r="J841" s="253" t="n"/>
      <c r="K841" s="253"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253" t="n"/>
      <c r="J842" s="253" t="n"/>
      <c r="K842" s="253"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253" t="n"/>
      <c r="J843" s="253" t="n"/>
      <c r="K843" s="253"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253" t="n"/>
      <c r="J844" s="253" t="n"/>
      <c r="K844" s="253"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253" t="n"/>
      <c r="J845" s="253" t="n"/>
      <c r="K845" s="253"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253" t="n"/>
      <c r="J846" s="253" t="n"/>
      <c r="K846" s="253"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253" t="n"/>
      <c r="J847" s="253" t="n"/>
      <c r="K847" s="253"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253" t="n"/>
      <c r="J848" s="253" t="n"/>
      <c r="K848" s="253"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253" t="n"/>
      <c r="J849" s="253" t="n"/>
      <c r="K849" s="253"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253" t="n"/>
      <c r="J850" s="253" t="n"/>
      <c r="K850" s="253"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253" t="n"/>
      <c r="J851" s="253" t="n"/>
      <c r="K851" s="253"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253" t="n"/>
      <c r="J852" s="253" t="n"/>
      <c r="K852" s="253"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253" t="n"/>
      <c r="J853" s="253" t="n"/>
      <c r="K853" s="253"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253" t="n"/>
      <c r="J854" s="253" t="n"/>
      <c r="K854" s="253"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253" t="n"/>
      <c r="J855" s="253" t="n"/>
      <c r="K855" s="253"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253" t="n"/>
      <c r="J856" s="253" t="n"/>
      <c r="K856" s="253"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253" t="n"/>
      <c r="J857" s="253" t="n"/>
      <c r="K857" s="253"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253" t="n"/>
      <c r="J858" s="253" t="n"/>
      <c r="K858" s="253"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253" t="n"/>
      <c r="J859" s="253" t="n"/>
      <c r="K859" s="253"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253" t="n"/>
      <c r="J860" s="253" t="n"/>
      <c r="K860" s="253"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253" t="n"/>
      <c r="J861" s="253" t="n"/>
      <c r="K861" s="253"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253" t="n"/>
      <c r="J862" s="253" t="n"/>
      <c r="K862" s="253"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253" t="n"/>
      <c r="J863" s="253" t="n"/>
      <c r="K863" s="253"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253" t="n"/>
      <c r="J864" s="253" t="n"/>
      <c r="K864" s="253"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253" t="n"/>
      <c r="J865" s="253" t="n"/>
      <c r="K865" s="253"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253" t="n"/>
      <c r="J866" s="253" t="n"/>
      <c r="K866" s="253"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253" t="n"/>
      <c r="J867" s="253" t="n"/>
      <c r="K867" s="253"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253" t="n"/>
      <c r="J868" s="253" t="n"/>
      <c r="K868" s="253"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253" t="n"/>
      <c r="J869" s="253" t="n"/>
      <c r="K869" s="253"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253" t="n"/>
      <c r="J870" s="253" t="n"/>
      <c r="K870" s="253"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253" t="n"/>
      <c r="J871" s="253" t="n"/>
      <c r="K871" s="253"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253" t="n"/>
      <c r="J872" s="253" t="n"/>
      <c r="K872" s="253"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253" t="n"/>
      <c r="J873" s="253" t="n"/>
      <c r="K873" s="253"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253" t="n"/>
      <c r="J874" s="253" t="n"/>
      <c r="K874" s="253"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253" t="n"/>
      <c r="J875" s="253" t="n"/>
      <c r="K875" s="253"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253" t="n"/>
      <c r="J876" s="253" t="n"/>
      <c r="K876" s="253"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253" t="n"/>
      <c r="J877" s="253" t="n"/>
      <c r="K877" s="253"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253" t="n"/>
      <c r="J878" s="253" t="n"/>
      <c r="K878" s="253"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253" t="n"/>
      <c r="J879" s="253" t="n"/>
      <c r="K879" s="253"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253" t="n"/>
      <c r="J880" s="253" t="n"/>
      <c r="K880" s="253"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253" t="n"/>
      <c r="J881" s="253" t="n"/>
      <c r="K881" s="253"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253" t="n"/>
      <c r="J882" s="253" t="n"/>
      <c r="K882" s="253"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253" t="n"/>
      <c r="J883" s="253" t="n"/>
      <c r="K883" s="253"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253" t="n"/>
      <c r="J884" s="253" t="n"/>
      <c r="K884" s="253"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253" t="n"/>
      <c r="J885" s="253" t="n"/>
      <c r="K885" s="253"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253" t="n"/>
      <c r="J886" s="253" t="n"/>
      <c r="K886" s="253"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253" t="n"/>
      <c r="J887" s="253" t="n"/>
      <c r="K887" s="253"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253" t="n"/>
      <c r="J888" s="253" t="n"/>
      <c r="K888" s="253"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253" t="n"/>
      <c r="J889" s="253" t="n"/>
      <c r="K889" s="253"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253" t="n"/>
      <c r="J890" s="253" t="n"/>
      <c r="K890" s="253"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253" t="n"/>
      <c r="J891" s="253" t="n"/>
      <c r="K891" s="253"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253" t="n"/>
      <c r="J892" s="253" t="n"/>
      <c r="K892" s="253"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253" t="n"/>
      <c r="J893" s="253" t="n"/>
      <c r="K893" s="253"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253" t="n"/>
      <c r="J894" s="253" t="n"/>
      <c r="K894" s="253"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253" t="n"/>
      <c r="J895" s="253" t="n"/>
      <c r="K895" s="253"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253" t="n"/>
      <c r="J896" s="253" t="n"/>
      <c r="K896" s="253"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253" t="n"/>
      <c r="J897" s="253" t="n"/>
      <c r="K897" s="253"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253" t="n"/>
      <c r="J898" s="253" t="n"/>
      <c r="K898" s="253"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253" t="n"/>
      <c r="J899" s="253" t="n"/>
      <c r="K899" s="253"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253" t="n"/>
      <c r="J900" s="253" t="n"/>
      <c r="K900" s="253"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253" t="n"/>
      <c r="J901" s="253" t="n"/>
      <c r="K901" s="253"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253" t="n"/>
      <c r="J902" s="253" t="n"/>
      <c r="K902" s="253"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253" t="n"/>
      <c r="J903" s="253" t="n"/>
      <c r="K903" s="253"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253" t="n"/>
      <c r="J904" s="253" t="n"/>
      <c r="K904" s="253"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253" t="n"/>
      <c r="J905" s="253" t="n"/>
      <c r="K905" s="253"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253" t="n"/>
      <c r="J906" s="253" t="n"/>
      <c r="K906" s="253"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253" t="n"/>
      <c r="J907" s="253" t="n"/>
      <c r="K907" s="253"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253" t="n"/>
      <c r="J908" s="253" t="n"/>
      <c r="K908" s="253"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253" t="n"/>
      <c r="J909" s="253" t="n"/>
      <c r="K909" s="253"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253" t="n"/>
      <c r="J910" s="253" t="n"/>
      <c r="K910" s="253"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253" t="n"/>
      <c r="J911" s="253" t="n"/>
      <c r="K911" s="253"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253" t="n"/>
      <c r="J912" s="253" t="n"/>
      <c r="K912" s="253"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253" t="n"/>
      <c r="J913" s="253" t="n"/>
      <c r="K913" s="253"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253" t="n"/>
      <c r="J914" s="253" t="n"/>
      <c r="K914" s="253"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253" t="n"/>
      <c r="J915" s="253" t="n"/>
      <c r="K915" s="253"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253" t="n"/>
      <c r="J916" s="253" t="n"/>
      <c r="K916" s="253"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253" t="n"/>
      <c r="J917" s="253" t="n"/>
      <c r="K917" s="253"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253" t="n"/>
      <c r="J918" s="253" t="n"/>
      <c r="K918" s="253"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253" t="n"/>
      <c r="J919" s="253" t="n"/>
      <c r="K919" s="253"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253" t="n"/>
      <c r="J920" s="253" t="n"/>
      <c r="K920" s="253"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253" t="n"/>
      <c r="J921" s="253" t="n"/>
      <c r="K921" s="253"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253" t="n"/>
      <c r="J922" s="253" t="n"/>
      <c r="K922" s="253"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253" t="n"/>
      <c r="J923" s="253" t="n"/>
      <c r="K923" s="253"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253" t="n"/>
      <c r="J924" s="253" t="n"/>
      <c r="K924" s="253"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253" t="n"/>
      <c r="J925" s="253" t="n"/>
      <c r="K925" s="253"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253" t="n"/>
      <c r="J926" s="253" t="n"/>
      <c r="K926" s="253"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253" t="n"/>
      <c r="J927" s="253" t="n"/>
      <c r="K927" s="253"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253" t="n"/>
      <c r="J928" s="253" t="n"/>
      <c r="K928" s="253"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253" t="n"/>
      <c r="J929" s="253" t="n"/>
      <c r="K929" s="253"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253" t="n"/>
      <c r="J930" s="253" t="n"/>
      <c r="K930" s="253"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253" t="n"/>
      <c r="J931" s="253" t="n"/>
      <c r="K931" s="253"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253" t="n"/>
      <c r="J932" s="253" t="n"/>
      <c r="K932" s="253"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253" t="n"/>
      <c r="J933" s="253" t="n"/>
      <c r="K933" s="253"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253" t="n"/>
      <c r="J934" s="253" t="n"/>
      <c r="K934" s="253"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253" t="n"/>
      <c r="J935" s="253" t="n"/>
      <c r="K935" s="253"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253" t="n"/>
      <c r="J936" s="253" t="n"/>
      <c r="K936" s="253"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253" t="n"/>
      <c r="J937" s="253" t="n"/>
      <c r="K937" s="253"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253" t="n"/>
      <c r="J938" s="253" t="n"/>
      <c r="K938" s="253"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253" t="n"/>
      <c r="J939" s="253" t="n"/>
      <c r="K939" s="253"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253" t="n"/>
      <c r="J940" s="253" t="n"/>
      <c r="K940" s="253"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253" t="n"/>
      <c r="J941" s="253" t="n"/>
      <c r="K941" s="253"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253" t="n"/>
      <c r="J942" s="253" t="n"/>
      <c r="K942" s="253"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253" t="n"/>
      <c r="J943" s="253" t="n"/>
      <c r="K943" s="253"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253" t="n"/>
      <c r="J944" s="253" t="n"/>
      <c r="K944" s="253"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253" t="n"/>
      <c r="J945" s="253" t="n"/>
      <c r="K945" s="253"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253" t="n"/>
      <c r="J946" s="253" t="n"/>
      <c r="K946" s="253"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253" t="n"/>
      <c r="J947" s="253" t="n"/>
      <c r="K947" s="253"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253" t="n"/>
      <c r="J948" s="253" t="n"/>
      <c r="K948" s="253"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253" t="n"/>
      <c r="J949" s="253" t="n"/>
      <c r="K949" s="253"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253" t="n"/>
      <c r="J950" s="253" t="n"/>
      <c r="K950" s="253"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253" t="n"/>
      <c r="J951" s="253" t="n"/>
      <c r="K951" s="253"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253" t="n"/>
      <c r="J952" s="253" t="n"/>
      <c r="K952" s="253"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253" t="n"/>
      <c r="J953" s="253" t="n"/>
      <c r="K953" s="253"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253" t="n"/>
      <c r="J954" s="253" t="n"/>
      <c r="K954" s="253"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253" t="n"/>
      <c r="J955" s="253" t="n"/>
      <c r="K955" s="253"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253" t="n"/>
      <c r="J956" s="253" t="n"/>
      <c r="K956" s="253"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253" t="n"/>
      <c r="J957" s="253" t="n"/>
      <c r="K957" s="253"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253" t="n"/>
      <c r="J958" s="253" t="n"/>
      <c r="K958" s="253"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253" t="n"/>
      <c r="J959" s="253" t="n"/>
      <c r="K959" s="253"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253" t="n"/>
      <c r="J960" s="253" t="n"/>
      <c r="K960" s="253"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253" t="n"/>
      <c r="J961" s="253" t="n"/>
      <c r="K961" s="253"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253" t="n"/>
      <c r="J962" s="253" t="n"/>
      <c r="K962" s="253"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253" t="n"/>
      <c r="J963" s="253" t="n"/>
      <c r="K963" s="253"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253" t="n"/>
      <c r="J964" s="253" t="n"/>
      <c r="K964" s="253"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253" t="n"/>
      <c r="J965" s="253" t="n"/>
      <c r="K965" s="253"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253" t="n"/>
      <c r="J966" s="253" t="n"/>
      <c r="K966" s="253"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253" t="n"/>
      <c r="J967" s="253" t="n"/>
      <c r="K967" s="253"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253" t="n"/>
      <c r="J968" s="253" t="n"/>
      <c r="K968" s="253"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253" t="n"/>
      <c r="J969" s="253" t="n"/>
      <c r="K969" s="253"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253" t="n"/>
      <c r="J970" s="253" t="n"/>
      <c r="K970" s="253"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253" t="n"/>
      <c r="J971" s="253" t="n"/>
      <c r="K971" s="253"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253" t="n"/>
      <c r="J972" s="253" t="n"/>
      <c r="K972" s="253"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253" t="n"/>
      <c r="J973" s="253" t="n"/>
      <c r="K973" s="253"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253" t="n"/>
      <c r="J974" s="253" t="n"/>
      <c r="K974" s="253"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253" t="n"/>
      <c r="J975" s="253" t="n"/>
      <c r="K975" s="253"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253" t="n"/>
      <c r="J976" s="253" t="n"/>
      <c r="K976" s="253"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253" t="n"/>
      <c r="J977" s="253" t="n"/>
      <c r="K977" s="253"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253" t="n"/>
      <c r="J978" s="253" t="n"/>
      <c r="K978" s="253"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253" t="n"/>
      <c r="J979" s="253" t="n"/>
      <c r="K979" s="253"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253" t="n"/>
      <c r="J980" s="253" t="n"/>
      <c r="K980" s="253"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253" t="n"/>
      <c r="J981" s="253" t="n"/>
      <c r="K981" s="253"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253" t="n"/>
      <c r="J982" s="253" t="n"/>
      <c r="K982" s="253"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253" t="n"/>
      <c r="J983" s="253" t="n"/>
      <c r="K983" s="253"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253" t="n"/>
      <c r="J984" s="253" t="n"/>
      <c r="K984" s="253"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253" t="n"/>
      <c r="J985" s="253" t="n"/>
      <c r="K985" s="253"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253" t="n"/>
      <c r="J986" s="253" t="n"/>
      <c r="K986" s="253"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253" t="n"/>
      <c r="J987" s="253" t="n"/>
      <c r="K987" s="253"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253" t="n"/>
      <c r="J988" s="253" t="n"/>
      <c r="K988" s="253"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253" t="n"/>
      <c r="J989" s="253" t="n"/>
      <c r="K989" s="253"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253" t="n"/>
      <c r="J990" s="253" t="n"/>
      <c r="K990" s="253"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253" t="n"/>
      <c r="J991" s="253" t="n"/>
      <c r="K991" s="253"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253" t="n"/>
      <c r="J992" s="253" t="n"/>
      <c r="K992" s="253"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253" t="n"/>
      <c r="J993" s="253" t="n"/>
      <c r="K993" s="253"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253" t="n"/>
      <c r="J994" s="253" t="n"/>
      <c r="K994" s="253"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253" t="n"/>
      <c r="J995" s="253" t="n"/>
      <c r="K995" s="253"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253" t="n"/>
      <c r="J996" s="253" t="n"/>
      <c r="K996" s="253"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253" t="n"/>
      <c r="J997" s="253" t="n"/>
      <c r="K997" s="253"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253" t="n"/>
      <c r="J998" s="253" t="n"/>
      <c r="K998" s="253"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253" t="n"/>
      <c r="J999" s="253" t="n"/>
      <c r="K999" s="253"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253" t="n"/>
      <c r="J1000" s="253" t="n"/>
      <c r="K1000" s="253"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253" t="n"/>
      <c r="J1001" s="253" t="n"/>
      <c r="K1001" s="253"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253" t="n"/>
      <c r="J1002" s="253" t="n"/>
      <c r="K1002" s="253"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253" t="n"/>
      <c r="J1003" s="253" t="n"/>
      <c r="K1003" s="253"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253" t="n"/>
      <c r="J1004" s="253" t="n"/>
      <c r="K1004" s="253"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253" t="n"/>
      <c r="J1005" s="253" t="n"/>
      <c r="K1005" s="253"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253" t="n"/>
      <c r="J1006" s="253" t="n"/>
      <c r="K1006" s="253"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253" t="n"/>
      <c r="J1007" s="253" t="n"/>
      <c r="K1007" s="253"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253" t="n"/>
      <c r="J1008" s="253" t="n"/>
      <c r="K1008" s="253"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253" t="n"/>
      <c r="J1009" s="253" t="n"/>
      <c r="K1009" s="253"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253" t="n"/>
      <c r="J1010" s="253" t="n"/>
      <c r="K1010" s="253"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253" t="n"/>
      <c r="J1011" s="253" t="n"/>
      <c r="K1011" s="253"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253" t="n"/>
      <c r="J1012" s="253" t="n"/>
      <c r="K1012" s="253"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253" t="n"/>
      <c r="J1013" s="253" t="n"/>
      <c r="K1013" s="253"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253" t="n"/>
      <c r="J1014" s="253" t="n"/>
      <c r="K1014" s="253"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253" t="n"/>
      <c r="J1015" s="253" t="n"/>
      <c r="K1015" s="253" t="n"/>
      <c r="L1015" s="94" t="n"/>
      <c r="M1015" s="94" t="n"/>
      <c r="N1015" s="94" t="n"/>
      <c r="O1015" s="94" t="n"/>
      <c r="P1015" s="94" t="n"/>
      <c r="Q1015" s="94" t="n"/>
      <c r="R1015" s="94" t="n"/>
      <c r="S1015" s="94" t="n"/>
      <c r="T1015" s="94" t="n"/>
      <c r="U1015" s="94" t="n"/>
      <c r="V1015" s="94" t="n"/>
      <c r="W1015" s="94" t="n"/>
      <c r="X1015" s="94" t="n"/>
      <c r="Y1015" s="94" t="n"/>
      <c r="Z1015" s="94" t="n"/>
    </row>
    <row r="1016">
      <c r="A1016" s="253" t="n"/>
      <c r="B1016" s="253" t="n"/>
      <c r="C1016" s="253" t="n"/>
      <c r="D1016" s="253" t="n"/>
      <c r="E1016" s="253" t="n"/>
      <c r="F1016" s="253" t="n"/>
      <c r="G1016" s="253" t="n"/>
      <c r="H1016" s="253" t="n"/>
      <c r="I1016" s="253" t="n"/>
      <c r="J1016" s="253" t="n"/>
      <c r="K1016" s="253" t="n"/>
      <c r="L1016" s="94" t="n"/>
      <c r="M1016" s="94" t="n"/>
      <c r="N1016" s="94" t="n"/>
      <c r="O1016" s="94" t="n"/>
      <c r="P1016" s="94" t="n"/>
      <c r="Q1016" s="94" t="n"/>
      <c r="R1016" s="94" t="n"/>
      <c r="S1016" s="94" t="n"/>
      <c r="T1016" s="94" t="n"/>
      <c r="U1016" s="94" t="n"/>
      <c r="V1016" s="94" t="n"/>
      <c r="W1016" s="94" t="n"/>
      <c r="X1016" s="94" t="n"/>
      <c r="Y1016" s="94" t="n"/>
      <c r="Z1016" s="94" t="n"/>
    </row>
    <row r="1017">
      <c r="A1017" s="253" t="n"/>
      <c r="B1017" s="253" t="n"/>
      <c r="C1017" s="253" t="n"/>
      <c r="D1017" s="253" t="n"/>
      <c r="E1017" s="253" t="n"/>
      <c r="F1017" s="253" t="n"/>
      <c r="G1017" s="253" t="n"/>
      <c r="H1017" s="253" t="n"/>
      <c r="I1017" s="253" t="n"/>
      <c r="J1017" s="253" t="n"/>
      <c r="K1017" s="253" t="n"/>
      <c r="L1017" s="94" t="n"/>
      <c r="M1017" s="94" t="n"/>
      <c r="N1017" s="94" t="n"/>
      <c r="O1017" s="94" t="n"/>
      <c r="P1017" s="94" t="n"/>
      <c r="Q1017" s="94" t="n"/>
      <c r="R1017" s="94" t="n"/>
      <c r="S1017" s="94" t="n"/>
      <c r="T1017" s="94" t="n"/>
      <c r="U1017" s="94" t="n"/>
      <c r="V1017" s="94" t="n"/>
      <c r="W1017" s="94" t="n"/>
      <c r="X1017" s="94" t="n"/>
      <c r="Y1017" s="94" t="n"/>
      <c r="Z1017" s="94" t="n"/>
    </row>
    <row r="1018">
      <c r="A1018" s="253" t="n"/>
      <c r="B1018" s="253" t="n"/>
      <c r="C1018" s="253" t="n"/>
      <c r="D1018" s="253" t="n"/>
      <c r="E1018" s="253" t="n"/>
      <c r="F1018" s="253" t="n"/>
      <c r="G1018" s="253" t="n"/>
      <c r="H1018" s="253" t="n"/>
      <c r="I1018" s="253" t="n"/>
      <c r="J1018" s="253" t="n"/>
      <c r="K1018" s="253" t="n"/>
      <c r="L1018" s="94" t="n"/>
      <c r="M1018" s="94" t="n"/>
      <c r="N1018" s="94" t="n"/>
      <c r="O1018" s="94" t="n"/>
      <c r="P1018" s="94" t="n"/>
      <c r="Q1018" s="94" t="n"/>
      <c r="R1018" s="94" t="n"/>
      <c r="S1018" s="94" t="n"/>
      <c r="T1018" s="94" t="n"/>
      <c r="U1018" s="94" t="n"/>
      <c r="V1018" s="94" t="n"/>
      <c r="W1018" s="94" t="n"/>
      <c r="X1018" s="94" t="n"/>
      <c r="Y1018" s="94" t="n"/>
      <c r="Z1018" s="94" t="n"/>
    </row>
    <row r="1019">
      <c r="A1019" s="253" t="n"/>
      <c r="B1019" s="253" t="n"/>
      <c r="C1019" s="253" t="n"/>
      <c r="D1019" s="253" t="n"/>
      <c r="E1019" s="253" t="n"/>
      <c r="F1019" s="253" t="n"/>
      <c r="G1019" s="253" t="n"/>
      <c r="H1019" s="253" t="n"/>
      <c r="I1019" s="253" t="n"/>
      <c r="J1019" s="253" t="n"/>
      <c r="K1019" s="253" t="n"/>
      <c r="L1019" s="94" t="n"/>
      <c r="M1019" s="94" t="n"/>
      <c r="N1019" s="94" t="n"/>
      <c r="O1019" s="94" t="n"/>
      <c r="P1019" s="94" t="n"/>
      <c r="Q1019" s="94" t="n"/>
      <c r="R1019" s="94" t="n"/>
      <c r="S1019" s="94" t="n"/>
      <c r="T1019" s="94" t="n"/>
      <c r="U1019" s="94" t="n"/>
      <c r="V1019" s="94" t="n"/>
      <c r="W1019" s="94" t="n"/>
      <c r="X1019" s="94" t="n"/>
      <c r="Y1019" s="94" t="n"/>
      <c r="Z1019" s="94" t="n"/>
    </row>
    <row r="1020">
      <c r="A1020" s="253" t="n"/>
      <c r="B1020" s="253" t="n"/>
      <c r="C1020" s="253" t="n"/>
      <c r="D1020" s="253" t="n"/>
      <c r="E1020" s="253" t="n"/>
      <c r="F1020" s="253" t="n"/>
      <c r="G1020" s="253" t="n"/>
      <c r="H1020" s="253" t="n"/>
      <c r="I1020" s="253" t="n"/>
      <c r="J1020" s="253" t="n"/>
      <c r="K1020" s="253" t="n"/>
      <c r="L1020" s="94" t="n"/>
      <c r="M1020" s="94" t="n"/>
      <c r="N1020" s="94" t="n"/>
      <c r="O1020" s="94" t="n"/>
      <c r="P1020" s="94" t="n"/>
      <c r="Q1020" s="94" t="n"/>
      <c r="R1020" s="94" t="n"/>
      <c r="S1020" s="94" t="n"/>
      <c r="T1020" s="94" t="n"/>
      <c r="U1020" s="94" t="n"/>
      <c r="V1020" s="94" t="n"/>
      <c r="W1020" s="94" t="n"/>
      <c r="X1020" s="94" t="n"/>
      <c r="Y1020" s="94" t="n"/>
      <c r="Z1020" s="94" t="n"/>
    </row>
    <row r="1021">
      <c r="A1021" s="253" t="n"/>
      <c r="B1021" s="253" t="n"/>
      <c r="C1021" s="253" t="n"/>
      <c r="D1021" s="253" t="n"/>
      <c r="E1021" s="253" t="n"/>
      <c r="F1021" s="253" t="n"/>
      <c r="G1021" s="253" t="n"/>
      <c r="H1021" s="253" t="n"/>
      <c r="I1021" s="253" t="n"/>
      <c r="J1021" s="253" t="n"/>
      <c r="K1021" s="253"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conditionalFormatting sqref="D88">
    <cfRule type="expression" priority="1" dxfId="3">
      <formula>SEARCH("STRONG",D88)&gt;0</formula>
    </cfRule>
    <cfRule type="expression" priority="2" dxfId="4">
      <formula>SEARCH("TARGET",D88)&gt;0</formula>
    </cfRule>
    <cfRule type="expression" priority="3" dxfId="5">
      <formula>SEARCH("REVIEW",D88)&gt;0</formula>
    </cfRule>
    <cfRule type="expression" priority="4" dxfId="6">
      <formula>SEARCH("BELOW",D88)&gt;0</formula>
    </cfRule>
    <cfRule type="expression" priority="5" dxfId="5">
      <formula>SEARCH("THIN",D88)&gt;0</formula>
    </cfRule>
    <cfRule type="expression" priority="6" dxfId="6">
      <formula>SEARCH("LOSING",D88)&gt;0</formula>
    </cfRule>
  </conditionalFormatting>
  <conditionalFormatting sqref="D93">
    <cfRule type="expression" priority="7" dxfId="3">
      <formula>SEARCH("STRONG",D93)&gt;0</formula>
    </cfRule>
    <cfRule type="expression" priority="8" dxfId="4">
      <formula>SEARCH("TARGET",D93)&gt;0</formula>
    </cfRule>
    <cfRule type="expression" priority="9" dxfId="5">
      <formula>SEARCH("REVIEW",D93)&gt;0</formula>
    </cfRule>
    <cfRule type="expression" priority="10" dxfId="6">
      <formula>SEARCH("BELOW",D93)&gt;0</formula>
    </cfRule>
    <cfRule type="expression" priority="11" dxfId="5">
      <formula>SEARCH("THIN",D93)&gt;0</formula>
    </cfRule>
    <cfRule type="expression" priority="12" dxfId="6">
      <formula>SEARCH("LOSING",D93)&gt;0</formula>
    </cfRule>
  </conditionalFormatting>
  <dataValidations count="11">
    <dataValidation sqref="B8" showDropDown="0" showInputMessage="0" showErrorMessage="0" allowBlank="1" type="list">
      <formula1>"Yes,No"</formula1>
      <formula2>0</formula2>
    </dataValidation>
    <dataValidation sqref="G24 G25 G26 G28 G29 G30 G31 G33 G34 G35 G38 G39 G40" showDropDown="0" showInputMessage="0" showErrorMessage="0" allowBlank="1" prompt="Select pricing category" type="list">
      <formula1>'Client Setup - Blank'!$A$23:$A$33</formula1>
    </dataValidation>
    <dataValidation sqref="B38" showDropDown="0" showInputMessage="0" showErrorMessage="0" allowBlank="0" prompt="Auto-calculated from guest count. Override if needed." type="list">
      <formula1>"1,2,3,4,5"</formula1>
    </dataValidation>
    <dataValidation sqref="B68 C68 D68" showDropDown="0" showInputMessage="0" showErrorMessage="0" allowBlank="1" type="list">
      <formula1>'Client Setup - Blank'!$A$54:$A$63</formula1>
    </dataValidation>
    <dataValidation sqref="B69 C69 D69" showDropDown="0" showInputMessage="0" showErrorMessage="0" allowBlank="1" type="list">
      <formula1>"Drive,Flight"</formula1>
    </dataValidation>
    <dataValidation sqref="B70 C70 D70" showDropDown="0" showInputMessage="0" showErrorMessage="0" allowBlank="1" type="list">
      <formula1>"1,2,3,4,5"</formula1>
    </dataValidation>
    <dataValidation sqref="B71 C71 D71" showDropDown="0" showInputMessage="0" showErrorMessage="0" allowBlank="1" type="list">
      <formula1>"0,1,2,3,4,5"</formula1>
    </dataValidation>
    <dataValidation sqref="B72 C72 D72" showDropDown="0" showInputMessage="0" showErrorMessage="0" allowBlank="1" type="list">
      <formula1>'Client Setup - Blank'!$A$67:$A$72</formula1>
    </dataValidation>
    <dataValidation sqref="C17" showDropDown="0" showInputMessage="0" showErrorMessage="0" allowBlank="1" type="list">
      <formula1>"20%,21.5%,None"</formula1>
    </dataValidation>
    <dataValidation sqref="C18" showDropDown="0" showInputMessage="0" showErrorMessage="0" allowBlank="1" type="list">
      <formula1>"20%,None"</formula1>
    </dataValidation>
    <dataValidation sqref="C19" showDropDown="0" showInputMessage="0" showErrorMessage="0"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2"/>
    <col width="13" customWidth="1" style="89" min="3" max="3"/>
    <col width="15" customWidth="1" style="89" min="4" max="4"/>
    <col width="15" customWidth="1" style="89" min="5" max="6"/>
    <col width="15" customWidth="1" style="90" min="6" max="6"/>
    <col width="11" customWidth="1" style="89" min="7" max="7"/>
    <col width="32" customWidth="1" style="89" min="8" max="8"/>
    <col width="21" customWidth="1" style="89" min="9" max="9"/>
    <col width="22" customWidth="1" style="89" min="10" max="10"/>
    <col width="14" customWidth="1" style="89" min="11" max="11"/>
    <col width="3" customWidth="1" style="89" min="12" max="12"/>
    <col width="20" customWidth="1" style="89" min="13" max="13"/>
    <col width="14" customWidth="1" style="89" min="14" max="14"/>
    <col width="8.710000000000001" customWidth="1" style="89" min="15" max="26"/>
  </cols>
  <sheetData>
    <row r="1" ht="55" customHeight="1" s="90">
      <c r="A1" s="245" t="n"/>
      <c r="B1" s="92" t="n"/>
      <c r="C1" s="92" t="n"/>
      <c r="D1" s="92" t="n"/>
      <c r="E1" s="92" t="n"/>
      <c r="F1" s="92" t="n"/>
      <c r="G1" s="92" t="n"/>
      <c r="H1" s="93"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Decor &amp; Production Estimate</t>
        </is>
      </c>
      <c r="B2" s="92" t="n"/>
      <c r="C2" s="92" t="n"/>
      <c r="D2" s="92" t="n"/>
      <c r="E2" s="92" t="n"/>
      <c r="F2" s="92" t="n"/>
      <c r="G2" s="92" t="n"/>
      <c r="H2" s="93" t="n"/>
      <c r="I2" s="252" t="n"/>
      <c r="J2" s="252" t="n"/>
      <c r="K2" s="252" t="n"/>
      <c r="L2" s="252" t="n"/>
      <c r="M2" s="252" t="n"/>
      <c r="N2" s="252"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253" t="n"/>
      <c r="M3" s="253" t="n"/>
      <c r="N3" s="253" t="n"/>
      <c r="O3" s="94" t="n"/>
      <c r="P3" s="94" t="n"/>
      <c r="Q3" s="94" t="n"/>
      <c r="R3" s="94" t="n"/>
      <c r="S3" s="94" t="n"/>
      <c r="T3" s="94" t="n"/>
      <c r="U3" s="94" t="n"/>
      <c r="V3" s="94" t="n"/>
      <c r="W3" s="94" t="n"/>
      <c r="X3" s="94" t="n"/>
      <c r="Y3" s="94" t="n"/>
      <c r="Z3" s="94" t="n"/>
    </row>
    <row r="4" ht="27" customHeight="1" s="90">
      <c r="A4" s="254" t="inlineStr">
        <is>
          <t>EVENT INFO (from Client Setup)</t>
        </is>
      </c>
      <c r="B4" s="92" t="n"/>
      <c r="C4" s="92" t="n"/>
      <c r="D4" s="92" t="n"/>
      <c r="E4" s="92" t="n"/>
      <c r="F4" s="92" t="n"/>
      <c r="G4" s="92" t="n"/>
      <c r="H4" s="93" t="n"/>
      <c r="I4" s="257" t="n"/>
      <c r="J4" s="254" t="inlineStr">
        <is>
          <t>DETAILED CLIENT VIEW</t>
        </is>
      </c>
      <c r="K4" s="93" t="n"/>
      <c r="L4" s="253" t="n"/>
      <c r="M4" s="254" t="inlineStr">
        <is>
          <t>SUMMARY VIEW</t>
        </is>
      </c>
      <c r="N4" s="93" t="n"/>
      <c r="O4" s="94" t="n"/>
      <c r="P4" s="94" t="n"/>
      <c r="Q4" s="94" t="n"/>
      <c r="R4" s="94" t="n"/>
      <c r="S4" s="94" t="n"/>
      <c r="T4" s="94" t="n"/>
      <c r="U4" s="94" t="n"/>
      <c r="V4" s="94" t="n"/>
      <c r="W4" s="94" t="n"/>
      <c r="X4" s="94" t="n"/>
      <c r="Y4" s="94" t="n"/>
      <c r="Z4" s="94" t="n"/>
    </row>
    <row r="5" ht="21.75" customHeight="1" s="90">
      <c r="A5" s="305" t="inlineStr">
        <is>
          <t>Client:</t>
        </is>
      </c>
      <c r="B5" s="313">
        <f>'Client Setup - Sample'!B5</f>
        <v/>
      </c>
      <c r="C5" s="93" t="n"/>
      <c r="D5" s="304" t="n"/>
      <c r="E5" s="304" t="n"/>
      <c r="F5" s="304" t="n"/>
      <c r="G5" s="304" t="n"/>
      <c r="H5" s="304" t="n"/>
      <c r="I5" s="253" t="n"/>
      <c r="J5" s="305" t="inlineStr">
        <is>
          <t>Itemized — each section is one Canva slide</t>
        </is>
      </c>
      <c r="K5" s="93" t="n"/>
      <c r="L5" s="253" t="n"/>
      <c r="M5" s="305" t="inlineStr">
        <is>
          <t>Category totals for client</t>
        </is>
      </c>
      <c r="N5" s="93" t="n"/>
      <c r="O5" s="94" t="n"/>
      <c r="P5" s="94" t="n"/>
      <c r="Q5" s="94" t="n"/>
      <c r="R5" s="94" t="n"/>
      <c r="S5" s="94" t="n"/>
      <c r="T5" s="94" t="n"/>
      <c r="U5" s="94" t="n"/>
      <c r="V5" s="94" t="n"/>
      <c r="W5" s="94" t="n"/>
      <c r="X5" s="94" t="n"/>
      <c r="Y5" s="94" t="n"/>
      <c r="Z5" s="94" t="n"/>
    </row>
    <row r="6" ht="21.75" customHeight="1" s="90">
      <c r="A6" s="305" t="inlineStr">
        <is>
          <t>Event Date:</t>
        </is>
      </c>
      <c r="B6" s="386">
        <f>'Client Setup - Sample'!B6</f>
        <v/>
      </c>
      <c r="C6" s="93" t="n"/>
      <c r="D6" s="304" t="n"/>
      <c r="E6" s="304" t="n"/>
      <c r="F6" s="304" t="n"/>
      <c r="G6" s="304" t="n"/>
      <c r="H6" s="304" t="n"/>
      <c r="I6" s="253" t="n"/>
      <c r="J6" s="253" t="n"/>
      <c r="K6" s="253" t="n"/>
      <c r="L6" s="253" t="n"/>
      <c r="M6" s="253" t="n"/>
      <c r="N6" s="253" t="n"/>
      <c r="O6" s="94" t="n"/>
      <c r="P6" s="94" t="n"/>
      <c r="Q6" s="94" t="n"/>
      <c r="R6" s="94" t="n"/>
      <c r="S6" s="94" t="n"/>
      <c r="T6" s="94" t="n"/>
      <c r="U6" s="94" t="n"/>
      <c r="V6" s="94" t="n"/>
      <c r="W6" s="94" t="n"/>
      <c r="X6" s="94" t="n"/>
      <c r="Y6" s="94" t="n"/>
      <c r="Z6" s="94" t="n"/>
    </row>
    <row r="7" ht="21.75" customHeight="1" s="90">
      <c r="A7" s="305" t="inlineStr">
        <is>
          <t>Guest Count:</t>
        </is>
      </c>
      <c r="B7" s="315">
        <f>'Client Setup - Sample'!B7</f>
        <v/>
      </c>
      <c r="C7" s="93" t="n"/>
      <c r="D7" s="304" t="n"/>
      <c r="E7" s="304" t="n"/>
      <c r="F7" s="304" t="n"/>
      <c r="G7" s="304" t="n"/>
      <c r="H7" s="304" t="n"/>
      <c r="I7" s="253" t="n"/>
      <c r="J7" s="308" t="inlineStr">
        <is>
          <t>DECOR &amp; PRODUCTION ESTIMATE</t>
        </is>
      </c>
      <c r="K7" s="93" t="n"/>
      <c r="L7" s="253" t="n"/>
      <c r="M7" s="308" t="inlineStr">
        <is>
          <t>DECOR &amp; PRODUCTION ESTIMATE</t>
        </is>
      </c>
      <c r="N7" s="93" t="n"/>
      <c r="O7" s="94" t="n"/>
      <c r="P7" s="94" t="n"/>
      <c r="Q7" s="94" t="n"/>
      <c r="R7" s="94" t="n"/>
      <c r="S7" s="94" t="n"/>
      <c r="T7" s="94" t="n"/>
      <c r="U7" s="94" t="n"/>
      <c r="V7" s="94" t="n"/>
      <c r="W7" s="94" t="n"/>
      <c r="X7" s="94" t="n"/>
      <c r="Y7" s="94" t="n"/>
      <c r="Z7" s="94" t="n"/>
    </row>
    <row r="8" ht="21.75" customHeight="1" s="90">
      <c r="A8" s="305" t="inlineStr">
        <is>
          <t>Location:</t>
        </is>
      </c>
      <c r="B8" s="313">
        <f>'Client Setup - Sample'!B16</f>
        <v/>
      </c>
      <c r="C8" s="93" t="n"/>
      <c r="D8" s="304" t="n"/>
      <c r="E8" s="304" t="n"/>
      <c r="F8" s="304" t="n"/>
      <c r="G8" s="304" t="n"/>
      <c r="H8" s="304" t="n"/>
      <c r="I8" s="253" t="n"/>
      <c r="J8" s="311">
        <f>'Client Setup - Sample'!B5</f>
        <v/>
      </c>
      <c r="K8" s="312">
        <f>'Client Setup - Sample'!B7&amp;" Guests"</f>
        <v/>
      </c>
      <c r="L8" s="253" t="n"/>
      <c r="M8" s="311">
        <f>'Client Setup - Sample'!B5</f>
        <v/>
      </c>
      <c r="N8" s="312">
        <f>'Client Setup - Sample'!B7&amp;" Guests"</f>
        <v/>
      </c>
      <c r="O8" s="94" t="n"/>
      <c r="P8" s="94" t="n"/>
      <c r="Q8" s="94" t="n"/>
      <c r="R8" s="94" t="n"/>
      <c r="S8" s="94" t="n"/>
      <c r="T8" s="94" t="n"/>
      <c r="U8" s="94" t="n"/>
      <c r="V8" s="94" t="n"/>
      <c r="W8" s="94" t="n"/>
      <c r="X8" s="94" t="n"/>
      <c r="Y8" s="94" t="n"/>
      <c r="Z8" s="94" t="n"/>
    </row>
    <row r="9" ht="21.75" customHeight="1" s="90">
      <c r="A9" s="305" t="inlineStr">
        <is>
          <t>Venue:</t>
        </is>
      </c>
      <c r="B9" s="302" t="inlineStr">
        <is>
          <t>101 Constitution Ave NW, Washington DC</t>
        </is>
      </c>
      <c r="C9" s="244" t="n"/>
      <c r="D9" s="304" t="n"/>
      <c r="E9" s="387" t="inlineStr">
        <is>
          <t>Event Time:</t>
        </is>
      </c>
      <c r="F9" s="388">
        <f>'Client Setup - Sample'!B10</f>
        <v/>
      </c>
      <c r="G9" s="304" t="n"/>
      <c r="H9" s="304" t="n"/>
      <c r="I9" s="253" t="n"/>
      <c r="J9" s="314">
        <f>TEXT('Client Setup - Sample'!B6,"MMMM D, YYYY")</f>
        <v/>
      </c>
      <c r="K9" s="304" t="n"/>
      <c r="L9" s="253" t="n"/>
      <c r="M9" s="314">
        <f>TEXT('Client Setup - Sample'!B6,"MMMM D, YYYY")</f>
        <v/>
      </c>
      <c r="N9" s="304" t="n"/>
      <c r="O9" s="94" t="n"/>
      <c r="P9" s="94" t="n"/>
      <c r="Q9" s="94" t="n"/>
      <c r="R9" s="94" t="n"/>
      <c r="S9" s="94" t="n"/>
      <c r="T9" s="94" t="n"/>
      <c r="U9" s="94" t="n"/>
      <c r="V9" s="94" t="n"/>
      <c r="W9" s="94" t="n"/>
      <c r="X9" s="94" t="n"/>
      <c r="Y9" s="94" t="n"/>
      <c r="Z9" s="94" t="n"/>
    </row>
    <row r="10" ht="15" customHeight="1" s="90">
      <c r="A10" s="318" t="inlineStr">
        <is>
          <t>Company:</t>
        </is>
      </c>
      <c r="B10" s="318">
        <f>'Client Setup - Sample'!B11</f>
        <v/>
      </c>
      <c r="C10" s="280" t="n"/>
      <c r="D10" s="280" t="n"/>
      <c r="E10" s="280" t="n"/>
      <c r="F10" s="280" t="n"/>
      <c r="G10" s="280" t="n"/>
      <c r="H10" s="280" t="n"/>
      <c r="I10" s="280" t="n"/>
      <c r="J10" s="280" t="n"/>
      <c r="K10" s="280" t="n"/>
      <c r="L10" s="280" t="n"/>
      <c r="M10" s="280" t="n"/>
      <c r="N10" s="280" t="n"/>
    </row>
    <row r="11" ht="25.5" customHeight="1" s="90">
      <c r="A11" s="318" t="inlineStr">
        <is>
          <t>Program:</t>
        </is>
      </c>
      <c r="B11" s="318">
        <f>'Client Setup - Sample'!B12</f>
        <v/>
      </c>
      <c r="C11" s="280" t="n"/>
      <c r="D11" s="280" t="n"/>
      <c r="E11" s="280" t="n"/>
      <c r="F11" s="280" t="n"/>
      <c r="G11" s="280" t="n"/>
      <c r="H11" s="280" t="n"/>
      <c r="I11" s="280" t="n"/>
      <c r="J11" s="280" t="n"/>
      <c r="K11" s="280" t="n"/>
      <c r="L11" s="280" t="n"/>
      <c r="M11" s="280" t="n"/>
      <c r="N11" s="280" t="n"/>
    </row>
    <row r="12" ht="27.75" customHeight="1" s="90">
      <c r="A12" s="318" t="inlineStr">
        <is>
          <t>Client Hotel:</t>
        </is>
      </c>
      <c r="B12" s="318">
        <f>'Client Setup - Sample'!B13</f>
        <v/>
      </c>
      <c r="C12" s="280" t="n"/>
      <c r="D12" s="280" t="n"/>
      <c r="E12" s="280" t="n"/>
      <c r="F12" s="280" t="n"/>
      <c r="G12" s="280" t="n"/>
      <c r="H12" s="280" t="n"/>
      <c r="I12" s="280" t="n"/>
      <c r="J12" s="280" t="n"/>
      <c r="K12" s="280" t="n"/>
      <c r="L12" s="280" t="n"/>
      <c r="M12" s="280" t="n"/>
      <c r="N12" s="280" t="n"/>
    </row>
    <row r="13" ht="25" customHeight="1" s="90">
      <c r="A13" s="328" t="inlineStr">
        <is>
          <t>FLORALS</t>
        </is>
      </c>
      <c r="B13" s="329" t="n"/>
      <c r="C13" s="329" t="n"/>
      <c r="D13" s="329" t="n"/>
      <c r="E13" s="329" t="n"/>
      <c r="F13" s="329" t="n"/>
      <c r="G13" s="329" t="n"/>
      <c r="H13" s="329" t="n"/>
      <c r="I13" s="389" t="n"/>
      <c r="J13" s="253" t="n"/>
      <c r="K13" s="253" t="n"/>
      <c r="L13" s="253" t="n"/>
      <c r="M13" s="253" t="n"/>
      <c r="N13" s="253" t="n"/>
      <c r="O13" s="94" t="n"/>
      <c r="P13" s="94" t="n"/>
      <c r="Q13" s="94" t="n"/>
      <c r="R13" s="94" t="n"/>
      <c r="S13" s="94" t="n"/>
      <c r="T13" s="94" t="n"/>
      <c r="U13" s="94" t="n"/>
      <c r="V13" s="94" t="n"/>
      <c r="W13" s="94" t="n"/>
      <c r="X13" s="94" t="n"/>
      <c r="Y13" s="94" t="n"/>
      <c r="Z13" s="94" t="n"/>
    </row>
    <row r="14" ht="23" customHeight="1" s="90">
      <c r="A14" s="273" t="inlineStr">
        <is>
          <t>Item</t>
        </is>
      </c>
      <c r="B14" s="273" t="inlineStr">
        <is>
          <t>Vendor</t>
        </is>
      </c>
      <c r="C14" s="273" t="inlineStr">
        <is>
          <t>Qty</t>
        </is>
      </c>
      <c r="D14" s="273" t="inlineStr">
        <is>
          <t>Unit Price</t>
        </is>
      </c>
      <c r="E14" s="273" t="inlineStr">
        <is>
          <t>Our Cost</t>
        </is>
      </c>
      <c r="F14" s="273" t="inlineStr">
        <is>
          <t>Client Cost</t>
        </is>
      </c>
      <c r="G14" s="273" t="inlineStr">
        <is>
          <t>Tax Rate</t>
        </is>
      </c>
      <c r="H14" s="273" t="inlineStr">
        <is>
          <t>Notes / Description</t>
        </is>
      </c>
      <c r="I14" s="272" t="inlineStr">
        <is>
          <t>Category</t>
        </is>
      </c>
      <c r="J14" s="421" t="inlineStr">
        <is>
          <t>ITEM</t>
        </is>
      </c>
      <c r="K14" s="422" t="inlineStr">
        <is>
          <t>AMOUNT</t>
        </is>
      </c>
      <c r="L14" s="253" t="n"/>
      <c r="M14" s="328" t="inlineStr">
        <is>
          <t>Category</t>
        </is>
      </c>
      <c r="N14" s="308" t="inlineStr">
        <is>
          <t>Amount</t>
        </is>
      </c>
      <c r="O14" s="94" t="n"/>
      <c r="P14" s="94" t="n"/>
      <c r="Q14" s="94" t="n"/>
      <c r="R14" s="94" t="n"/>
      <c r="S14" s="94" t="n"/>
      <c r="T14" s="94" t="n"/>
      <c r="U14" s="94" t="n"/>
      <c r="V14" s="94" t="n"/>
      <c r="W14" s="94" t="n"/>
      <c r="X14" s="94" t="n"/>
      <c r="Y14" s="94" t="n"/>
      <c r="Z14" s="94" t="n"/>
    </row>
    <row r="15" ht="25" customHeight="1" s="90">
      <c r="A15" s="328" t="inlineStr">
        <is>
          <t>TAXABLE FLORAL PRODUCT</t>
        </is>
      </c>
      <c r="B15" s="329" t="n"/>
      <c r="C15" s="329" t="n"/>
      <c r="D15" s="329" t="n"/>
      <c r="E15" s="329" t="n"/>
      <c r="F15" s="329" t="n"/>
      <c r="G15" s="329" t="n"/>
      <c r="H15" s="329" t="n"/>
      <c r="I15" s="389" t="n"/>
      <c r="J15" s="321">
        <f>A13</f>
        <v/>
      </c>
      <c r="K15" s="319" t="n"/>
      <c r="L15" s="253" t="n"/>
      <c r="M15" s="321">
        <f>A13</f>
        <v/>
      </c>
      <c r="N15" s="322">
        <f>ROUNDUP(SUM(F16:F25)/50,0)*50</f>
        <v/>
      </c>
      <c r="O15" s="94" t="n"/>
      <c r="P15" s="94" t="n"/>
      <c r="Q15" s="94" t="n"/>
      <c r="R15" s="94" t="n"/>
      <c r="S15" s="94" t="n"/>
      <c r="T15" s="94" t="n"/>
      <c r="U15" s="94" t="n"/>
      <c r="V15" s="94" t="n"/>
      <c r="W15" s="94" t="n"/>
      <c r="X15" s="94" t="n"/>
      <c r="Y15" s="94" t="n"/>
      <c r="Z15" s="94" t="n"/>
    </row>
    <row r="16" ht="20" customHeight="1" s="90">
      <c r="A16" s="390" t="inlineStr">
        <is>
          <t>4ft Table Florals</t>
        </is>
      </c>
      <c r="B16" s="391" t="inlineStr">
        <is>
          <t>Flowers at 38</t>
        </is>
      </c>
      <c r="C16" s="350" t="n">
        <v>14</v>
      </c>
      <c r="D16" s="334" t="n">
        <v>90</v>
      </c>
      <c r="E16" s="335">
        <f>C16*D16</f>
        <v/>
      </c>
      <c r="F16" s="335">
        <f>IFERROR(E16*(1+VLOOKUP(I16,'Client Setup - Sample'!$A$23:$B$33,2,FALSE)),0)</f>
        <v/>
      </c>
      <c r="G16" s="336">
        <f>'Client Setup - Sample'!B19</f>
        <v/>
      </c>
      <c r="H16" s="392" t="inlineStr">
        <is>
          <t>Trio gold bud vases, cherry blossom, ranunculus, astilbe + 2 votives</t>
        </is>
      </c>
      <c r="I16" s="351" t="inlineStr">
        <is>
          <t>Décor &amp; Design</t>
        </is>
      </c>
      <c r="J16" s="321">
        <f>IF(A16="","",A16&amp;" x"&amp;C16)</f>
        <v/>
      </c>
      <c r="K16" s="322">
        <f>IF(A16="","",ROUNDUP(F16/10,0)*10)</f>
        <v/>
      </c>
      <c r="L16" s="253" t="n"/>
      <c r="M16" s="321" t="inlineStr">
        <is>
          <t>Seating</t>
        </is>
      </c>
      <c r="N16" s="322">
        <f>ROUNDUP(SUM(F35:F42)/50,0)*50</f>
        <v/>
      </c>
      <c r="O16" s="94" t="n"/>
      <c r="P16" s="94" t="n"/>
      <c r="Q16" s="94" t="n"/>
      <c r="R16" s="94" t="n"/>
      <c r="S16" s="94" t="n"/>
      <c r="T16" s="94" t="n"/>
      <c r="U16" s="94" t="n"/>
      <c r="V16" s="94" t="n"/>
      <c r="W16" s="94" t="n"/>
      <c r="X16" s="94" t="n"/>
      <c r="Y16" s="94" t="n"/>
      <c r="Z16" s="94" t="n"/>
    </row>
    <row r="17" ht="20" customHeight="1" s="90">
      <c r="A17" s="393" t="inlineStr">
        <is>
          <t>Cocktail Table Florals</t>
        </is>
      </c>
      <c r="B17" s="394" t="inlineStr">
        <is>
          <t>Flowers at 38</t>
        </is>
      </c>
      <c r="C17" s="354" t="n">
        <v>14</v>
      </c>
      <c r="D17" s="343" t="n">
        <v>31</v>
      </c>
      <c r="E17" s="344">
        <f>C17*D17</f>
        <v/>
      </c>
      <c r="F17" s="344">
        <f>IFERROR(E17*(1+VLOOKUP(I17,'Client Setup - Sample'!$A$23:$B$33,2,FALSE)),0)</f>
        <v/>
      </c>
      <c r="G17" s="345">
        <f>'Client Setup - Sample'!B19</f>
        <v/>
      </c>
      <c r="H17" s="395" t="inlineStr">
        <is>
          <t>Single bud vase + single ribbed votive</t>
        </is>
      </c>
      <c r="I17" s="355" t="inlineStr">
        <is>
          <t>Décor &amp; Design</t>
        </is>
      </c>
      <c r="J17" s="321">
        <f>IF(A17="","",A17&amp;" x"&amp;C17)</f>
        <v/>
      </c>
      <c r="K17" s="322">
        <f>IF(A17="","",ROUNDUP(F17/10,0)*10)</f>
        <v/>
      </c>
      <c r="L17" s="253" t="n"/>
      <c r="M17" s="321" t="inlineStr">
        <is>
          <t>Lounge Furniture</t>
        </is>
      </c>
      <c r="N17" s="322">
        <f>ROUNDUP(SUM(F44:F51)/50,0)*50</f>
        <v/>
      </c>
      <c r="O17" s="94" t="n"/>
      <c r="P17" s="94" t="n"/>
      <c r="Q17" s="94" t="n"/>
      <c r="R17" s="94" t="n"/>
      <c r="S17" s="94" t="n"/>
      <c r="T17" s="94" t="n"/>
      <c r="U17" s="94" t="n"/>
      <c r="V17" s="94" t="n"/>
      <c r="W17" s="94" t="n"/>
      <c r="X17" s="94" t="n"/>
      <c r="Y17" s="94" t="n"/>
      <c r="Z17" s="94" t="n"/>
    </row>
    <row r="18" ht="20" customHeight="1" s="90">
      <c r="A18" s="390" t="inlineStr">
        <is>
          <t>Side Table Florals</t>
        </is>
      </c>
      <c r="B18" s="391" t="inlineStr">
        <is>
          <t>Flowers at 38</t>
        </is>
      </c>
      <c r="C18" s="350" t="n">
        <v>2</v>
      </c>
      <c r="D18" s="334" t="n">
        <v>96</v>
      </c>
      <c r="E18" s="335">
        <f>C18*D18</f>
        <v/>
      </c>
      <c r="F18" s="335">
        <f>IFERROR(E18*(1+VLOOKUP(I18,'Client Setup - Sample'!$A$23:$B$33,2,FALSE)),0)</f>
        <v/>
      </c>
      <c r="G18" s="336">
        <f>'Client Setup - Sample'!B19</f>
        <v/>
      </c>
      <c r="H18" s="392" t="inlineStr">
        <is>
          <t>Trio gold bud vases, cherry blossom, ranunculus, astilbe + 4 votives</t>
        </is>
      </c>
      <c r="I18" s="351" t="inlineStr">
        <is>
          <t>Décor &amp; Design</t>
        </is>
      </c>
      <c r="J18" s="321">
        <f>IF(A18="","",A18&amp;" x"&amp;C18)</f>
        <v/>
      </c>
      <c r="K18" s="322">
        <f>IF(A18="","",ROUNDUP(F18/10,0)*10)</f>
        <v/>
      </c>
      <c r="L18" s="253" t="n"/>
      <c r="M18" s="321" t="inlineStr">
        <is>
          <t>Tables</t>
        </is>
      </c>
      <c r="N18" s="322">
        <f>ROUNDUP(SUM(F53:F60)/50,0)*50</f>
        <v/>
      </c>
      <c r="O18" s="94" t="n"/>
      <c r="P18" s="94" t="n"/>
      <c r="Q18" s="94" t="n"/>
      <c r="R18" s="94" t="n"/>
      <c r="S18" s="94" t="n"/>
      <c r="T18" s="94" t="n"/>
      <c r="U18" s="94" t="n"/>
      <c r="V18" s="94" t="n"/>
      <c r="W18" s="94" t="n"/>
      <c r="X18" s="94" t="n"/>
      <c r="Y18" s="94" t="n"/>
      <c r="Z18" s="94" t="n"/>
    </row>
    <row r="19" ht="20" customHeight="1" s="90">
      <c r="A19" s="393" t="n"/>
      <c r="B19" s="394" t="n"/>
      <c r="C19" s="354" t="n"/>
      <c r="D19" s="343" t="n"/>
      <c r="E19" s="344">
        <f>C19*D19</f>
        <v/>
      </c>
      <c r="F19" s="344">
        <f>IFERROR(E19*(1+VLOOKUP(I19,'Client Setup - Sample'!$A$23:$B$33,2,FALSE)),0)</f>
        <v/>
      </c>
      <c r="G19" s="345">
        <f>'Client Setup - Sample'!B19</f>
        <v/>
      </c>
      <c r="H19" s="395" t="n"/>
      <c r="I19" s="355" t="inlineStr">
        <is>
          <t>Décor &amp; Design</t>
        </is>
      </c>
      <c r="J19" s="321">
        <f>IF(A19="","",A19&amp;" x"&amp;C19)</f>
        <v/>
      </c>
      <c r="K19" s="322">
        <f>IF(A19="","",ROUNDUP(F19/10,0)*10)</f>
        <v/>
      </c>
      <c r="L19" s="253" t="n"/>
      <c r="M19" s="321" t="inlineStr">
        <is>
          <t>Decor &amp; Accessories</t>
        </is>
      </c>
      <c r="N19" s="322">
        <f>ROUNDUP(SUM(F62:F67)/50,0)*50</f>
        <v/>
      </c>
      <c r="O19" s="94" t="n"/>
      <c r="P19" s="94" t="n"/>
      <c r="Q19" s="94" t="n"/>
      <c r="R19" s="94" t="n"/>
      <c r="S19" s="94" t="n"/>
      <c r="T19" s="94" t="n"/>
      <c r="U19" s="94" t="n"/>
      <c r="V19" s="94" t="n"/>
      <c r="W19" s="94" t="n"/>
      <c r="X19" s="94" t="n"/>
      <c r="Y19" s="94" t="n"/>
      <c r="Z19" s="94" t="n"/>
    </row>
    <row r="20" ht="20" customHeight="1" s="90">
      <c r="A20" s="390" t="n"/>
      <c r="B20" s="391" t="n"/>
      <c r="C20" s="350" t="n"/>
      <c r="D20" s="334" t="n"/>
      <c r="E20" s="335">
        <f>C20*D20</f>
        <v/>
      </c>
      <c r="F20" s="335">
        <f>IFERROR(E20*(1+VLOOKUP(I20,'Client Setup - Sample'!$A$23:$B$33,2,FALSE)),0)</f>
        <v/>
      </c>
      <c r="G20" s="336">
        <f>'Client Setup - Sample'!B19</f>
        <v/>
      </c>
      <c r="H20" s="392" t="n"/>
      <c r="I20" s="351" t="inlineStr">
        <is>
          <t>Décor &amp; Design</t>
        </is>
      </c>
      <c r="J20" s="321">
        <f>IF(A20="","",A20&amp;" x"&amp;C20)</f>
        <v/>
      </c>
      <c r="K20" s="322">
        <f>IF(A20="","",ROUNDUP(F20/10,0)*10)</f>
        <v/>
      </c>
      <c r="L20" s="253" t="n"/>
      <c r="M20" s="321" t="inlineStr">
        <is>
          <t>Delivery &amp; Fees</t>
        </is>
      </c>
      <c r="N20" s="322">
        <f>ROUNDUP((SUM(F27:F29)+SUM(F69:F74)+SUM(F91:F95))/50,0)*50</f>
        <v/>
      </c>
      <c r="O20" s="94" t="n"/>
      <c r="P20" s="94" t="n"/>
      <c r="Q20" s="94" t="n"/>
      <c r="R20" s="94" t="n"/>
      <c r="S20" s="94" t="n"/>
      <c r="T20" s="94" t="n"/>
      <c r="U20" s="94" t="n"/>
      <c r="V20" s="94" t="n"/>
      <c r="W20" s="94" t="n"/>
      <c r="X20" s="94" t="n"/>
      <c r="Y20" s="94" t="n"/>
      <c r="Z20" s="94" t="n"/>
    </row>
    <row r="21" ht="20" customHeight="1" s="90">
      <c r="A21" s="393" t="n"/>
      <c r="B21" s="394" t="n"/>
      <c r="C21" s="354" t="n"/>
      <c r="D21" s="343" t="n"/>
      <c r="E21" s="344">
        <f>C21*D21</f>
        <v/>
      </c>
      <c r="F21" s="344">
        <f>IFERROR(E21*(1+VLOOKUP(I21,'Client Setup - Sample'!$A$23:$B$33,2,FALSE)),0)</f>
        <v/>
      </c>
      <c r="G21" s="345">
        <f>'Client Setup - Sample'!B19</f>
        <v/>
      </c>
      <c r="H21" s="395" t="n"/>
      <c r="I21" s="355" t="inlineStr">
        <is>
          <t>Décor &amp; Design</t>
        </is>
      </c>
      <c r="J21" s="321">
        <f>IF(A21="","",A21&amp;" x"&amp;C21)</f>
        <v/>
      </c>
      <c r="K21" s="322">
        <f>IF(A21="","",ROUNDUP(F21/10,0)*10)</f>
        <v/>
      </c>
      <c r="L21" s="253" t="n"/>
      <c r="M21" s="321">
        <f>A77</f>
        <v/>
      </c>
      <c r="N21" s="322">
        <f>ROUNDUP(SUM(F80:F89)/50,0)*50</f>
        <v/>
      </c>
      <c r="O21" s="94" t="n"/>
      <c r="P21" s="94" t="n"/>
      <c r="Q21" s="94" t="n"/>
      <c r="R21" s="94" t="n"/>
      <c r="S21" s="94" t="n"/>
      <c r="T21" s="94" t="n"/>
      <c r="U21" s="94" t="n"/>
      <c r="V21" s="94" t="n"/>
      <c r="W21" s="94" t="n"/>
      <c r="X21" s="94" t="n"/>
      <c r="Y21" s="94" t="n"/>
      <c r="Z21" s="94" t="n"/>
    </row>
    <row r="22" ht="20" customHeight="1" s="90">
      <c r="A22" s="390" t="n"/>
      <c r="B22" s="391" t="n"/>
      <c r="C22" s="350" t="n"/>
      <c r="D22" s="334" t="n"/>
      <c r="E22" s="335">
        <f>C22*D22</f>
        <v/>
      </c>
      <c r="F22" s="335">
        <f>IFERROR(E22*(1+VLOOKUP(I22,'Client Setup - Sample'!$A$23:$B$33,2,FALSE)),0)</f>
        <v/>
      </c>
      <c r="G22" s="336">
        <f>'Client Setup - Sample'!B19</f>
        <v/>
      </c>
      <c r="H22" s="392" t="n"/>
      <c r="I22" s="351" t="inlineStr">
        <is>
          <t>Décor &amp; Design</t>
        </is>
      </c>
      <c r="J22" s="321">
        <f>IF(A22="","",A22&amp;" x"&amp;C22)</f>
        <v/>
      </c>
      <c r="K22" s="322">
        <f>IF(A22="","",ROUNDUP(F22/10,0)*10)</f>
        <v/>
      </c>
      <c r="L22" s="253" t="n"/>
      <c r="M22" s="321" t="inlineStr">
        <is>
          <t>Tax</t>
        </is>
      </c>
      <c r="N22" s="322">
        <f>ROUNDUP(F100/50,0)*50</f>
        <v/>
      </c>
      <c r="O22" s="94" t="n"/>
      <c r="P22" s="94" t="n"/>
      <c r="Q22" s="94" t="n"/>
      <c r="R22" s="94" t="n"/>
      <c r="S22" s="94" t="n"/>
      <c r="T22" s="94" t="n"/>
      <c r="U22" s="94" t="n"/>
      <c r="V22" s="94" t="n"/>
      <c r="W22" s="94" t="n"/>
      <c r="X22" s="94" t="n"/>
      <c r="Y22" s="94" t="n"/>
      <c r="Z22" s="94" t="n"/>
    </row>
    <row r="23" ht="20" customHeight="1" s="90">
      <c r="A23" s="393" t="n"/>
      <c r="B23" s="394" t="n"/>
      <c r="C23" s="354" t="n"/>
      <c r="D23" s="343" t="n"/>
      <c r="E23" s="344">
        <f>C23*D23</f>
        <v/>
      </c>
      <c r="F23" s="344">
        <f>IFERROR(E23*(1+VLOOKUP(I23,'Client Setup - Sample'!$A$23:$B$33,2,FALSE)),0)</f>
        <v/>
      </c>
      <c r="G23" s="345">
        <f>'Client Setup - Sample'!B19</f>
        <v/>
      </c>
      <c r="H23" s="395" t="n"/>
      <c r="I23" s="355" t="inlineStr">
        <is>
          <t>Décor &amp; Design</t>
        </is>
      </c>
      <c r="J23" s="321">
        <f>IF(A23="","",A23&amp;" x"&amp;C23)</f>
        <v/>
      </c>
      <c r="K23" s="322">
        <f>IF(A23="","",ROUNDUP(F23/10,0)*10)</f>
        <v/>
      </c>
      <c r="L23" s="253" t="n"/>
      <c r="M23" s="396" t="n"/>
      <c r="N23" s="396" t="n"/>
      <c r="O23" s="94" t="n"/>
      <c r="P23" s="94" t="n"/>
      <c r="Q23" s="94" t="n"/>
      <c r="R23" s="94" t="n"/>
      <c r="S23" s="94" t="n"/>
      <c r="T23" s="94" t="n"/>
      <c r="U23" s="94" t="n"/>
      <c r="V23" s="94" t="n"/>
      <c r="W23" s="94" t="n"/>
      <c r="X23" s="94" t="n"/>
      <c r="Y23" s="94" t="n"/>
      <c r="Z23" s="94" t="n"/>
    </row>
    <row r="24" ht="20" customHeight="1" s="90">
      <c r="A24" s="390" t="n"/>
      <c r="B24" s="391" t="n"/>
      <c r="C24" s="350" t="n"/>
      <c r="D24" s="334" t="n"/>
      <c r="E24" s="335">
        <f>C24*D24</f>
        <v/>
      </c>
      <c r="F24" s="335">
        <f>IFERROR(E24*(1+VLOOKUP(I24,'Client Setup - Sample'!$A$23:$B$33,2,FALSE)),0)</f>
        <v/>
      </c>
      <c r="G24" s="336">
        <f>'Client Setup - Sample'!B19</f>
        <v/>
      </c>
      <c r="H24" s="392" t="n"/>
      <c r="I24" s="351" t="inlineStr">
        <is>
          <t>Décor &amp; Design</t>
        </is>
      </c>
      <c r="J24" s="321">
        <f>IF(A24="","",A24&amp;" x"&amp;C24)</f>
        <v/>
      </c>
      <c r="K24" s="322">
        <f>IF(A24="","",ROUNDUP(F24/10,0)*10)</f>
        <v/>
      </c>
      <c r="L24" s="253" t="n"/>
      <c r="M24" s="330" t="inlineStr">
        <is>
          <t>TOTAL ESTIMATE</t>
        </is>
      </c>
      <c r="N24" s="331">
        <f>SUM(N15:N22)+ROUNDUP((F102+F103)/50,0)*50</f>
        <v/>
      </c>
      <c r="O24" s="94" t="n"/>
      <c r="P24" s="94" t="n"/>
      <c r="Q24" s="94" t="n"/>
      <c r="R24" s="94" t="n"/>
      <c r="S24" s="94" t="n"/>
      <c r="T24" s="94" t="n"/>
      <c r="U24" s="94" t="n"/>
      <c r="V24" s="94" t="n"/>
      <c r="W24" s="94" t="n"/>
      <c r="X24" s="94" t="n"/>
      <c r="Y24" s="94" t="n"/>
      <c r="Z24" s="94" t="n"/>
    </row>
    <row r="25" ht="20" customHeight="1" s="90">
      <c r="A25" s="393" t="n"/>
      <c r="B25" s="394" t="n"/>
      <c r="C25" s="354" t="n"/>
      <c r="D25" s="343" t="n"/>
      <c r="E25" s="344">
        <f>C25*D25</f>
        <v/>
      </c>
      <c r="F25" s="344">
        <f>IFERROR(E25*(1+VLOOKUP(I25,'Client Setup - Sample'!$A$23:$B$33,2,FALSE)),0)</f>
        <v/>
      </c>
      <c r="G25" s="345">
        <f>'Client Setup - Sample'!B19</f>
        <v/>
      </c>
      <c r="H25" s="395" t="n"/>
      <c r="I25" s="355" t="inlineStr">
        <is>
          <t>Décor &amp; Design</t>
        </is>
      </c>
      <c r="J25" s="321">
        <f>IF(A25="","",A25&amp;" x"&amp;C25)</f>
        <v/>
      </c>
      <c r="K25" s="322">
        <f>IF(A25="","",ROUNDUP(F25/10,0)*10)</f>
        <v/>
      </c>
      <c r="L25" s="253" t="n"/>
      <c r="M25" s="338" t="inlineStr">
        <is>
          <t>Guest Count</t>
        </is>
      </c>
      <c r="N25" s="339">
        <f>'Client Setup - Sample'!B7</f>
        <v/>
      </c>
      <c r="O25" s="94" t="n"/>
      <c r="P25" s="94" t="n"/>
      <c r="Q25" s="94" t="n"/>
      <c r="R25" s="94" t="n"/>
      <c r="S25" s="94" t="n"/>
      <c r="T25" s="94" t="n"/>
      <c r="U25" s="94" t="n"/>
      <c r="V25" s="94" t="n"/>
      <c r="W25" s="94" t="n"/>
      <c r="X25" s="94" t="n"/>
      <c r="Y25" s="94" t="n"/>
      <c r="Z25" s="94" t="n"/>
    </row>
    <row r="26" ht="25" customHeight="1" s="90">
      <c r="A26" s="328" t="inlineStr">
        <is>
          <t>NON-TAXABLE FLORAL FEES</t>
        </is>
      </c>
      <c r="B26" s="329" t="n"/>
      <c r="C26" s="329" t="n"/>
      <c r="D26" s="329" t="n"/>
      <c r="E26" s="329" t="n"/>
      <c r="F26" s="329" t="n"/>
      <c r="G26" s="329" t="n"/>
      <c r="H26" s="329" t="n"/>
      <c r="I26" s="389" t="n"/>
      <c r="J26" s="321">
        <f>IF(A27="","",A27)</f>
        <v/>
      </c>
      <c r="K26" s="322">
        <f>IF(A27="","",ROUNDUP(F27/10,0)*10)</f>
        <v/>
      </c>
      <c r="L26" s="253" t="n"/>
      <c r="M26" s="397" t="n"/>
      <c r="N26" s="397" t="n"/>
      <c r="O26" s="94" t="n"/>
      <c r="P26" s="94" t="n"/>
      <c r="Q26" s="94" t="n"/>
      <c r="R26" s="94" t="n"/>
      <c r="S26" s="94" t="n"/>
      <c r="T26" s="94" t="n"/>
      <c r="U26" s="94" t="n"/>
      <c r="V26" s="94" t="n"/>
      <c r="W26" s="94" t="n"/>
      <c r="X26" s="94" t="n"/>
      <c r="Y26" s="94" t="n"/>
      <c r="Z26" s="94" t="n"/>
    </row>
    <row r="27" ht="20" customHeight="1" s="90">
      <c r="A27" s="390" t="inlineStr">
        <is>
          <t>Delivery/Setup &amp; Strike</t>
        </is>
      </c>
      <c r="B27" s="391" t="inlineStr">
        <is>
          <t>Flowers at 38</t>
        </is>
      </c>
      <c r="C27" s="398" t="n"/>
      <c r="D27" s="334" t="n">
        <v>188.6</v>
      </c>
      <c r="E27" s="335">
        <f>D27</f>
        <v/>
      </c>
      <c r="F27" s="335">
        <f>IFERROR(E27*(1+VLOOKUP(I27,'Client Setup - Sample'!$A$23:$B$33,2,FALSE)),0)</f>
        <v/>
      </c>
      <c r="G27" s="336" t="n">
        <v>0</v>
      </c>
      <c r="H27" s="392" t="inlineStr">
        <is>
          <t>Tax exempt on vendor invoice — resale on file</t>
        </is>
      </c>
      <c r="I27" s="351" t="inlineStr">
        <is>
          <t>Delivery &amp; Logistics</t>
        </is>
      </c>
      <c r="J27" s="321">
        <f>IF(A28="","",A28)</f>
        <v/>
      </c>
      <c r="K27" s="322">
        <f>IF(A28="","",ROUNDUP(F28/10,0)*10)</f>
        <v/>
      </c>
      <c r="L27" s="253" t="n"/>
      <c r="M27" s="253" t="n"/>
      <c r="N27" s="253" t="n"/>
      <c r="O27" s="94" t="n"/>
      <c r="P27" s="94" t="n"/>
      <c r="Q27" s="94" t="n"/>
      <c r="R27" s="94" t="n"/>
      <c r="S27" s="94" t="n"/>
      <c r="T27" s="94" t="n"/>
      <c r="U27" s="94" t="n"/>
      <c r="V27" s="94" t="n"/>
      <c r="W27" s="94" t="n"/>
      <c r="X27" s="94" t="n"/>
      <c r="Y27" s="94" t="n"/>
      <c r="Z27" s="94" t="n"/>
    </row>
    <row r="28" ht="20" customHeight="1" s="90">
      <c r="A28" s="393" t="n"/>
      <c r="B28" s="394" t="n"/>
      <c r="C28" s="399" t="n"/>
      <c r="D28" s="343" t="n"/>
      <c r="E28" s="344">
        <f>D28</f>
        <v/>
      </c>
      <c r="F28" s="344">
        <f>IFERROR(E28*(1+VLOOKUP(I28,'Client Setup - Sample'!$A$23:$B$33,2,FALSE)),0)</f>
        <v/>
      </c>
      <c r="G28" s="345" t="n">
        <v>0</v>
      </c>
      <c r="H28" s="395" t="n"/>
      <c r="I28" s="355" t="inlineStr">
        <is>
          <t>Delivery &amp; Logistics</t>
        </is>
      </c>
      <c r="J28" s="321">
        <f>IF(A29="","",A29)</f>
        <v/>
      </c>
      <c r="K28" s="322">
        <f>IF(A29="","",ROUNDUP(F29/10,0)*10)</f>
        <v/>
      </c>
      <c r="L28" s="253" t="n"/>
      <c r="M28" s="323" t="inlineStr">
        <is>
          <t>TEAM NOTES</t>
        </is>
      </c>
      <c r="N28" s="324" t="n"/>
      <c r="O28" s="94" t="n"/>
      <c r="P28" s="94" t="n"/>
      <c r="Q28" s="94" t="n"/>
      <c r="R28" s="94" t="n"/>
      <c r="S28" s="94" t="n"/>
      <c r="T28" s="94" t="n"/>
      <c r="U28" s="94" t="n"/>
      <c r="V28" s="94" t="n"/>
      <c r="W28" s="94" t="n"/>
      <c r="X28" s="94" t="n"/>
      <c r="Y28" s="94" t="n"/>
      <c r="Z28" s="94" t="n"/>
    </row>
    <row r="29" ht="20" customHeight="1" s="90">
      <c r="A29" s="390" t="n"/>
      <c r="B29" s="391" t="n"/>
      <c r="C29" s="398" t="n"/>
      <c r="D29" s="334" t="n"/>
      <c r="E29" s="335">
        <f>D29</f>
        <v/>
      </c>
      <c r="F29" s="335">
        <f>IFERROR(E29*(1+VLOOKUP(I29,'Client Setup - Sample'!$A$23:$B$33,2,FALSE)),0)</f>
        <v/>
      </c>
      <c r="G29" s="336" t="n">
        <v>0</v>
      </c>
      <c r="H29" s="392" t="n"/>
      <c r="I29" s="351" t="inlineStr">
        <is>
          <t>Delivery &amp; Logistics</t>
        </is>
      </c>
      <c r="J29" s="423" t="inlineStr">
        <is>
          <t>Floral Subtotal</t>
        </is>
      </c>
      <c r="K29" s="424">
        <f>SUM(K16:K28)</f>
        <v/>
      </c>
      <c r="L29" s="253" t="n"/>
      <c r="M29" s="352" t="inlineStr">
        <is>
          <t>Floral Vendor:</t>
        </is>
      </c>
      <c r="N29" s="324" t="n"/>
      <c r="O29" s="94" t="n"/>
      <c r="P29" s="94" t="n"/>
      <c r="Q29" s="94" t="n"/>
      <c r="R29" s="94" t="n"/>
      <c r="S29" s="94" t="n"/>
      <c r="T29" s="94" t="n"/>
      <c r="U29" s="94" t="n"/>
      <c r="V29" s="94" t="n"/>
      <c r="W29" s="94" t="n"/>
      <c r="X29" s="94" t="n"/>
      <c r="Y29" s="94" t="n"/>
      <c r="Z29" s="94" t="n"/>
    </row>
    <row r="30" ht="22" customHeight="1" s="90">
      <c r="A30" s="359" t="inlineStr">
        <is>
          <t>FLORAL SUBTOTAL</t>
        </is>
      </c>
      <c r="B30" s="362" t="n"/>
      <c r="C30" s="362" t="n"/>
      <c r="D30" s="362" t="n"/>
      <c r="E30" s="361">
        <f>SUM(E16:E25)+SUM(E27:E29)</f>
        <v/>
      </c>
      <c r="F30" s="361">
        <f>SUM(F16:F25)+SUM(F27:F29)</f>
        <v/>
      </c>
      <c r="G30" s="362" t="n"/>
      <c r="H30" s="362" t="n"/>
      <c r="I30" s="362" t="n"/>
      <c r="J30" s="327" t="n"/>
      <c r="K30" s="327" t="n"/>
      <c r="L30" s="253" t="n"/>
      <c r="M30" s="352" t="n"/>
      <c r="N30" s="324" t="n"/>
      <c r="O30" s="94" t="n"/>
      <c r="P30" s="94" t="n"/>
      <c r="Q30" s="94" t="n"/>
      <c r="R30" s="94" t="n"/>
      <c r="S30" s="94" t="n"/>
      <c r="T30" s="94" t="n"/>
      <c r="U30" s="94" t="n"/>
      <c r="V30" s="94" t="n"/>
      <c r="W30" s="94" t="n"/>
      <c r="X30" s="94" t="n"/>
      <c r="Y30" s="94" t="n"/>
      <c r="Z30" s="94" t="n"/>
    </row>
    <row r="31" ht="21.75" customHeight="1" s="90">
      <c r="A31" s="253" t="n"/>
      <c r="B31" s="253" t="n"/>
      <c r="C31" s="253" t="n"/>
      <c r="D31" s="253" t="n"/>
      <c r="E31" s="253" t="n"/>
      <c r="F31" s="253" t="n"/>
      <c r="G31" s="253" t="n"/>
      <c r="H31" s="253" t="n"/>
      <c r="I31" s="253" t="n"/>
      <c r="J31" s="321">
        <f>A32</f>
        <v/>
      </c>
      <c r="K31" s="319" t="n"/>
      <c r="L31" s="253" t="n"/>
      <c r="M31" s="352" t="inlineStr">
        <is>
          <t>Rental Vendor(s):</t>
        </is>
      </c>
      <c r="N31" s="324" t="n"/>
      <c r="O31" s="94" t="n"/>
      <c r="P31" s="94" t="n"/>
      <c r="Q31" s="94" t="n"/>
      <c r="R31" s="94" t="n"/>
      <c r="S31" s="94" t="n"/>
      <c r="T31" s="94" t="n"/>
      <c r="U31" s="94" t="n"/>
      <c r="V31" s="94" t="n"/>
      <c r="W31" s="94" t="n"/>
      <c r="X31" s="94" t="n"/>
      <c r="Y31" s="94" t="n"/>
      <c r="Z31" s="94" t="n"/>
    </row>
    <row r="32" ht="27" customHeight="1" s="90">
      <c r="A32" s="254" t="inlineStr">
        <is>
          <t>RENTALS &amp; LOUNGE</t>
        </is>
      </c>
      <c r="B32" s="269" t="n"/>
      <c r="C32" s="269" t="n"/>
      <c r="D32" s="269" t="n"/>
      <c r="E32" s="269" t="n"/>
      <c r="F32" s="269" t="n"/>
      <c r="G32" s="269" t="n"/>
      <c r="H32" s="269" t="n"/>
      <c r="I32" s="257" t="n"/>
      <c r="J32" s="321">
        <f>IF(A35="","",A35&amp;" x"&amp;C35)</f>
        <v/>
      </c>
      <c r="K32" s="322">
        <f>IF(A35="","",ROUNDUP(F35/10,0)*10)</f>
        <v/>
      </c>
      <c r="L32" s="253" t="n"/>
      <c r="M32" s="352" t="n"/>
      <c r="N32" s="324" t="n"/>
      <c r="O32" s="94" t="n"/>
      <c r="P32" s="94" t="n"/>
      <c r="Q32" s="94" t="n"/>
      <c r="R32" s="94" t="n"/>
      <c r="S32" s="94" t="n"/>
      <c r="T32" s="94" t="n"/>
      <c r="U32" s="94" t="n"/>
      <c r="V32" s="94" t="n"/>
      <c r="W32" s="94" t="n"/>
      <c r="X32" s="94" t="n"/>
      <c r="Y32" s="94" t="n"/>
      <c r="Z32" s="94" t="n"/>
    </row>
    <row r="33" ht="23" customHeight="1" s="90">
      <c r="A33" s="273" t="inlineStr">
        <is>
          <t>Item</t>
        </is>
      </c>
      <c r="B33" s="273" t="inlineStr">
        <is>
          <t>Vendor</t>
        </is>
      </c>
      <c r="C33" s="273" t="inlineStr">
        <is>
          <t>Qty</t>
        </is>
      </c>
      <c r="D33" s="273" t="inlineStr">
        <is>
          <t>Unit Price</t>
        </is>
      </c>
      <c r="E33" s="273" t="inlineStr">
        <is>
          <t>Our Cost</t>
        </is>
      </c>
      <c r="F33" s="273" t="inlineStr">
        <is>
          <t>Client Cost</t>
        </is>
      </c>
      <c r="G33" s="273" t="inlineStr">
        <is>
          <t>Tax Rate</t>
        </is>
      </c>
      <c r="H33" s="273" t="inlineStr">
        <is>
          <t>Notes / Description</t>
        </is>
      </c>
      <c r="I33" s="276" t="n"/>
      <c r="J33" s="321">
        <f>IF(A36="","",A36&amp;" x"&amp;C36)</f>
        <v/>
      </c>
      <c r="K33" s="322">
        <f>IF(A36="","",ROUNDUP(F36/10,0)*10)</f>
        <v/>
      </c>
      <c r="L33" s="253" t="n"/>
      <c r="M33" s="352" t="inlineStr">
        <is>
          <t>AV Vendor:</t>
        </is>
      </c>
      <c r="N33" s="324" t="n"/>
      <c r="O33" s="94" t="n"/>
      <c r="P33" s="94" t="n"/>
      <c r="Q33" s="94" t="n"/>
      <c r="R33" s="94" t="n"/>
      <c r="S33" s="94" t="n"/>
      <c r="T33" s="94" t="n"/>
      <c r="U33" s="94" t="n"/>
      <c r="V33" s="94" t="n"/>
      <c r="W33" s="94" t="n"/>
      <c r="X33" s="94" t="n"/>
      <c r="Y33" s="94" t="n"/>
      <c r="Z33" s="94" t="n"/>
    </row>
    <row r="34" ht="25" customHeight="1" s="90">
      <c r="A34" s="328" t="inlineStr">
        <is>
          <t>SEATING  (chairs, barstools, banquettes)</t>
        </is>
      </c>
      <c r="B34" s="329" t="n"/>
      <c r="C34" s="329" t="n"/>
      <c r="D34" s="329" t="n"/>
      <c r="E34" s="329" t="n"/>
      <c r="F34" s="329" t="n"/>
      <c r="G34" s="329" t="n"/>
      <c r="H34" s="329" t="n"/>
      <c r="I34" s="389" t="n"/>
      <c r="J34" s="321">
        <f>IF(A37="","",A37&amp;" x"&amp;C37)</f>
        <v/>
      </c>
      <c r="K34" s="322">
        <f>IF(A37="","",ROUNDUP(F37/10,0)*10)</f>
        <v/>
      </c>
      <c r="L34" s="253" t="n"/>
      <c r="M34" s="352" t="n"/>
      <c r="N34" s="324" t="n"/>
      <c r="O34" s="94" t="n"/>
      <c r="P34" s="94" t="n"/>
      <c r="Q34" s="94" t="n"/>
      <c r="R34" s="94" t="n"/>
      <c r="S34" s="94" t="n"/>
      <c r="T34" s="94" t="n"/>
      <c r="U34" s="94" t="n"/>
      <c r="V34" s="94" t="n"/>
      <c r="W34" s="94" t="n"/>
      <c r="X34" s="94" t="n"/>
      <c r="Y34" s="94" t="n"/>
      <c r="Z34" s="94" t="n"/>
    </row>
    <row r="35" ht="20" customHeight="1" s="90">
      <c r="A35" s="390" t="inlineStr">
        <is>
          <t>Paris Oval Back Chair</t>
        </is>
      </c>
      <c r="B35" s="391" t="inlineStr">
        <is>
          <t>White Glove</t>
        </is>
      </c>
      <c r="C35" s="350" t="n">
        <v>84</v>
      </c>
      <c r="D35" s="334" t="n">
        <v>21</v>
      </c>
      <c r="E35" s="335">
        <f>C35*D35</f>
        <v/>
      </c>
      <c r="F35" s="335">
        <f>IFERROR(E35*(1+VLOOKUP(I35,'Client Setup - Sample'!$A$23:$B$33,2,FALSE)),0)</f>
        <v/>
      </c>
      <c r="G35" s="336">
        <f>'Client Setup - Sample'!B19</f>
        <v/>
      </c>
      <c r="H35" s="392" t="n"/>
      <c r="I35" s="351" t="inlineStr">
        <is>
          <t>Décor &amp; Design</t>
        </is>
      </c>
      <c r="J35" s="321">
        <f>IF(A38="","",A38&amp;" x"&amp;C38)</f>
        <v/>
      </c>
      <c r="K35" s="322">
        <f>IF(A38="","",ROUNDUP(F38/10,0)*10)</f>
        <v/>
      </c>
      <c r="L35" s="253" t="n"/>
      <c r="M35" s="352" t="inlineStr">
        <is>
          <t>Design Concept:</t>
        </is>
      </c>
      <c r="N35" s="324" t="n"/>
      <c r="O35" s="94" t="n"/>
      <c r="P35" s="94" t="n"/>
      <c r="Q35" s="94" t="n"/>
      <c r="R35" s="94" t="n"/>
      <c r="S35" s="94" t="n"/>
      <c r="T35" s="94" t="n"/>
      <c r="U35" s="94" t="n"/>
      <c r="V35" s="94" t="n"/>
      <c r="W35" s="94" t="n"/>
      <c r="X35" s="94" t="n"/>
      <c r="Y35" s="94" t="n"/>
      <c r="Z35" s="94" t="n"/>
    </row>
    <row r="36" ht="20" customHeight="1" s="90">
      <c r="A36" s="393" t="inlineStr">
        <is>
          <t>Ritz Mauve Circular Banquette</t>
        </is>
      </c>
      <c r="B36" s="394" t="inlineStr">
        <is>
          <t>White Glove</t>
        </is>
      </c>
      <c r="C36" s="354" t="n">
        <v>2</v>
      </c>
      <c r="D36" s="343" t="n">
        <v>395</v>
      </c>
      <c r="E36" s="344">
        <f>C36*D36</f>
        <v/>
      </c>
      <c r="F36" s="344">
        <f>IFERROR(E36*(1+VLOOKUP(I36,'Client Setup - Sample'!$A$23:$B$33,2,FALSE)),0)</f>
        <v/>
      </c>
      <c r="G36" s="345">
        <f>'Client Setup - Sample'!B19</f>
        <v/>
      </c>
      <c r="H36" s="395" t="n"/>
      <c r="I36" s="355" t="inlineStr">
        <is>
          <t>Décor &amp; Design</t>
        </is>
      </c>
      <c r="J36" s="321">
        <f>IF(A39="","",A39&amp;" x"&amp;C39)</f>
        <v/>
      </c>
      <c r="K36" s="322">
        <f>IF(A39="","",ROUNDUP(F39/10,0)*10)</f>
        <v/>
      </c>
      <c r="L36" s="253" t="n"/>
      <c r="M36" s="352" t="n"/>
      <c r="N36" s="324" t="n"/>
      <c r="O36" s="94" t="n"/>
      <c r="P36" s="94" t="n"/>
      <c r="Q36" s="94" t="n"/>
      <c r="R36" s="94" t="n"/>
      <c r="S36" s="94" t="n"/>
      <c r="T36" s="94" t="n"/>
      <c r="U36" s="94" t="n"/>
      <c r="V36" s="94" t="n"/>
      <c r="W36" s="94" t="n"/>
      <c r="X36" s="94" t="n"/>
      <c r="Y36" s="94" t="n"/>
      <c r="Z36" s="94" t="n"/>
    </row>
    <row r="37" ht="20" customHeight="1" s="90">
      <c r="A37" s="390" t="n"/>
      <c r="B37" s="391" t="n"/>
      <c r="C37" s="350" t="n"/>
      <c r="D37" s="334" t="n"/>
      <c r="E37" s="335">
        <f>C37*D37</f>
        <v/>
      </c>
      <c r="F37" s="335">
        <f>IFERROR(E37*(1+VLOOKUP(I37,'Client Setup - Sample'!$A$23:$B$33,2,FALSE)),0)</f>
        <v/>
      </c>
      <c r="G37" s="336">
        <f>'Client Setup - Sample'!B19</f>
        <v/>
      </c>
      <c r="H37" s="392" t="n"/>
      <c r="I37" s="351" t="inlineStr">
        <is>
          <t>Décor &amp; Design</t>
        </is>
      </c>
      <c r="J37" s="321">
        <f>IF(A40="","",A40&amp;" x"&amp;C40)</f>
        <v/>
      </c>
      <c r="K37" s="322">
        <f>IF(A40="","",ROUNDUP(F40/10,0)*10)</f>
        <v/>
      </c>
      <c r="L37" s="253" t="n"/>
      <c r="M37" s="352" t="n"/>
      <c r="N37" s="324" t="n"/>
      <c r="O37" s="94" t="n"/>
      <c r="P37" s="94" t="n"/>
      <c r="Q37" s="94" t="n"/>
      <c r="R37" s="94" t="n"/>
      <c r="S37" s="94" t="n"/>
      <c r="T37" s="94" t="n"/>
      <c r="U37" s="94" t="n"/>
      <c r="V37" s="94" t="n"/>
      <c r="W37" s="94" t="n"/>
      <c r="X37" s="94" t="n"/>
      <c r="Y37" s="94" t="n"/>
      <c r="Z37" s="94" t="n"/>
    </row>
    <row r="38" ht="20" customHeight="1" s="90">
      <c r="A38" s="393" t="n"/>
      <c r="B38" s="394" t="n"/>
      <c r="C38" s="354" t="n"/>
      <c r="D38" s="343" t="n"/>
      <c r="E38" s="344">
        <f>C38*D38</f>
        <v/>
      </c>
      <c r="F38" s="344">
        <f>IFERROR(E38*(1+VLOOKUP(I38,'Client Setup - Sample'!$A$23:$B$33,2,FALSE)),0)</f>
        <v/>
      </c>
      <c r="G38" s="345">
        <f>'Client Setup - Sample'!B19</f>
        <v/>
      </c>
      <c r="H38" s="395" t="n"/>
      <c r="I38" s="355" t="inlineStr">
        <is>
          <t>Décor &amp; Design</t>
        </is>
      </c>
      <c r="J38" s="321">
        <f>IF(A41="","",A41&amp;" x"&amp;C41)</f>
        <v/>
      </c>
      <c r="K38" s="322">
        <f>IF(A41="","",ROUNDUP(F41/10,0)*10)</f>
        <v/>
      </c>
      <c r="L38" s="253" t="n"/>
      <c r="M38" s="352" t="inlineStr">
        <is>
          <t>Logistics:</t>
        </is>
      </c>
      <c r="N38" s="324" t="n"/>
      <c r="O38" s="94" t="n"/>
      <c r="P38" s="94" t="n"/>
      <c r="Q38" s="94" t="n"/>
      <c r="R38" s="94" t="n"/>
      <c r="S38" s="94" t="n"/>
      <c r="T38" s="94" t="n"/>
      <c r="U38" s="94" t="n"/>
      <c r="V38" s="94" t="n"/>
      <c r="W38" s="94" t="n"/>
      <c r="X38" s="94" t="n"/>
      <c r="Y38" s="94" t="n"/>
      <c r="Z38" s="94" t="n"/>
    </row>
    <row r="39" ht="20" customHeight="1" s="90">
      <c r="A39" s="390" t="n"/>
      <c r="B39" s="391" t="n"/>
      <c r="C39" s="350" t="n"/>
      <c r="D39" s="334" t="n"/>
      <c r="E39" s="335">
        <f>C39*D39</f>
        <v/>
      </c>
      <c r="F39" s="335">
        <f>IFERROR(E39*(1+VLOOKUP(I39,'Client Setup - Sample'!$A$23:$B$33,2,FALSE)),0)</f>
        <v/>
      </c>
      <c r="G39" s="336">
        <f>'Client Setup - Sample'!B19</f>
        <v/>
      </c>
      <c r="H39" s="392" t="n"/>
      <c r="I39" s="351" t="inlineStr">
        <is>
          <t>Décor &amp; Design</t>
        </is>
      </c>
      <c r="J39" s="321">
        <f>IF(A42="","",A42&amp;" x"&amp;C42)</f>
        <v/>
      </c>
      <c r="K39" s="322">
        <f>IF(A42="","",ROUNDUP(F42/10,0)*10)</f>
        <v/>
      </c>
      <c r="L39" s="253" t="n"/>
      <c r="M39" s="352" t="n"/>
      <c r="N39" s="324" t="n"/>
      <c r="O39" s="94" t="n"/>
      <c r="P39" s="94" t="n"/>
      <c r="Q39" s="94" t="n"/>
      <c r="R39" s="94" t="n"/>
      <c r="S39" s="94" t="n"/>
      <c r="T39" s="94" t="n"/>
      <c r="U39" s="94" t="n"/>
      <c r="V39" s="94" t="n"/>
      <c r="W39" s="94" t="n"/>
      <c r="X39" s="94" t="n"/>
      <c r="Y39" s="94" t="n"/>
      <c r="Z39" s="94" t="n"/>
    </row>
    <row r="40" ht="20" customHeight="1" s="90">
      <c r="A40" s="393" t="n"/>
      <c r="B40" s="394" t="n"/>
      <c r="C40" s="354" t="n"/>
      <c r="D40" s="343" t="n"/>
      <c r="E40" s="344">
        <f>C40*D40</f>
        <v/>
      </c>
      <c r="F40" s="344">
        <f>IFERROR(E40*(1+VLOOKUP(I40,'Client Setup - Sample'!$A$23:$B$33,2,FALSE)),0)</f>
        <v/>
      </c>
      <c r="G40" s="345">
        <f>'Client Setup - Sample'!B19</f>
        <v/>
      </c>
      <c r="H40" s="395" t="n"/>
      <c r="I40" s="355" t="inlineStr">
        <is>
          <t>Décor &amp; Design</t>
        </is>
      </c>
      <c r="J40" s="321">
        <f>IF(A44="","",A44&amp;" x"&amp;C44)</f>
        <v/>
      </c>
      <c r="K40" s="322">
        <f>IF(A44="","",ROUNDUP(F44/10,0)*10)</f>
        <v/>
      </c>
      <c r="L40" s="253" t="n"/>
      <c r="M40" s="352" t="inlineStr">
        <is>
          <t>Additional Notes:</t>
        </is>
      </c>
      <c r="N40" s="324" t="n"/>
      <c r="O40" s="94" t="n"/>
      <c r="P40" s="94" t="n"/>
      <c r="Q40" s="94" t="n"/>
      <c r="R40" s="94" t="n"/>
      <c r="S40" s="94" t="n"/>
      <c r="T40" s="94" t="n"/>
      <c r="U40" s="94" t="n"/>
      <c r="V40" s="94" t="n"/>
      <c r="W40" s="94" t="n"/>
      <c r="X40" s="94" t="n"/>
      <c r="Y40" s="94" t="n"/>
      <c r="Z40" s="94" t="n"/>
    </row>
    <row r="41" ht="20" customHeight="1" s="90">
      <c r="A41" s="390" t="n"/>
      <c r="B41" s="391" t="n"/>
      <c r="C41" s="350" t="n"/>
      <c r="D41" s="334" t="n"/>
      <c r="E41" s="335">
        <f>C41*D41</f>
        <v/>
      </c>
      <c r="F41" s="335">
        <f>IFERROR(E41*(1+VLOOKUP(I41,'Client Setup - Sample'!$A$23:$B$33,2,FALSE)),0)</f>
        <v/>
      </c>
      <c r="G41" s="336">
        <f>'Client Setup - Sample'!B19</f>
        <v/>
      </c>
      <c r="H41" s="392" t="n"/>
      <c r="I41" s="351" t="inlineStr">
        <is>
          <t>Décor &amp; Design</t>
        </is>
      </c>
      <c r="J41" s="321">
        <f>IF(A45="","",A45&amp;" x"&amp;C45)</f>
        <v/>
      </c>
      <c r="K41" s="322">
        <f>IF(A45="","",ROUNDUP(F45/10,0)*10)</f>
        <v/>
      </c>
      <c r="L41" s="253" t="n"/>
      <c r="M41" s="356" t="n"/>
      <c r="N41" s="280" t="n"/>
      <c r="O41" s="94" t="n"/>
      <c r="P41" s="94" t="n"/>
      <c r="Q41" s="94" t="n"/>
      <c r="R41" s="94" t="n"/>
      <c r="S41" s="94" t="n"/>
      <c r="T41" s="94" t="n"/>
      <c r="U41" s="94" t="n"/>
      <c r="V41" s="94" t="n"/>
      <c r="W41" s="94" t="n"/>
      <c r="X41" s="94" t="n"/>
      <c r="Y41" s="94" t="n"/>
      <c r="Z41" s="94" t="n"/>
    </row>
    <row r="42" ht="20" customHeight="1" s="90">
      <c r="A42" s="393" t="n"/>
      <c r="B42" s="394" t="n"/>
      <c r="C42" s="354" t="n"/>
      <c r="D42" s="343" t="n"/>
      <c r="E42" s="344">
        <f>C42*D42</f>
        <v/>
      </c>
      <c r="F42" s="344">
        <f>IFERROR(E42*(1+VLOOKUP(I42,'Client Setup - Sample'!$A$23:$B$33,2,FALSE)),0)</f>
        <v/>
      </c>
      <c r="G42" s="345">
        <f>'Client Setup - Sample'!B19</f>
        <v/>
      </c>
      <c r="H42" s="395" t="n"/>
      <c r="I42" s="355" t="inlineStr">
        <is>
          <t>Décor &amp; Design</t>
        </is>
      </c>
      <c r="J42" s="321">
        <f>IF(A46="","",A46&amp;" x"&amp;C46)</f>
        <v/>
      </c>
      <c r="K42" s="322">
        <f>IF(A46="","",ROUNDUP(F46/10,0)*10)</f>
        <v/>
      </c>
      <c r="L42" s="253" t="n"/>
      <c r="M42" s="356" t="n"/>
      <c r="N42" s="280" t="n"/>
      <c r="O42" s="94" t="n"/>
      <c r="P42" s="94" t="n"/>
      <c r="Q42" s="94" t="n"/>
      <c r="R42" s="94" t="n"/>
      <c r="S42" s="94" t="n"/>
      <c r="T42" s="94" t="n"/>
      <c r="U42" s="94" t="n"/>
      <c r="V42" s="94" t="n"/>
      <c r="W42" s="94" t="n"/>
      <c r="X42" s="94" t="n"/>
      <c r="Y42" s="94" t="n"/>
      <c r="Z42" s="94" t="n"/>
    </row>
    <row r="43" ht="25" customHeight="1" s="90">
      <c r="A43" s="328" t="inlineStr">
        <is>
          <t>LOUNGE  (sofas, sectionals, club chairs)</t>
        </is>
      </c>
      <c r="B43" s="329" t="n"/>
      <c r="C43" s="329" t="n"/>
      <c r="D43" s="329" t="n"/>
      <c r="E43" s="329" t="n"/>
      <c r="F43" s="329" t="n"/>
      <c r="G43" s="329" t="n"/>
      <c r="H43" s="329" t="n"/>
      <c r="I43" s="389" t="n"/>
      <c r="J43" s="321">
        <f>IF(A47="","",A47&amp;" x"&amp;C47)</f>
        <v/>
      </c>
      <c r="K43" s="322">
        <f>IF(A47="","",ROUNDUP(F47/10,0)*10)</f>
        <v/>
      </c>
      <c r="L43" s="253" t="n"/>
      <c r="M43" s="253" t="n"/>
      <c r="N43" s="253" t="n"/>
      <c r="O43" s="94" t="n"/>
      <c r="P43" s="94" t="n"/>
      <c r="Q43" s="94" t="n"/>
      <c r="R43" s="94" t="n"/>
      <c r="S43" s="94" t="n"/>
      <c r="T43" s="94" t="n"/>
      <c r="U43" s="94" t="n"/>
      <c r="V43" s="94" t="n"/>
      <c r="W43" s="94" t="n"/>
      <c r="X43" s="94" t="n"/>
      <c r="Y43" s="94" t="n"/>
      <c r="Z43" s="94" t="n"/>
    </row>
    <row r="44" ht="20" customHeight="1" s="90">
      <c r="A44" s="390" t="inlineStr">
        <is>
          <t>Gillian Club Chair</t>
        </is>
      </c>
      <c r="B44" s="391" t="inlineStr">
        <is>
          <t>White Glove</t>
        </is>
      </c>
      <c r="C44" s="350" t="n">
        <v>4</v>
      </c>
      <c r="D44" s="334" t="n">
        <v>165</v>
      </c>
      <c r="E44" s="335">
        <f>C44*D44</f>
        <v/>
      </c>
      <c r="F44" s="335">
        <f>IFERROR(E44*(1+VLOOKUP(I44,'Client Setup - Sample'!$A$23:$B$33,2,FALSE)),0)</f>
        <v/>
      </c>
      <c r="G44" s="336">
        <f>'Client Setup - Sample'!B19</f>
        <v/>
      </c>
      <c r="H44" s="392" t="n"/>
      <c r="I44" s="351" t="inlineStr">
        <is>
          <t>Décor &amp; Design</t>
        </is>
      </c>
      <c r="J44" s="321">
        <f>IF(A48="","",A48&amp;" x"&amp;C48)</f>
        <v/>
      </c>
      <c r="K44" s="322">
        <f>IF(A48="","",ROUNDUP(F48/10,0)*10)</f>
        <v/>
      </c>
      <c r="L44" s="253" t="n"/>
      <c r="M44" s="253" t="n"/>
      <c r="N44" s="253" t="n"/>
      <c r="O44" s="94" t="n"/>
      <c r="P44" s="94" t="n"/>
      <c r="Q44" s="94" t="n"/>
      <c r="R44" s="94" t="n"/>
      <c r="S44" s="94" t="n"/>
      <c r="T44" s="94" t="n"/>
      <c r="U44" s="94" t="n"/>
      <c r="V44" s="94" t="n"/>
      <c r="W44" s="94" t="n"/>
      <c r="X44" s="94" t="n"/>
      <c r="Y44" s="94" t="n"/>
      <c r="Z44" s="94" t="n"/>
    </row>
    <row r="45" ht="20" customHeight="1" s="90">
      <c r="A45" s="393" t="inlineStr">
        <is>
          <t>Drift LEFT ARM Section</t>
        </is>
      </c>
      <c r="B45" s="394" t="inlineStr">
        <is>
          <t>White Glove</t>
        </is>
      </c>
      <c r="C45" s="354" t="n">
        <v>2</v>
      </c>
      <c r="D45" s="343" t="n">
        <v>237.5</v>
      </c>
      <c r="E45" s="344">
        <f>C45*D45</f>
        <v/>
      </c>
      <c r="F45" s="344">
        <f>IFERROR(E45*(1+VLOOKUP(I45,'Client Setup - Sample'!$A$23:$B$33,2,FALSE)),0)</f>
        <v/>
      </c>
      <c r="G45" s="345">
        <f>'Client Setup - Sample'!B19</f>
        <v/>
      </c>
      <c r="H45" s="395" t="inlineStr">
        <is>
          <t>Creating (2) 3-piece sectionals</t>
        </is>
      </c>
      <c r="I45" s="355" t="inlineStr">
        <is>
          <t>Décor &amp; Design</t>
        </is>
      </c>
      <c r="J45" s="321">
        <f>IF(A49="","",A49&amp;" x"&amp;C49)</f>
        <v/>
      </c>
      <c r="K45" s="322">
        <f>IF(A49="","",ROUNDUP(F49/10,0)*10)</f>
        <v/>
      </c>
      <c r="L45" s="253" t="n"/>
      <c r="M45" s="253" t="n"/>
      <c r="N45" s="253" t="n"/>
      <c r="O45" s="94" t="n"/>
      <c r="P45" s="94" t="n"/>
      <c r="Q45" s="94" t="n"/>
      <c r="R45" s="94" t="n"/>
      <c r="S45" s="94" t="n"/>
      <c r="T45" s="94" t="n"/>
      <c r="U45" s="94" t="n"/>
      <c r="V45" s="94" t="n"/>
      <c r="W45" s="94" t="n"/>
      <c r="X45" s="94" t="n"/>
      <c r="Y45" s="94" t="n"/>
      <c r="Z45" s="94" t="n"/>
    </row>
    <row r="46" ht="20" customHeight="1" s="90">
      <c r="A46" s="390" t="inlineStr">
        <is>
          <t>Drift CENTER Section</t>
        </is>
      </c>
      <c r="B46" s="391" t="inlineStr">
        <is>
          <t>White Glove</t>
        </is>
      </c>
      <c r="C46" s="350" t="n">
        <v>2</v>
      </c>
      <c r="D46" s="334" t="n">
        <v>237.5</v>
      </c>
      <c r="E46" s="335">
        <f>C46*D46</f>
        <v/>
      </c>
      <c r="F46" s="335">
        <f>IFERROR(E46*(1+VLOOKUP(I46,'Client Setup - Sample'!$A$23:$B$33,2,FALSE)),0)</f>
        <v/>
      </c>
      <c r="G46" s="336">
        <f>'Client Setup - Sample'!B19</f>
        <v/>
      </c>
      <c r="H46" s="392" t="inlineStr">
        <is>
          <t>Creating (2) 3-piece sectionals</t>
        </is>
      </c>
      <c r="I46" s="351" t="inlineStr">
        <is>
          <t>Décor &amp; Design</t>
        </is>
      </c>
      <c r="J46" s="321">
        <f>IF(A50="","",A50&amp;" x"&amp;C50)</f>
        <v/>
      </c>
      <c r="K46" s="322">
        <f>IF(A50="","",ROUNDUP(F50/10,0)*10)</f>
        <v/>
      </c>
      <c r="L46" s="253" t="n"/>
      <c r="M46" s="253" t="n"/>
      <c r="N46" s="253" t="n"/>
      <c r="O46" s="94" t="n"/>
      <c r="P46" s="94" t="n"/>
      <c r="Q46" s="94" t="n"/>
      <c r="R46" s="94" t="n"/>
      <c r="S46" s="94" t="n"/>
      <c r="T46" s="94" t="n"/>
      <c r="U46" s="94" t="n"/>
      <c r="V46" s="94" t="n"/>
      <c r="W46" s="94" t="n"/>
      <c r="X46" s="94" t="n"/>
      <c r="Y46" s="94" t="n"/>
      <c r="Z46" s="94" t="n"/>
    </row>
    <row r="47" ht="20" customHeight="1" s="90">
      <c r="A47" s="393" t="inlineStr">
        <is>
          <t>Drift RIGHT ARM Section</t>
        </is>
      </c>
      <c r="B47" s="394" t="inlineStr">
        <is>
          <t>White Glove</t>
        </is>
      </c>
      <c r="C47" s="354" t="n">
        <v>2</v>
      </c>
      <c r="D47" s="343" t="n">
        <v>237.5</v>
      </c>
      <c r="E47" s="344">
        <f>C47*D47</f>
        <v/>
      </c>
      <c r="F47" s="344">
        <f>IFERROR(E47*(1+VLOOKUP(I47,'Client Setup - Sample'!$A$23:$B$33,2,FALSE)),0)</f>
        <v/>
      </c>
      <c r="G47" s="345">
        <f>'Client Setup - Sample'!B19</f>
        <v/>
      </c>
      <c r="H47" s="395" t="inlineStr">
        <is>
          <t>Creating (2) 3-piece sectionals</t>
        </is>
      </c>
      <c r="I47" s="355" t="inlineStr">
        <is>
          <t>Décor &amp; Design</t>
        </is>
      </c>
      <c r="J47" s="321">
        <f>IF(A51="","",A51&amp;" x"&amp;C51)</f>
        <v/>
      </c>
      <c r="K47" s="322">
        <f>IF(A51="","",ROUNDUP(F51/10,0)*10)</f>
        <v/>
      </c>
      <c r="L47" s="253" t="n"/>
      <c r="M47" s="253" t="n"/>
      <c r="N47" s="253" t="n"/>
      <c r="O47" s="94" t="n"/>
      <c r="P47" s="94" t="n"/>
      <c r="Q47" s="94" t="n"/>
      <c r="R47" s="94" t="n"/>
      <c r="S47" s="94" t="n"/>
      <c r="T47" s="94" t="n"/>
      <c r="U47" s="94" t="n"/>
      <c r="V47" s="94" t="n"/>
      <c r="W47" s="94" t="n"/>
      <c r="X47" s="94" t="n"/>
      <c r="Y47" s="94" t="n"/>
      <c r="Z47" s="94" t="n"/>
    </row>
    <row r="48" ht="20" customHeight="1" s="90">
      <c r="A48" s="390" t="n"/>
      <c r="B48" s="391" t="n"/>
      <c r="C48" s="350" t="n"/>
      <c r="D48" s="334" t="n"/>
      <c r="E48" s="335">
        <f>C48*D48</f>
        <v/>
      </c>
      <c r="F48" s="335">
        <f>IFERROR(E48*(1+VLOOKUP(I48,'Client Setup - Sample'!$A$23:$B$33,2,FALSE)),0)</f>
        <v/>
      </c>
      <c r="G48" s="336">
        <f>'Client Setup - Sample'!B19</f>
        <v/>
      </c>
      <c r="H48" s="392" t="n"/>
      <c r="I48" s="351" t="inlineStr">
        <is>
          <t>Décor &amp; Design</t>
        </is>
      </c>
      <c r="J48" s="321">
        <f>IF(A53="","",A53&amp;" x"&amp;C53)</f>
        <v/>
      </c>
      <c r="K48" s="322">
        <f>IF(A53="","",ROUNDUP(F53/10,0)*10)</f>
        <v/>
      </c>
      <c r="L48" s="253" t="n"/>
      <c r="M48" s="253" t="n"/>
      <c r="N48" s="253" t="n"/>
      <c r="O48" s="94" t="n"/>
      <c r="P48" s="94" t="n"/>
      <c r="Q48" s="94" t="n"/>
      <c r="R48" s="94" t="n"/>
      <c r="S48" s="94" t="n"/>
      <c r="T48" s="94" t="n"/>
      <c r="U48" s="94" t="n"/>
      <c r="V48" s="94" t="n"/>
      <c r="W48" s="94" t="n"/>
      <c r="X48" s="94" t="n"/>
      <c r="Y48" s="94" t="n"/>
      <c r="Z48" s="94" t="n"/>
    </row>
    <row r="49" ht="20" customHeight="1" s="90">
      <c r="A49" s="393" t="n"/>
      <c r="B49" s="394" t="n"/>
      <c r="C49" s="354" t="n"/>
      <c r="D49" s="343" t="n"/>
      <c r="E49" s="344">
        <f>C49*D49</f>
        <v/>
      </c>
      <c r="F49" s="344">
        <f>IFERROR(E49*(1+VLOOKUP(I49,'Client Setup - Sample'!$A$23:$B$33,2,FALSE)),0)</f>
        <v/>
      </c>
      <c r="G49" s="345">
        <f>'Client Setup - Sample'!B19</f>
        <v/>
      </c>
      <c r="H49" s="395" t="n"/>
      <c r="I49" s="355" t="inlineStr">
        <is>
          <t>Décor &amp; Design</t>
        </is>
      </c>
      <c r="J49" s="321">
        <f>IF(A54="","",A54&amp;" x"&amp;C54)</f>
        <v/>
      </c>
      <c r="K49" s="322">
        <f>IF(A54="","",ROUNDUP(F54/10,0)*10)</f>
        <v/>
      </c>
      <c r="L49" s="253" t="n"/>
      <c r="M49" s="253" t="n"/>
      <c r="N49" s="253" t="n"/>
      <c r="O49" s="94" t="n"/>
      <c r="P49" s="94" t="n"/>
      <c r="Q49" s="94" t="n"/>
      <c r="R49" s="94" t="n"/>
      <c r="S49" s="94" t="n"/>
      <c r="T49" s="94" t="n"/>
      <c r="U49" s="94" t="n"/>
      <c r="V49" s="94" t="n"/>
      <c r="W49" s="94" t="n"/>
      <c r="X49" s="94" t="n"/>
      <c r="Y49" s="94" t="n"/>
      <c r="Z49" s="94" t="n"/>
    </row>
    <row r="50" ht="20" customHeight="1" s="90">
      <c r="A50" s="390" t="n"/>
      <c r="B50" s="391" t="n"/>
      <c r="C50" s="350" t="n"/>
      <c r="D50" s="334" t="n"/>
      <c r="E50" s="335">
        <f>C50*D50</f>
        <v/>
      </c>
      <c r="F50" s="335">
        <f>IFERROR(E50*(1+VLOOKUP(I50,'Client Setup - Sample'!$A$23:$B$33,2,FALSE)),0)</f>
        <v/>
      </c>
      <c r="G50" s="336">
        <f>'Client Setup - Sample'!B19</f>
        <v/>
      </c>
      <c r="H50" s="392" t="n"/>
      <c r="I50" s="351" t="inlineStr">
        <is>
          <t>Décor &amp; Design</t>
        </is>
      </c>
      <c r="J50" s="321">
        <f>IF(A55="","",A55&amp;" x"&amp;C55)</f>
        <v/>
      </c>
      <c r="K50" s="322">
        <f>IF(A55="","",ROUNDUP(F55/10,0)*10)</f>
        <v/>
      </c>
      <c r="L50" s="253" t="n"/>
      <c r="M50" s="253" t="n"/>
      <c r="N50" s="253" t="n"/>
      <c r="O50" s="94" t="n"/>
      <c r="P50" s="94" t="n"/>
      <c r="Q50" s="94" t="n"/>
      <c r="R50" s="94" t="n"/>
      <c r="S50" s="94" t="n"/>
      <c r="T50" s="94" t="n"/>
      <c r="U50" s="94" t="n"/>
      <c r="V50" s="94" t="n"/>
      <c r="W50" s="94" t="n"/>
      <c r="X50" s="94" t="n"/>
      <c r="Y50" s="94" t="n"/>
      <c r="Z50" s="94" t="n"/>
    </row>
    <row r="51" ht="20" customHeight="1" s="90">
      <c r="A51" s="393" t="n"/>
      <c r="B51" s="394" t="n"/>
      <c r="C51" s="354" t="n"/>
      <c r="D51" s="343" t="n"/>
      <c r="E51" s="344">
        <f>C51*D51</f>
        <v/>
      </c>
      <c r="F51" s="344">
        <f>IFERROR(E51*(1+VLOOKUP(I51,'Client Setup - Sample'!$A$23:$B$33,2,FALSE)),0)</f>
        <v/>
      </c>
      <c r="G51" s="345">
        <f>'Client Setup - Sample'!B19</f>
        <v/>
      </c>
      <c r="H51" s="395" t="n"/>
      <c r="I51" s="355" t="inlineStr">
        <is>
          <t>Décor &amp; Design</t>
        </is>
      </c>
      <c r="J51" s="321">
        <f>IF(A56="","",A56&amp;" x"&amp;C56)</f>
        <v/>
      </c>
      <c r="K51" s="322">
        <f>IF(A56="","",ROUNDUP(F56/10,0)*10)</f>
        <v/>
      </c>
      <c r="L51" s="253" t="n"/>
      <c r="M51" s="253" t="n"/>
      <c r="N51" s="253" t="n"/>
      <c r="O51" s="94" t="n"/>
      <c r="P51" s="94" t="n"/>
      <c r="Q51" s="94" t="n"/>
      <c r="R51" s="94" t="n"/>
      <c r="S51" s="94" t="n"/>
      <c r="T51" s="94" t="n"/>
      <c r="U51" s="94" t="n"/>
      <c r="V51" s="94" t="n"/>
      <c r="W51" s="94" t="n"/>
      <c r="X51" s="94" t="n"/>
      <c r="Y51" s="94" t="n"/>
      <c r="Z51" s="94" t="n"/>
    </row>
    <row r="52" ht="25" customHeight="1" s="90">
      <c r="A52" s="328" t="inlineStr">
        <is>
          <t>TABLES  (cocktail, coffee, side, dining)</t>
        </is>
      </c>
      <c r="B52" s="329" t="n"/>
      <c r="C52" s="329" t="n"/>
      <c r="D52" s="329" t="n"/>
      <c r="E52" s="329" t="n"/>
      <c r="F52" s="329" t="n"/>
      <c r="G52" s="329" t="n"/>
      <c r="H52" s="329" t="n"/>
      <c r="I52" s="389" t="n"/>
      <c r="J52" s="321">
        <f>IF(A57="","",A57&amp;" x"&amp;C57)</f>
        <v/>
      </c>
      <c r="K52" s="322">
        <f>IF(A57="","",ROUNDUP(F57/10,0)*10)</f>
        <v/>
      </c>
      <c r="L52" s="253" t="n"/>
      <c r="M52" s="253" t="n"/>
      <c r="N52" s="253" t="n"/>
      <c r="O52" s="94" t="n"/>
      <c r="P52" s="94" t="n"/>
      <c r="Q52" s="94" t="n"/>
      <c r="R52" s="94" t="n"/>
      <c r="S52" s="94" t="n"/>
      <c r="T52" s="94" t="n"/>
      <c r="U52" s="94" t="n"/>
      <c r="V52" s="94" t="n"/>
      <c r="W52" s="94" t="n"/>
      <c r="X52" s="94" t="n"/>
      <c r="Y52" s="94" t="n"/>
      <c r="Z52" s="94" t="n"/>
    </row>
    <row r="53" ht="20" customHeight="1" s="90">
      <c r="A53" s="390" t="inlineStr">
        <is>
          <t>Branch &amp; Root Side Table</t>
        </is>
      </c>
      <c r="B53" s="391" t="inlineStr">
        <is>
          <t>White Glove</t>
        </is>
      </c>
      <c r="C53" s="350" t="n">
        <v>4</v>
      </c>
      <c r="D53" s="334" t="n">
        <v>69</v>
      </c>
      <c r="E53" s="335">
        <f>C53*D53</f>
        <v/>
      </c>
      <c r="F53" s="335">
        <f>IFERROR(E53*(1+VLOOKUP(I53,'Client Setup - Sample'!$A$23:$B$33,2,FALSE)),0)</f>
        <v/>
      </c>
      <c r="G53" s="336">
        <f>'Client Setup - Sample'!B19</f>
        <v/>
      </c>
      <c r="H53" s="392" t="n"/>
      <c r="I53" s="351" t="inlineStr">
        <is>
          <t>Décor &amp; Design</t>
        </is>
      </c>
      <c r="J53" s="321">
        <f>IF(A58="","",A58&amp;" x"&amp;C58)</f>
        <v/>
      </c>
      <c r="K53" s="322">
        <f>IF(A58="","",ROUNDUP(F58/10,0)*10)</f>
        <v/>
      </c>
      <c r="L53" s="253" t="n"/>
      <c r="M53" s="253" t="n"/>
      <c r="N53" s="253" t="n"/>
      <c r="O53" s="94" t="n"/>
      <c r="P53" s="94" t="n"/>
      <c r="Q53" s="94" t="n"/>
      <c r="R53" s="94" t="n"/>
      <c r="S53" s="94" t="n"/>
      <c r="T53" s="94" t="n"/>
      <c r="U53" s="94" t="n"/>
      <c r="V53" s="94" t="n"/>
      <c r="W53" s="94" t="n"/>
      <c r="X53" s="94" t="n"/>
      <c r="Y53" s="94" t="n"/>
      <c r="Z53" s="94" t="n"/>
    </row>
    <row r="54" ht="20" customHeight="1" s="90">
      <c r="A54" s="393" t="inlineStr">
        <is>
          <t>Belmont Coffee Table</t>
        </is>
      </c>
      <c r="B54" s="394" t="inlineStr">
        <is>
          <t>White Glove</t>
        </is>
      </c>
      <c r="C54" s="354" t="n">
        <v>2</v>
      </c>
      <c r="D54" s="343" t="n">
        <v>129</v>
      </c>
      <c r="E54" s="344">
        <f>C54*D54</f>
        <v/>
      </c>
      <c r="F54" s="344">
        <f>IFERROR(E54*(1+VLOOKUP(I54,'Client Setup - Sample'!$A$23:$B$33,2,FALSE)),0)</f>
        <v/>
      </c>
      <c r="G54" s="345">
        <f>'Client Setup - Sample'!B19</f>
        <v/>
      </c>
      <c r="H54" s="395" t="n"/>
      <c r="I54" s="355" t="inlineStr">
        <is>
          <t>Décor &amp; Design</t>
        </is>
      </c>
      <c r="J54" s="321">
        <f>IF(A59="","",A59&amp;" x"&amp;C59)</f>
        <v/>
      </c>
      <c r="K54" s="322">
        <f>IF(A59="","",ROUNDUP(F59/10,0)*10)</f>
        <v/>
      </c>
      <c r="L54" s="253" t="n"/>
      <c r="M54" s="253" t="n"/>
      <c r="N54" s="253" t="n"/>
      <c r="O54" s="94" t="n"/>
      <c r="P54" s="94" t="n"/>
      <c r="Q54" s="94" t="n"/>
      <c r="R54" s="94" t="n"/>
      <c r="S54" s="94" t="n"/>
      <c r="T54" s="94" t="n"/>
      <c r="U54" s="94" t="n"/>
      <c r="V54" s="94" t="n"/>
      <c r="W54" s="94" t="n"/>
      <c r="X54" s="94" t="n"/>
      <c r="Y54" s="94" t="n"/>
      <c r="Z54" s="94" t="n"/>
    </row>
    <row r="55" ht="20" customHeight="1" s="90">
      <c r="A55" s="390" t="inlineStr">
        <is>
          <t>Talia Cocktail Table</t>
        </is>
      </c>
      <c r="B55" s="391" t="inlineStr">
        <is>
          <t>White Glove</t>
        </is>
      </c>
      <c r="C55" s="350" t="n">
        <v>14</v>
      </c>
      <c r="D55" s="334" t="n">
        <v>129</v>
      </c>
      <c r="E55" s="335">
        <f>C55*D55</f>
        <v/>
      </c>
      <c r="F55" s="335">
        <f>IFERROR(E55*(1+VLOOKUP(I55,'Client Setup - Sample'!$A$23:$B$33,2,FALSE)),0)</f>
        <v/>
      </c>
      <c r="G55" s="336">
        <f>'Client Setup - Sample'!B19</f>
        <v/>
      </c>
      <c r="H55" s="392" t="n"/>
      <c r="I55" s="351" t="inlineStr">
        <is>
          <t>Décor &amp; Design</t>
        </is>
      </c>
      <c r="J55" s="321">
        <f>IF(A60="","",A60&amp;" x"&amp;C60)</f>
        <v/>
      </c>
      <c r="K55" s="322">
        <f>IF(A60="","",ROUNDUP(F60/10,0)*10)</f>
        <v/>
      </c>
      <c r="L55" s="253" t="n"/>
      <c r="M55" s="253" t="n"/>
      <c r="N55" s="253" t="n"/>
      <c r="O55" s="94" t="n"/>
      <c r="P55" s="94" t="n"/>
      <c r="Q55" s="94" t="n"/>
      <c r="R55" s="94" t="n"/>
      <c r="S55" s="94" t="n"/>
      <c r="T55" s="94" t="n"/>
      <c r="U55" s="94" t="n"/>
      <c r="V55" s="94" t="n"/>
      <c r="W55" s="94" t="n"/>
      <c r="X55" s="94" t="n"/>
      <c r="Y55" s="94" t="n"/>
      <c r="Z55" s="94" t="n"/>
    </row>
    <row r="56" ht="20" customHeight="1" s="90">
      <c r="A56" s="393" t="n"/>
      <c r="B56" s="394" t="n"/>
      <c r="C56" s="354" t="n"/>
      <c r="D56" s="343" t="n"/>
      <c r="E56" s="344">
        <f>C56*D56</f>
        <v/>
      </c>
      <c r="F56" s="344">
        <f>IFERROR(E56*(1+VLOOKUP(I56,'Client Setup - Sample'!$A$23:$B$33,2,FALSE)),0)</f>
        <v/>
      </c>
      <c r="G56" s="345">
        <f>'Client Setup - Sample'!B19</f>
        <v/>
      </c>
      <c r="H56" s="395" t="n"/>
      <c r="I56" s="355" t="inlineStr">
        <is>
          <t>Décor &amp; Design</t>
        </is>
      </c>
      <c r="J56" s="321">
        <f>IF(A62="","",A62&amp;" x"&amp;C62)</f>
        <v/>
      </c>
      <c r="K56" s="322">
        <f>IF(A62="","",ROUNDUP(F62/10,0)*10)</f>
        <v/>
      </c>
      <c r="L56" s="253" t="n"/>
      <c r="M56" s="253" t="n"/>
      <c r="N56" s="253" t="n"/>
      <c r="O56" s="94" t="n"/>
      <c r="P56" s="94" t="n"/>
      <c r="Q56" s="94" t="n"/>
      <c r="R56" s="94" t="n"/>
      <c r="S56" s="94" t="n"/>
      <c r="T56" s="94" t="n"/>
      <c r="U56" s="94" t="n"/>
      <c r="V56" s="94" t="n"/>
      <c r="W56" s="94" t="n"/>
      <c r="X56" s="94" t="n"/>
      <c r="Y56" s="94" t="n"/>
      <c r="Z56" s="94" t="n"/>
    </row>
    <row r="57" ht="20" customHeight="1" s="90">
      <c r="A57" s="390" t="n"/>
      <c r="B57" s="391" t="n"/>
      <c r="C57" s="350" t="n"/>
      <c r="D57" s="334" t="n"/>
      <c r="E57" s="335">
        <f>C57*D57</f>
        <v/>
      </c>
      <c r="F57" s="335">
        <f>IFERROR(E57*(1+VLOOKUP(I57,'Client Setup - Sample'!$A$23:$B$33,2,FALSE)),0)</f>
        <v/>
      </c>
      <c r="G57" s="336">
        <f>'Client Setup - Sample'!B19</f>
        <v/>
      </c>
      <c r="H57" s="392" t="n"/>
      <c r="I57" s="351" t="inlineStr">
        <is>
          <t>Décor &amp; Design</t>
        </is>
      </c>
      <c r="J57" s="321">
        <f>IF(A63="","",A63&amp;" x"&amp;C63)</f>
        <v/>
      </c>
      <c r="K57" s="322">
        <f>IF(A63="","",ROUNDUP(F63/10,0)*10)</f>
        <v/>
      </c>
      <c r="L57" s="253" t="n"/>
      <c r="M57" s="253" t="n"/>
      <c r="N57" s="253" t="n"/>
      <c r="O57" s="94" t="n"/>
      <c r="P57" s="94" t="n"/>
      <c r="Q57" s="94" t="n"/>
      <c r="R57" s="94" t="n"/>
      <c r="S57" s="94" t="n"/>
      <c r="T57" s="94" t="n"/>
      <c r="U57" s="94" t="n"/>
      <c r="V57" s="94" t="n"/>
      <c r="W57" s="94" t="n"/>
      <c r="X57" s="94" t="n"/>
      <c r="Y57" s="94" t="n"/>
      <c r="Z57" s="94" t="n"/>
    </row>
    <row r="58" ht="20" customHeight="1" s="90">
      <c r="A58" s="393" t="n"/>
      <c r="B58" s="394" t="n"/>
      <c r="C58" s="354" t="n"/>
      <c r="D58" s="343" t="n"/>
      <c r="E58" s="344">
        <f>C58*D58</f>
        <v/>
      </c>
      <c r="F58" s="344">
        <f>IFERROR(E58*(1+VLOOKUP(I58,'Client Setup - Sample'!$A$23:$B$33,2,FALSE)),0)</f>
        <v/>
      </c>
      <c r="G58" s="345">
        <f>'Client Setup - Sample'!B19</f>
        <v/>
      </c>
      <c r="H58" s="395" t="n"/>
      <c r="I58" s="355" t="inlineStr">
        <is>
          <t>Décor &amp; Design</t>
        </is>
      </c>
      <c r="J58" s="321">
        <f>IF(A64="","",A64&amp;" x"&amp;C64)</f>
        <v/>
      </c>
      <c r="K58" s="322">
        <f>IF(A64="","",ROUNDUP(F64/10,0)*10)</f>
        <v/>
      </c>
      <c r="L58" s="253" t="n"/>
      <c r="M58" s="253" t="n"/>
      <c r="N58" s="253" t="n"/>
      <c r="O58" s="94" t="n"/>
      <c r="P58" s="94" t="n"/>
      <c r="Q58" s="94" t="n"/>
      <c r="R58" s="94" t="n"/>
      <c r="S58" s="94" t="n"/>
      <c r="T58" s="94" t="n"/>
      <c r="U58" s="94" t="n"/>
      <c r="V58" s="94" t="n"/>
      <c r="W58" s="94" t="n"/>
      <c r="X58" s="94" t="n"/>
      <c r="Y58" s="94" t="n"/>
      <c r="Z58" s="94" t="n"/>
    </row>
    <row r="59" ht="20" customHeight="1" s="90">
      <c r="A59" s="390" t="n"/>
      <c r="B59" s="391" t="n"/>
      <c r="C59" s="350" t="n"/>
      <c r="D59" s="334" t="n"/>
      <c r="E59" s="335">
        <f>C59*D59</f>
        <v/>
      </c>
      <c r="F59" s="335">
        <f>IFERROR(E59*(1+VLOOKUP(I59,'Client Setup - Sample'!$A$23:$B$33,2,FALSE)),0)</f>
        <v/>
      </c>
      <c r="G59" s="336">
        <f>'Client Setup - Sample'!B19</f>
        <v/>
      </c>
      <c r="H59" s="392" t="n"/>
      <c r="I59" s="351" t="inlineStr">
        <is>
          <t>Décor &amp; Design</t>
        </is>
      </c>
      <c r="J59" s="321">
        <f>IF(A65="","",A65&amp;" x"&amp;C65)</f>
        <v/>
      </c>
      <c r="K59" s="322">
        <f>IF(A65="","",ROUNDUP(F65/10,0)*10)</f>
        <v/>
      </c>
      <c r="L59" s="253" t="n"/>
      <c r="M59" s="253" t="n"/>
      <c r="N59" s="253" t="n"/>
      <c r="O59" s="94" t="n"/>
      <c r="P59" s="94" t="n"/>
      <c r="Q59" s="94" t="n"/>
      <c r="R59" s="94" t="n"/>
      <c r="S59" s="94" t="n"/>
      <c r="T59" s="94" t="n"/>
      <c r="U59" s="94" t="n"/>
      <c r="V59" s="94" t="n"/>
      <c r="W59" s="94" t="n"/>
      <c r="X59" s="94" t="n"/>
      <c r="Y59" s="94" t="n"/>
      <c r="Z59" s="94" t="n"/>
    </row>
    <row r="60" ht="20" customHeight="1" s="90">
      <c r="A60" s="393" t="n"/>
      <c r="B60" s="394" t="n"/>
      <c r="C60" s="354" t="n"/>
      <c r="D60" s="343" t="n"/>
      <c r="E60" s="344">
        <f>C60*D60</f>
        <v/>
      </c>
      <c r="F60" s="344">
        <f>IFERROR(E60*(1+VLOOKUP(I60,'Client Setup - Sample'!$A$23:$B$33,2,FALSE)),0)</f>
        <v/>
      </c>
      <c r="G60" s="345">
        <f>'Client Setup - Sample'!B19</f>
        <v/>
      </c>
      <c r="H60" s="395" t="n"/>
      <c r="I60" s="355" t="inlineStr">
        <is>
          <t>Décor &amp; Design</t>
        </is>
      </c>
      <c r="J60" s="321">
        <f>IF(A66="","",A66&amp;" x"&amp;C66)</f>
        <v/>
      </c>
      <c r="K60" s="322">
        <f>IF(A66="","",ROUNDUP(F66/10,0)*10)</f>
        <v/>
      </c>
      <c r="L60" s="253" t="n"/>
      <c r="M60" s="253" t="n"/>
      <c r="N60" s="253" t="n"/>
      <c r="O60" s="94" t="n"/>
      <c r="P60" s="94" t="n"/>
      <c r="Q60" s="94" t="n"/>
      <c r="R60" s="94" t="n"/>
      <c r="S60" s="94" t="n"/>
      <c r="T60" s="94" t="n"/>
      <c r="U60" s="94" t="n"/>
      <c r="V60" s="94" t="n"/>
      <c r="W60" s="94" t="n"/>
      <c r="X60" s="94" t="n"/>
      <c r="Y60" s="94" t="n"/>
      <c r="Z60" s="94" t="n"/>
    </row>
    <row r="61" ht="25" customHeight="1" s="90">
      <c r="A61" s="328" t="inlineStr">
        <is>
          <t>RUGS, DECOR &amp; ACCESSORIES</t>
        </is>
      </c>
      <c r="B61" s="329" t="n"/>
      <c r="C61" s="329" t="n"/>
      <c r="D61" s="329" t="n"/>
      <c r="E61" s="329" t="n"/>
      <c r="F61" s="329" t="n"/>
      <c r="G61" s="329" t="n"/>
      <c r="H61" s="329" t="n"/>
      <c r="I61" s="389" t="n"/>
      <c r="J61" s="321">
        <f>IF(A67="","",A67&amp;" x"&amp;C67)</f>
        <v/>
      </c>
      <c r="K61" s="322">
        <f>IF(A67="","",ROUNDUP(F67/10,0)*10)</f>
        <v/>
      </c>
      <c r="L61" s="253" t="n"/>
      <c r="M61" s="253" t="n"/>
      <c r="N61" s="253" t="n"/>
      <c r="O61" s="94" t="n"/>
      <c r="P61" s="94" t="n"/>
      <c r="Q61" s="94" t="n"/>
      <c r="R61" s="94" t="n"/>
      <c r="S61" s="94" t="n"/>
      <c r="T61" s="94" t="n"/>
      <c r="U61" s="94" t="n"/>
      <c r="V61" s="94" t="n"/>
      <c r="W61" s="94" t="n"/>
      <c r="X61" s="94" t="n"/>
      <c r="Y61" s="94" t="n"/>
      <c r="Z61" s="94" t="n"/>
    </row>
    <row r="62" ht="20" customHeight="1" s="90">
      <c r="A62" s="390" t="inlineStr">
        <is>
          <t>Edith Pink Medallion Rug (5x8)</t>
        </is>
      </c>
      <c r="B62" s="391" t="inlineStr">
        <is>
          <t>White Glove</t>
        </is>
      </c>
      <c r="C62" s="350" t="n">
        <v>2</v>
      </c>
      <c r="D62" s="334" t="n">
        <v>69</v>
      </c>
      <c r="E62" s="335">
        <f>C62*D62</f>
        <v/>
      </c>
      <c r="F62" s="335">
        <f>IFERROR(E62*(1+VLOOKUP(I62,'Client Setup - Sample'!$A$23:$B$33,2,FALSE)),0)</f>
        <v/>
      </c>
      <c r="G62" s="336">
        <f>'Client Setup - Sample'!B19</f>
        <v/>
      </c>
      <c r="H62" s="392" t="n"/>
      <c r="I62" s="351" t="inlineStr">
        <is>
          <t>Décor &amp; Design</t>
        </is>
      </c>
      <c r="J62" s="321">
        <f>IF(A69="","",A69)</f>
        <v/>
      </c>
      <c r="K62" s="322">
        <f>IF(A69="","",ROUNDUP(F69/10,0)*10)</f>
        <v/>
      </c>
      <c r="L62" s="253" t="n"/>
      <c r="M62" s="253" t="n"/>
      <c r="N62" s="253" t="n"/>
      <c r="O62" s="94" t="n"/>
      <c r="P62" s="94" t="n"/>
      <c r="Q62" s="94" t="n"/>
      <c r="R62" s="94" t="n"/>
      <c r="S62" s="94" t="n"/>
      <c r="T62" s="94" t="n"/>
      <c r="U62" s="94" t="n"/>
      <c r="V62" s="94" t="n"/>
      <c r="W62" s="94" t="n"/>
      <c r="X62" s="94" t="n"/>
      <c r="Y62" s="94" t="n"/>
      <c r="Z62" s="94" t="n"/>
    </row>
    <row r="63" ht="20" customHeight="1" s="90">
      <c r="A63" s="393" t="inlineStr">
        <is>
          <t>11ft Grand Arch Cherry Blossom Tree</t>
        </is>
      </c>
      <c r="B63" s="394" t="inlineStr">
        <is>
          <t>Dalissa Events</t>
        </is>
      </c>
      <c r="C63" s="354" t="n">
        <v>2</v>
      </c>
      <c r="D63" s="343" t="n">
        <v>450</v>
      </c>
      <c r="E63" s="344">
        <f>C63*D63</f>
        <v/>
      </c>
      <c r="F63" s="344">
        <f>IFERROR(E63*(1+VLOOKUP(I63,'Client Setup - Sample'!$A$23:$B$33,2,FALSE)),0)</f>
        <v/>
      </c>
      <c r="G63" s="345">
        <f>'Client Setup - Sample'!B19</f>
        <v/>
      </c>
      <c r="H63" s="395" t="inlineStr">
        <is>
          <t>Blush/Light Pink, 11ft H x 8ft W</t>
        </is>
      </c>
      <c r="I63" s="355" t="inlineStr">
        <is>
          <t>Décor &amp; Design</t>
        </is>
      </c>
      <c r="J63" s="321">
        <f>IF(A70="","",A70)</f>
        <v/>
      </c>
      <c r="K63" s="322">
        <f>IF(A70="","",ROUNDUP(F70/10,0)*10)</f>
        <v/>
      </c>
      <c r="L63" s="253" t="n"/>
      <c r="M63" s="253" t="n"/>
      <c r="N63" s="253" t="n"/>
      <c r="O63" s="94" t="n"/>
      <c r="P63" s="94" t="n"/>
      <c r="Q63" s="94" t="n"/>
      <c r="R63" s="94" t="n"/>
      <c r="S63" s="94" t="n"/>
      <c r="T63" s="94" t="n"/>
      <c r="U63" s="94" t="n"/>
      <c r="V63" s="94" t="n"/>
      <c r="W63" s="94" t="n"/>
      <c r="X63" s="94" t="n"/>
      <c r="Y63" s="94" t="n"/>
      <c r="Z63" s="94" t="n"/>
    </row>
    <row r="64" ht="20" customHeight="1" s="90">
      <c r="A64" s="390" t="inlineStr">
        <is>
          <t>Canopy Weight (2lb)</t>
        </is>
      </c>
      <c r="B64" s="391" t="inlineStr">
        <is>
          <t>Dalissa Events</t>
        </is>
      </c>
      <c r="C64" s="350" t="n">
        <v>12</v>
      </c>
      <c r="D64" s="334" t="n">
        <v>0</v>
      </c>
      <c r="E64" s="335">
        <f>C64*D64</f>
        <v/>
      </c>
      <c r="F64" s="335">
        <f>IFERROR(E64*(1+VLOOKUP(I64,'Client Setup - Sample'!$A$23:$B$33,2,FALSE)),0)</f>
        <v/>
      </c>
      <c r="G64" s="336">
        <f>'Client Setup - Sample'!B19</f>
        <v/>
      </c>
      <c r="H64" s="392" t="inlineStr">
        <is>
          <t>Included with trees</t>
        </is>
      </c>
      <c r="I64" s="351" t="inlineStr">
        <is>
          <t>Décor &amp; Design</t>
        </is>
      </c>
      <c r="J64" s="321">
        <f>IF(A71="","",A71)</f>
        <v/>
      </c>
      <c r="K64" s="322">
        <f>IF(A71="","",ROUNDUP(F71/10,0)*10)</f>
        <v/>
      </c>
      <c r="L64" s="253" t="n"/>
      <c r="M64" s="253" t="n"/>
      <c r="N64" s="253" t="n"/>
      <c r="O64" s="94" t="n"/>
      <c r="P64" s="94" t="n"/>
      <c r="Q64" s="94" t="n"/>
      <c r="R64" s="94" t="n"/>
      <c r="S64" s="94" t="n"/>
      <c r="T64" s="94" t="n"/>
      <c r="U64" s="94" t="n"/>
      <c r="V64" s="94" t="n"/>
      <c r="W64" s="94" t="n"/>
      <c r="X64" s="94" t="n"/>
      <c r="Y64" s="94" t="n"/>
      <c r="Z64" s="94" t="n"/>
    </row>
    <row r="65" ht="20" customHeight="1" s="90">
      <c r="A65" s="393" t="n"/>
      <c r="B65" s="394" t="n"/>
      <c r="C65" s="354" t="n"/>
      <c r="D65" s="343" t="n"/>
      <c r="E65" s="344">
        <f>C65*D65</f>
        <v/>
      </c>
      <c r="F65" s="344">
        <f>IFERROR(E65*(1+VLOOKUP(I65,'Client Setup - Sample'!$A$23:$B$33,2,FALSE)),0)</f>
        <v/>
      </c>
      <c r="G65" s="345">
        <f>'Client Setup - Sample'!B19</f>
        <v/>
      </c>
      <c r="H65" s="395" t="n"/>
      <c r="I65" s="355" t="inlineStr">
        <is>
          <t>Décor &amp; Design</t>
        </is>
      </c>
      <c r="J65" s="321">
        <f>IF(A72="","",A72)</f>
        <v/>
      </c>
      <c r="K65" s="322">
        <f>IF(A72="","",ROUNDUP(F72/10,0)*10)</f>
        <v/>
      </c>
      <c r="L65" s="253" t="n"/>
      <c r="M65" s="253" t="n"/>
      <c r="N65" s="253" t="n"/>
      <c r="O65" s="94" t="n"/>
      <c r="P65" s="94" t="n"/>
      <c r="Q65" s="94" t="n"/>
      <c r="R65" s="94" t="n"/>
      <c r="S65" s="94" t="n"/>
      <c r="T65" s="94" t="n"/>
      <c r="U65" s="94" t="n"/>
      <c r="V65" s="94" t="n"/>
      <c r="W65" s="94" t="n"/>
      <c r="X65" s="94" t="n"/>
      <c r="Y65" s="94" t="n"/>
      <c r="Z65" s="94" t="n"/>
    </row>
    <row r="66" ht="20" customHeight="1" s="90">
      <c r="A66" s="390" t="n"/>
      <c r="B66" s="391" t="n"/>
      <c r="C66" s="350" t="n"/>
      <c r="D66" s="334" t="n"/>
      <c r="E66" s="335">
        <f>C66*D66</f>
        <v/>
      </c>
      <c r="F66" s="335">
        <f>IFERROR(E66*(1+VLOOKUP(I66,'Client Setup - Sample'!$A$23:$B$33,2,FALSE)),0)</f>
        <v/>
      </c>
      <c r="G66" s="336">
        <f>'Client Setup - Sample'!B19</f>
        <v/>
      </c>
      <c r="H66" s="392" t="n"/>
      <c r="I66" s="351" t="inlineStr">
        <is>
          <t>Décor &amp; Design</t>
        </is>
      </c>
      <c r="J66" s="321">
        <f>IF(A73="","",A73)</f>
        <v/>
      </c>
      <c r="K66" s="322">
        <f>IF(A73="","",ROUNDUP(F73/10,0)*10)</f>
        <v/>
      </c>
      <c r="L66" s="253" t="n"/>
      <c r="M66" s="253" t="n"/>
      <c r="N66" s="253" t="n"/>
      <c r="O66" s="94" t="n"/>
      <c r="P66" s="94" t="n"/>
      <c r="Q66" s="94" t="n"/>
      <c r="R66" s="94" t="n"/>
      <c r="S66" s="94" t="n"/>
      <c r="T66" s="94" t="n"/>
      <c r="U66" s="94" t="n"/>
      <c r="V66" s="94" t="n"/>
      <c r="W66" s="94" t="n"/>
      <c r="X66" s="94" t="n"/>
      <c r="Y66" s="94" t="n"/>
      <c r="Z66" s="94" t="n"/>
    </row>
    <row r="67" ht="20" customHeight="1" s="90">
      <c r="A67" s="393" t="n"/>
      <c r="B67" s="394" t="n"/>
      <c r="C67" s="354" t="n"/>
      <c r="D67" s="343" t="n"/>
      <c r="E67" s="344">
        <f>C67*D67</f>
        <v/>
      </c>
      <c r="F67" s="344">
        <f>IFERROR(E67*(1+VLOOKUP(I67,'Client Setup - Sample'!$A$23:$B$33,2,FALSE)),0)</f>
        <v/>
      </c>
      <c r="G67" s="345">
        <f>'Client Setup - Sample'!B19</f>
        <v/>
      </c>
      <c r="H67" s="395" t="n"/>
      <c r="I67" s="355" t="inlineStr">
        <is>
          <t>Décor &amp; Design</t>
        </is>
      </c>
      <c r="J67" s="321">
        <f>IF(A74="","",A74)</f>
        <v/>
      </c>
      <c r="K67" s="322">
        <f>IF(A74="","",ROUNDUP(F74/10,0)*10)</f>
        <v/>
      </c>
      <c r="L67" s="253" t="n"/>
      <c r="M67" s="253" t="n"/>
      <c r="N67" s="253" t="n"/>
      <c r="O67" s="94" t="n"/>
      <c r="P67" s="94" t="n"/>
      <c r="Q67" s="94" t="n"/>
      <c r="R67" s="94" t="n"/>
      <c r="S67" s="94" t="n"/>
      <c r="T67" s="94" t="n"/>
      <c r="U67" s="94" t="n"/>
      <c r="V67" s="94" t="n"/>
      <c r="W67" s="94" t="n"/>
      <c r="X67" s="94" t="n"/>
      <c r="Y67" s="94" t="n"/>
      <c r="Z67" s="94" t="n"/>
    </row>
    <row r="68" ht="25" customHeight="1" s="90">
      <c r="A68" s="328" t="inlineStr">
        <is>
          <t>NON-TAXABLE RENTAL FEES</t>
        </is>
      </c>
      <c r="B68" s="329" t="n"/>
      <c r="C68" s="329" t="n"/>
      <c r="D68" s="329" t="n"/>
      <c r="E68" s="329" t="n"/>
      <c r="F68" s="329" t="n"/>
      <c r="G68" s="329" t="n"/>
      <c r="H68" s="329" t="n"/>
      <c r="I68" s="389" t="n"/>
      <c r="J68" s="423" t="inlineStr">
        <is>
          <t>Rentals &amp; Lounge Subtotal</t>
        </is>
      </c>
      <c r="K68" s="424">
        <f>SUM(K32:K67)</f>
        <v/>
      </c>
      <c r="L68" s="253" t="n"/>
      <c r="M68" s="253" t="n"/>
      <c r="N68" s="253" t="n"/>
      <c r="O68" s="94" t="n"/>
      <c r="P68" s="94" t="n"/>
      <c r="Q68" s="94" t="n"/>
      <c r="R68" s="94" t="n"/>
      <c r="S68" s="94" t="n"/>
      <c r="T68" s="94" t="n"/>
      <c r="U68" s="94" t="n"/>
      <c r="V68" s="94" t="n"/>
      <c r="W68" s="94" t="n"/>
      <c r="X68" s="94" t="n"/>
      <c r="Y68" s="94" t="n"/>
      <c r="Z68" s="94" t="n"/>
    </row>
    <row r="69" ht="20" customHeight="1" s="90">
      <c r="A69" s="390" t="inlineStr">
        <is>
          <t>Delivery / Pickup</t>
        </is>
      </c>
      <c r="B69" s="391" t="inlineStr">
        <is>
          <t>White Glove</t>
        </is>
      </c>
      <c r="C69" s="398" t="n"/>
      <c r="D69" s="334" t="n">
        <v>1636.91</v>
      </c>
      <c r="E69" s="335">
        <f>D69</f>
        <v/>
      </c>
      <c r="F69" s="335">
        <f>IFERROR(E69*(1+VLOOKUP(I69,'Client Setup - Sample'!$A$23:$B$33,2,FALSE)),0)</f>
        <v/>
      </c>
      <c r="G69" s="336" t="n">
        <v>0</v>
      </c>
      <c r="H69" s="392" t="n"/>
      <c r="I69" s="351" t="inlineStr">
        <is>
          <t>Delivery &amp; Logistics</t>
        </is>
      </c>
      <c r="J69" s="327" t="n"/>
      <c r="K69" s="327" t="n"/>
      <c r="L69" s="253" t="n"/>
      <c r="M69" s="253" t="n"/>
      <c r="N69" s="253" t="n"/>
      <c r="O69" s="94" t="n"/>
      <c r="P69" s="94" t="n"/>
      <c r="Q69" s="94" t="n"/>
      <c r="R69" s="94" t="n"/>
      <c r="S69" s="94" t="n"/>
      <c r="T69" s="94" t="n"/>
      <c r="U69" s="94" t="n"/>
      <c r="V69" s="94" t="n"/>
      <c r="W69" s="94" t="n"/>
      <c r="X69" s="94" t="n"/>
      <c r="Y69" s="94" t="n"/>
      <c r="Z69" s="94" t="n"/>
    </row>
    <row r="70" ht="20" customHeight="1" s="90">
      <c r="A70" s="393" t="inlineStr">
        <is>
          <t>Damage Waiver</t>
        </is>
      </c>
      <c r="B70" s="394" t="inlineStr">
        <is>
          <t>White Glove</t>
        </is>
      </c>
      <c r="C70" s="399" t="n"/>
      <c r="D70" s="343" t="n">
        <v>793.54</v>
      </c>
      <c r="E70" s="344">
        <f>D70</f>
        <v/>
      </c>
      <c r="F70" s="344">
        <f>IFERROR(E70*(1+VLOOKUP(I70,'Client Setup - Sample'!$A$23:$B$33,2,FALSE)),0)</f>
        <v/>
      </c>
      <c r="G70" s="345" t="n">
        <v>0</v>
      </c>
      <c r="H70" s="395" t="inlineStr">
        <is>
          <t>11% damage waiver — not taxed</t>
        </is>
      </c>
      <c r="I70" s="355" t="inlineStr">
        <is>
          <t>Delivery &amp; Logistics</t>
        </is>
      </c>
      <c r="J70" s="321">
        <f>A77</f>
        <v/>
      </c>
      <c r="K70" s="319" t="n"/>
      <c r="L70" s="253" t="n"/>
      <c r="M70" s="253" t="n"/>
      <c r="N70" s="253" t="n"/>
      <c r="O70" s="94" t="n"/>
      <c r="P70" s="94" t="n"/>
      <c r="Q70" s="94" t="n"/>
      <c r="R70" s="94" t="n"/>
      <c r="S70" s="94" t="n"/>
      <c r="T70" s="94" t="n"/>
      <c r="U70" s="94" t="n"/>
      <c r="V70" s="94" t="n"/>
      <c r="W70" s="94" t="n"/>
      <c r="X70" s="94" t="n"/>
      <c r="Y70" s="94" t="n"/>
      <c r="Z70" s="94" t="n"/>
    </row>
    <row r="71" ht="20" customHeight="1" s="90">
      <c r="A71" s="390" t="inlineStr">
        <is>
          <t>Chair Pull / Placement</t>
        </is>
      </c>
      <c r="B71" s="391" t="inlineStr">
        <is>
          <t>White Glove</t>
        </is>
      </c>
      <c r="C71" s="398" t="n"/>
      <c r="D71" s="334" t="n">
        <v>84</v>
      </c>
      <c r="E71" s="335">
        <f>D71</f>
        <v/>
      </c>
      <c r="F71" s="335">
        <f>IFERROR(E71*(1+VLOOKUP(I71,'Client Setup - Sample'!$A$23:$B$33,2,FALSE)),0)</f>
        <v/>
      </c>
      <c r="G71" s="336" t="n">
        <v>0</v>
      </c>
      <c r="H71" s="392" t="n"/>
      <c r="I71" s="351" t="inlineStr">
        <is>
          <t>Delivery &amp; Logistics</t>
        </is>
      </c>
      <c r="J71" s="321">
        <f>IF(A80="","",A80&amp;" x"&amp;C80)</f>
        <v/>
      </c>
      <c r="K71" s="322">
        <f>IF(A80="","",ROUNDUP(F80/10,0)*10)</f>
        <v/>
      </c>
      <c r="L71" s="253" t="n"/>
      <c r="M71" s="253" t="n"/>
      <c r="N71" s="253" t="n"/>
      <c r="O71" s="94" t="n"/>
      <c r="P71" s="94" t="n"/>
      <c r="Q71" s="94" t="n"/>
      <c r="R71" s="94" t="n"/>
      <c r="S71" s="94" t="n"/>
      <c r="T71" s="94" t="n"/>
      <c r="U71" s="94" t="n"/>
      <c r="V71" s="94" t="n"/>
      <c r="W71" s="94" t="n"/>
      <c r="X71" s="94" t="n"/>
      <c r="Y71" s="94" t="n"/>
      <c r="Z71" s="94" t="n"/>
    </row>
    <row r="72" ht="20" customHeight="1" s="90">
      <c r="A72" s="393" t="inlineStr">
        <is>
          <t>Chair Placement</t>
        </is>
      </c>
      <c r="B72" s="394" t="inlineStr">
        <is>
          <t>White Glove</t>
        </is>
      </c>
      <c r="C72" s="399" t="n"/>
      <c r="D72" s="343" t="n">
        <v>84</v>
      </c>
      <c r="E72" s="344">
        <f>D72</f>
        <v/>
      </c>
      <c r="F72" s="344">
        <f>IFERROR(E72*(1+VLOOKUP(I72,'Client Setup - Sample'!$A$23:$B$33,2,FALSE)),0)</f>
        <v/>
      </c>
      <c r="G72" s="345" t="n">
        <v>0</v>
      </c>
      <c r="H72" s="395" t="n"/>
      <c r="I72" s="355" t="inlineStr">
        <is>
          <t>Delivery &amp; Logistics</t>
        </is>
      </c>
      <c r="J72" s="321">
        <f>IF(A81="","",A81&amp;" x"&amp;C81)</f>
        <v/>
      </c>
      <c r="K72" s="322">
        <f>IF(A81="","",ROUNDUP(F81/10,0)*10)</f>
        <v/>
      </c>
      <c r="L72" s="253" t="n"/>
      <c r="M72" s="253" t="n"/>
      <c r="N72" s="253" t="n"/>
      <c r="O72" s="94" t="n"/>
      <c r="P72" s="94" t="n"/>
      <c r="Q72" s="94" t="n"/>
      <c r="R72" s="94" t="n"/>
      <c r="S72" s="94" t="n"/>
      <c r="T72" s="94" t="n"/>
      <c r="U72" s="94" t="n"/>
      <c r="V72" s="94" t="n"/>
      <c r="W72" s="94" t="n"/>
      <c r="X72" s="94" t="n"/>
      <c r="Y72" s="94" t="n"/>
      <c r="Z72" s="94" t="n"/>
    </row>
    <row r="73" ht="20" customHeight="1" s="90">
      <c r="A73" s="390" t="inlineStr">
        <is>
          <t>Damage Waiver</t>
        </is>
      </c>
      <c r="B73" s="391" t="inlineStr">
        <is>
          <t>Dalissa Events</t>
        </is>
      </c>
      <c r="C73" s="398" t="n"/>
      <c r="D73" s="334" t="n">
        <v>91.84</v>
      </c>
      <c r="E73" s="335">
        <f>D73</f>
        <v/>
      </c>
      <c r="F73" s="335">
        <f>IFERROR(E73*(1+VLOOKUP(I73,'Client Setup - Sample'!$A$23:$B$33,2,FALSE)),0)</f>
        <v/>
      </c>
      <c r="G73" s="336" t="n">
        <v>0</v>
      </c>
      <c r="H73" s="392" t="inlineStr">
        <is>
          <t>Unintentional damage waiver</t>
        </is>
      </c>
      <c r="I73" s="351" t="inlineStr">
        <is>
          <t>Delivery &amp; Logistics</t>
        </is>
      </c>
      <c r="J73" s="321">
        <f>IF(A82="","",A82&amp;" x"&amp;C82)</f>
        <v/>
      </c>
      <c r="K73" s="322">
        <f>IF(A82="","",ROUNDUP(F82/10,0)*10)</f>
        <v/>
      </c>
      <c r="L73" s="253" t="n"/>
      <c r="M73" s="253" t="n"/>
      <c r="N73" s="253" t="n"/>
      <c r="O73" s="94" t="n"/>
      <c r="P73" s="94" t="n"/>
      <c r="Q73" s="94" t="n"/>
      <c r="R73" s="94" t="n"/>
      <c r="S73" s="94" t="n"/>
      <c r="T73" s="94" t="n"/>
      <c r="U73" s="94" t="n"/>
      <c r="V73" s="94" t="n"/>
      <c r="W73" s="94" t="n"/>
      <c r="X73" s="94" t="n"/>
      <c r="Y73" s="94" t="n"/>
      <c r="Z73" s="94" t="n"/>
    </row>
    <row r="74" ht="20" customHeight="1" s="90">
      <c r="A74" s="393" t="inlineStr">
        <is>
          <t>Delivery &amp; Pickup</t>
        </is>
      </c>
      <c r="B74" s="394" t="inlineStr">
        <is>
          <t>Dalissa Events</t>
        </is>
      </c>
      <c r="C74" s="399" t="n"/>
      <c r="D74" s="343" t="n">
        <v>248.02</v>
      </c>
      <c r="E74" s="344">
        <f>D74</f>
        <v/>
      </c>
      <c r="F74" s="344">
        <f>IFERROR(E74*(1+VLOOKUP(I74,'Client Setup - Sample'!$A$23:$B$33,2,FALSE)),0)</f>
        <v/>
      </c>
      <c r="G74" s="345" t="n">
        <v>0</v>
      </c>
      <c r="H74" s="395" t="inlineStr">
        <is>
          <t>Drop-off $124.01 + Pickup $124.01</t>
        </is>
      </c>
      <c r="I74" s="355" t="inlineStr">
        <is>
          <t>Delivery &amp; Logistics</t>
        </is>
      </c>
      <c r="J74" s="321">
        <f>IF(A83="","",A83&amp;" x"&amp;C83)</f>
        <v/>
      </c>
      <c r="K74" s="322">
        <f>IF(A83="","",ROUNDUP(F83/10,0)*10)</f>
        <v/>
      </c>
      <c r="L74" s="253" t="n"/>
      <c r="M74" s="253" t="n"/>
      <c r="N74" s="253" t="n"/>
      <c r="O74" s="94" t="n"/>
      <c r="P74" s="94" t="n"/>
      <c r="Q74" s="94" t="n"/>
      <c r="R74" s="94" t="n"/>
      <c r="S74" s="94" t="n"/>
      <c r="T74" s="94" t="n"/>
      <c r="U74" s="94" t="n"/>
      <c r="V74" s="94" t="n"/>
      <c r="W74" s="94" t="n"/>
      <c r="X74" s="94" t="n"/>
      <c r="Y74" s="94" t="n"/>
      <c r="Z74" s="94" t="n"/>
    </row>
    <row r="75" ht="22" customHeight="1" s="90">
      <c r="A75" s="359" t="inlineStr">
        <is>
          <t>RENTALS &amp; LOUNGE SUBTOTAL</t>
        </is>
      </c>
      <c r="B75" s="362" t="n"/>
      <c r="C75" s="362" t="n"/>
      <c r="D75" s="362" t="n"/>
      <c r="E75" s="361">
        <f>SUM(E35:E42)+SUM(E44:E51)+SUM(E53:E60)+SUM(E62:E67)+SUM(E69:E74)</f>
        <v/>
      </c>
      <c r="F75" s="361">
        <f>SUM(F35:F42)+SUM(F44:F51)+SUM(F53:F60)+SUM(F62:F67)+SUM(F69:F74)</f>
        <v/>
      </c>
      <c r="G75" s="362" t="n"/>
      <c r="H75" s="362" t="n"/>
      <c r="I75" s="362" t="n"/>
      <c r="J75" s="321">
        <f>IF(A84="","",A84&amp;" x"&amp;C84)</f>
        <v/>
      </c>
      <c r="K75" s="322">
        <f>IF(A84="","",ROUNDUP(F84/10,0)*10)</f>
        <v/>
      </c>
      <c r="L75" s="253" t="n"/>
      <c r="M75" s="253" t="n"/>
      <c r="N75" s="253" t="n"/>
      <c r="O75" s="94" t="n"/>
      <c r="P75" s="94" t="n"/>
      <c r="Q75" s="94" t="n"/>
      <c r="R75" s="94" t="n"/>
      <c r="S75" s="94" t="n"/>
      <c r="T75" s="94" t="n"/>
      <c r="U75" s="94" t="n"/>
      <c r="V75" s="94" t="n"/>
      <c r="W75" s="94" t="n"/>
      <c r="X75" s="94" t="n"/>
      <c r="Y75" s="94" t="n"/>
      <c r="Z75" s="94" t="n"/>
    </row>
    <row r="76" ht="21.75" customHeight="1" s="90">
      <c r="A76" s="253" t="n"/>
      <c r="B76" s="253" t="n"/>
      <c r="C76" s="253" t="n"/>
      <c r="D76" s="253" t="n"/>
      <c r="E76" s="253" t="n"/>
      <c r="F76" s="253" t="n"/>
      <c r="G76" s="253" t="n"/>
      <c r="H76" s="253" t="n"/>
      <c r="I76" s="253" t="n"/>
      <c r="J76" s="321">
        <f>IF(A85="","",A85&amp;" x"&amp;C85)</f>
        <v/>
      </c>
      <c r="K76" s="322">
        <f>IF(A85="","",ROUNDUP(F85/10,0)*10)</f>
        <v/>
      </c>
      <c r="L76" s="253" t="n"/>
      <c r="M76" s="253" t="n"/>
      <c r="N76" s="253" t="n"/>
      <c r="O76" s="94" t="n"/>
      <c r="P76" s="94" t="n"/>
      <c r="Q76" s="94" t="n"/>
      <c r="R76" s="94" t="n"/>
      <c r="S76" s="94" t="n"/>
      <c r="T76" s="94" t="n"/>
      <c r="U76" s="94" t="n"/>
      <c r="V76" s="94" t="n"/>
      <c r="W76" s="94" t="n"/>
      <c r="X76" s="94" t="n"/>
      <c r="Y76" s="94" t="n"/>
      <c r="Z76" s="94" t="n"/>
    </row>
    <row r="77" ht="27" customHeight="1" s="90">
      <c r="A77" s="254" t="inlineStr">
        <is>
          <t>AV / PRODUCTION</t>
        </is>
      </c>
      <c r="B77" s="269" t="n"/>
      <c r="C77" s="269" t="n"/>
      <c r="D77" s="269" t="n"/>
      <c r="E77" s="269" t="n"/>
      <c r="F77" s="269" t="n"/>
      <c r="G77" s="269" t="n"/>
      <c r="H77" s="269" t="n"/>
      <c r="I77" s="257" t="n"/>
      <c r="J77" s="321">
        <f>IF(A86="","",A86&amp;" x"&amp;C86)</f>
        <v/>
      </c>
      <c r="K77" s="322">
        <f>IF(A86="","",ROUNDUP(F86/10,0)*10)</f>
        <v/>
      </c>
      <c r="L77" s="253" t="n"/>
      <c r="M77" s="253" t="n"/>
      <c r="N77" s="253" t="n"/>
      <c r="O77" s="94" t="n"/>
      <c r="P77" s="94" t="n"/>
      <c r="Q77" s="94" t="n"/>
      <c r="R77" s="94" t="n"/>
      <c r="S77" s="94" t="n"/>
      <c r="T77" s="94" t="n"/>
      <c r="U77" s="94" t="n"/>
      <c r="V77" s="94" t="n"/>
      <c r="W77" s="94" t="n"/>
      <c r="X77" s="94" t="n"/>
      <c r="Y77" s="94" t="n"/>
      <c r="Z77" s="94" t="n"/>
    </row>
    <row r="78" ht="23" customHeight="1" s="90">
      <c r="A78" s="273" t="inlineStr">
        <is>
          <t>Item</t>
        </is>
      </c>
      <c r="B78" s="273" t="inlineStr">
        <is>
          <t>Vendor</t>
        </is>
      </c>
      <c r="C78" s="273" t="inlineStr">
        <is>
          <t>Qty</t>
        </is>
      </c>
      <c r="D78" s="273" t="inlineStr">
        <is>
          <t>Unit Price</t>
        </is>
      </c>
      <c r="E78" s="273" t="inlineStr">
        <is>
          <t>Our Cost</t>
        </is>
      </c>
      <c r="F78" s="273" t="inlineStr">
        <is>
          <t>Client Cost</t>
        </is>
      </c>
      <c r="G78" s="273" t="inlineStr">
        <is>
          <t>Tax Rate</t>
        </is>
      </c>
      <c r="H78" s="273" t="inlineStr">
        <is>
          <t>Notes / Description</t>
        </is>
      </c>
      <c r="I78" s="276" t="n"/>
      <c r="J78" s="321">
        <f>IF(A87="","",A87&amp;" x"&amp;C87)</f>
        <v/>
      </c>
      <c r="K78" s="322">
        <f>IF(A87="","",ROUNDUP(F87/10,0)*10)</f>
        <v/>
      </c>
      <c r="L78" s="253" t="n"/>
      <c r="M78" s="253" t="n"/>
      <c r="N78" s="253" t="n"/>
      <c r="O78" s="94" t="n"/>
      <c r="P78" s="94" t="n"/>
      <c r="Q78" s="94" t="n"/>
      <c r="R78" s="94" t="n"/>
      <c r="S78" s="94" t="n"/>
      <c r="T78" s="94" t="n"/>
      <c r="U78" s="94" t="n"/>
      <c r="V78" s="94" t="n"/>
      <c r="W78" s="94" t="n"/>
      <c r="X78" s="94" t="n"/>
      <c r="Y78" s="94" t="n"/>
      <c r="Z78" s="94" t="n"/>
    </row>
    <row r="79" ht="25" customHeight="1" s="90">
      <c r="A79" s="328" t="inlineStr">
        <is>
          <t>TAXABLE AV &amp; PRODUCTION EQUIPMENT</t>
        </is>
      </c>
      <c r="B79" s="329" t="n"/>
      <c r="C79" s="329" t="n"/>
      <c r="D79" s="329" t="n"/>
      <c r="E79" s="329" t="n"/>
      <c r="F79" s="329" t="n"/>
      <c r="G79" s="329" t="n"/>
      <c r="H79" s="329" t="n"/>
      <c r="I79" s="389" t="n"/>
      <c r="J79" s="321">
        <f>IF(A88="","",A88&amp;" x"&amp;C88)</f>
        <v/>
      </c>
      <c r="K79" s="322">
        <f>IF(A88="","",ROUNDUP(F88/10,0)*10)</f>
        <v/>
      </c>
      <c r="L79" s="253" t="n"/>
      <c r="M79" s="253" t="n"/>
      <c r="N79" s="253" t="n"/>
      <c r="O79" s="94" t="n"/>
      <c r="P79" s="94" t="n"/>
      <c r="Q79" s="94" t="n"/>
      <c r="R79" s="94" t="n"/>
      <c r="S79" s="94" t="n"/>
      <c r="T79" s="94" t="n"/>
      <c r="U79" s="94" t="n"/>
      <c r="V79" s="94" t="n"/>
      <c r="W79" s="94" t="n"/>
      <c r="X79" s="94" t="n"/>
      <c r="Y79" s="94" t="n"/>
      <c r="Z79" s="94" t="n"/>
    </row>
    <row r="80" ht="20" customHeight="1" s="90">
      <c r="A80" s="401" t="n"/>
      <c r="B80" s="402" t="n"/>
      <c r="C80" s="348" t="n"/>
      <c r="D80" s="403" t="n"/>
      <c r="E80" s="335">
        <f>C80*D80</f>
        <v/>
      </c>
      <c r="F80" s="335">
        <f>IFERROR(E80*(1+VLOOKUP(I80,'Client Setup - Sample'!$A$23:$B$33,2,FALSE)),0)</f>
        <v/>
      </c>
      <c r="G80" s="336">
        <f>'Client Setup - Sample'!B19</f>
        <v/>
      </c>
      <c r="H80" s="404" t="n"/>
      <c r="I80" s="337" t="inlineStr">
        <is>
          <t>AV &amp; Production</t>
        </is>
      </c>
      <c r="J80" s="321">
        <f>IF(A89="","",A89&amp;" x"&amp;C89)</f>
        <v/>
      </c>
      <c r="K80" s="322">
        <f>IF(A89="","",ROUNDUP(F89/10,0)*10)</f>
        <v/>
      </c>
      <c r="L80" s="253" t="n"/>
      <c r="M80" s="253" t="n"/>
      <c r="N80" s="253" t="n"/>
      <c r="O80" s="94" t="n"/>
      <c r="P80" s="94" t="n"/>
      <c r="Q80" s="94" t="n"/>
      <c r="R80" s="94" t="n"/>
      <c r="S80" s="94" t="n"/>
      <c r="T80" s="94" t="n"/>
      <c r="U80" s="94" t="n"/>
      <c r="V80" s="94" t="n"/>
      <c r="W80" s="94" t="n"/>
      <c r="X80" s="94" t="n"/>
      <c r="Y80" s="94" t="n"/>
      <c r="Z80" s="94" t="n"/>
    </row>
    <row r="81" ht="20" customHeight="1" s="90">
      <c r="A81" s="405" t="n"/>
      <c r="B81" s="406" t="n"/>
      <c r="C81" s="407" t="n"/>
      <c r="D81" s="408" t="n"/>
      <c r="E81" s="344">
        <f>C81*D81</f>
        <v/>
      </c>
      <c r="F81" s="344">
        <f>IFERROR(E81*(1+VLOOKUP(I81,'Client Setup - Sample'!$A$23:$B$33,2,FALSE)),0)</f>
        <v/>
      </c>
      <c r="G81" s="345">
        <f>'Client Setup - Sample'!B19</f>
        <v/>
      </c>
      <c r="H81" s="409" t="n"/>
      <c r="I81" s="346" t="inlineStr">
        <is>
          <t>AV &amp; Production</t>
        </is>
      </c>
      <c r="J81" s="321">
        <f>IF(A91="","",A91)</f>
        <v/>
      </c>
      <c r="K81" s="322">
        <f>IF(A91="","",ROUNDUP(F91/10,0)*10)</f>
        <v/>
      </c>
      <c r="L81" s="253" t="n"/>
      <c r="M81" s="253" t="n"/>
      <c r="N81" s="253" t="n"/>
      <c r="O81" s="94" t="n"/>
      <c r="P81" s="94" t="n"/>
      <c r="Q81" s="94" t="n"/>
      <c r="R81" s="94" t="n"/>
      <c r="S81" s="94" t="n"/>
      <c r="T81" s="94" t="n"/>
      <c r="U81" s="94" t="n"/>
      <c r="V81" s="94" t="n"/>
      <c r="W81" s="94" t="n"/>
      <c r="X81" s="94" t="n"/>
      <c r="Y81" s="94" t="n"/>
      <c r="Z81" s="94" t="n"/>
    </row>
    <row r="82" ht="20" customHeight="1" s="90">
      <c r="A82" s="401" t="n"/>
      <c r="B82" s="402" t="n"/>
      <c r="C82" s="348" t="n"/>
      <c r="D82" s="403" t="n"/>
      <c r="E82" s="335">
        <f>C82*D82</f>
        <v/>
      </c>
      <c r="F82" s="335">
        <f>IFERROR(E82*(1+VLOOKUP(I82,'Client Setup - Sample'!$A$23:$B$33,2,FALSE)),0)</f>
        <v/>
      </c>
      <c r="G82" s="336">
        <f>'Client Setup - Sample'!B19</f>
        <v/>
      </c>
      <c r="H82" s="404" t="n"/>
      <c r="I82" s="337" t="inlineStr">
        <is>
          <t>AV &amp; Production</t>
        </is>
      </c>
      <c r="J82" s="321">
        <f>IF(A92="","",A92)</f>
        <v/>
      </c>
      <c r="K82" s="322">
        <f>IF(A92="","",ROUNDUP(F92/10,0)*10)</f>
        <v/>
      </c>
      <c r="L82" s="253" t="n"/>
      <c r="M82" s="253" t="n"/>
      <c r="N82" s="253" t="n"/>
      <c r="O82" s="94" t="n"/>
      <c r="P82" s="94" t="n"/>
      <c r="Q82" s="94" t="n"/>
      <c r="R82" s="94" t="n"/>
      <c r="S82" s="94" t="n"/>
      <c r="T82" s="94" t="n"/>
      <c r="U82" s="94" t="n"/>
      <c r="V82" s="94" t="n"/>
      <c r="W82" s="94" t="n"/>
      <c r="X82" s="94" t="n"/>
      <c r="Y82" s="94" t="n"/>
      <c r="Z82" s="94" t="n"/>
    </row>
    <row r="83" ht="20" customHeight="1" s="90">
      <c r="A83" s="405" t="n"/>
      <c r="B83" s="406" t="n"/>
      <c r="C83" s="407" t="n"/>
      <c r="D83" s="408" t="n"/>
      <c r="E83" s="344">
        <f>C83*D83</f>
        <v/>
      </c>
      <c r="F83" s="344">
        <f>IFERROR(E83*(1+VLOOKUP(I83,'Client Setup - Sample'!$A$23:$B$33,2,FALSE)),0)</f>
        <v/>
      </c>
      <c r="G83" s="345">
        <f>'Client Setup - Sample'!B19</f>
        <v/>
      </c>
      <c r="H83" s="409" t="n"/>
      <c r="I83" s="346" t="inlineStr">
        <is>
          <t>AV &amp; Production</t>
        </is>
      </c>
      <c r="J83" s="321">
        <f>IF(A93="","",A93)</f>
        <v/>
      </c>
      <c r="K83" s="322">
        <f>IF(A93="","",ROUNDUP(F93/10,0)*10)</f>
        <v/>
      </c>
      <c r="L83" s="253" t="n"/>
      <c r="M83" s="253" t="n"/>
      <c r="N83" s="253" t="n"/>
      <c r="O83" s="94" t="n"/>
      <c r="P83" s="94" t="n"/>
      <c r="Q83" s="94" t="n"/>
      <c r="R83" s="94" t="n"/>
      <c r="S83" s="94" t="n"/>
      <c r="T83" s="94" t="n"/>
      <c r="U83" s="94" t="n"/>
      <c r="V83" s="94" t="n"/>
      <c r="W83" s="94" t="n"/>
      <c r="X83" s="94" t="n"/>
      <c r="Y83" s="94" t="n"/>
      <c r="Z83" s="94" t="n"/>
    </row>
    <row r="84" ht="20" customHeight="1" s="90">
      <c r="A84" s="401" t="n"/>
      <c r="B84" s="402" t="n"/>
      <c r="C84" s="348" t="n"/>
      <c r="D84" s="403" t="n"/>
      <c r="E84" s="335">
        <f>C84*D84</f>
        <v/>
      </c>
      <c r="F84" s="335">
        <f>IFERROR(E84*(1+VLOOKUP(I84,'Client Setup - Sample'!$A$23:$B$33,2,FALSE)),0)</f>
        <v/>
      </c>
      <c r="G84" s="336">
        <f>'Client Setup - Sample'!B19</f>
        <v/>
      </c>
      <c r="H84" s="404" t="n"/>
      <c r="I84" s="337" t="inlineStr">
        <is>
          <t>AV &amp; Production</t>
        </is>
      </c>
      <c r="J84" s="321">
        <f>IF(A94="","",A94)</f>
        <v/>
      </c>
      <c r="K84" s="322">
        <f>IF(A94="","",ROUNDUP(F94/10,0)*10)</f>
        <v/>
      </c>
      <c r="L84" s="253" t="n"/>
      <c r="M84" s="253" t="n"/>
      <c r="N84" s="253" t="n"/>
      <c r="O84" s="94" t="n"/>
      <c r="P84" s="94" t="n"/>
      <c r="Q84" s="94" t="n"/>
      <c r="R84" s="94" t="n"/>
      <c r="S84" s="94" t="n"/>
      <c r="T84" s="94" t="n"/>
      <c r="U84" s="94" t="n"/>
      <c r="V84" s="94" t="n"/>
      <c r="W84" s="94" t="n"/>
      <c r="X84" s="94" t="n"/>
      <c r="Y84" s="94" t="n"/>
      <c r="Z84" s="94" t="n"/>
    </row>
    <row r="85" ht="20" customHeight="1" s="90">
      <c r="A85" s="405" t="n"/>
      <c r="B85" s="406" t="n"/>
      <c r="C85" s="407" t="n"/>
      <c r="D85" s="408" t="n"/>
      <c r="E85" s="344">
        <f>C85*D85</f>
        <v/>
      </c>
      <c r="F85" s="344">
        <f>IFERROR(E85*(1+VLOOKUP(I85,'Client Setup - Sample'!$A$23:$B$33,2,FALSE)),0)</f>
        <v/>
      </c>
      <c r="G85" s="345">
        <f>'Client Setup - Sample'!B19</f>
        <v/>
      </c>
      <c r="H85" s="409" t="n"/>
      <c r="I85" s="346" t="inlineStr">
        <is>
          <t>AV &amp; Production</t>
        </is>
      </c>
      <c r="J85" s="321">
        <f>IF(A95="","",A95)</f>
        <v/>
      </c>
      <c r="K85" s="322">
        <f>IF(A95="","",ROUNDUP(F95/10,0)*10)</f>
        <v/>
      </c>
      <c r="L85" s="253" t="n"/>
      <c r="M85" s="253" t="n"/>
      <c r="N85" s="253" t="n"/>
      <c r="O85" s="94" t="n"/>
      <c r="P85" s="94" t="n"/>
      <c r="Q85" s="94" t="n"/>
      <c r="R85" s="94" t="n"/>
      <c r="S85" s="94" t="n"/>
      <c r="T85" s="94" t="n"/>
      <c r="U85" s="94" t="n"/>
      <c r="V85" s="94" t="n"/>
      <c r="W85" s="94" t="n"/>
      <c r="X85" s="94" t="n"/>
      <c r="Y85" s="94" t="n"/>
      <c r="Z85" s="94" t="n"/>
    </row>
    <row r="86" ht="20" customHeight="1" s="90">
      <c r="A86" s="401" t="n"/>
      <c r="B86" s="402" t="n"/>
      <c r="C86" s="348" t="n"/>
      <c r="D86" s="403" t="n"/>
      <c r="E86" s="335">
        <f>C86*D86</f>
        <v/>
      </c>
      <c r="F86" s="335">
        <f>IFERROR(E86*(1+VLOOKUP(I86,'Client Setup - Sample'!$A$23:$B$33,2,FALSE)),0)</f>
        <v/>
      </c>
      <c r="G86" s="336">
        <f>'Client Setup - Sample'!B19</f>
        <v/>
      </c>
      <c r="H86" s="404" t="n"/>
      <c r="I86" s="337" t="inlineStr">
        <is>
          <t>AV &amp; Production</t>
        </is>
      </c>
      <c r="J86" s="423" t="inlineStr">
        <is>
          <t>AV / Production Subtotal</t>
        </is>
      </c>
      <c r="K86" s="424">
        <f>SUM(K71:K85)</f>
        <v/>
      </c>
      <c r="L86" s="253" t="n"/>
      <c r="M86" s="253" t="n"/>
      <c r="N86" s="253" t="n"/>
      <c r="O86" s="94" t="n"/>
      <c r="P86" s="94" t="n"/>
      <c r="Q86" s="94" t="n"/>
      <c r="R86" s="94" t="n"/>
      <c r="S86" s="94" t="n"/>
      <c r="T86" s="94" t="n"/>
      <c r="U86" s="94" t="n"/>
      <c r="V86" s="94" t="n"/>
      <c r="W86" s="94" t="n"/>
      <c r="X86" s="94" t="n"/>
      <c r="Y86" s="94" t="n"/>
      <c r="Z86" s="94" t="n"/>
    </row>
    <row r="87" ht="20" customHeight="1" s="90">
      <c r="A87" s="405" t="n"/>
      <c r="B87" s="406" t="n"/>
      <c r="C87" s="407" t="n"/>
      <c r="D87" s="408" t="n"/>
      <c r="E87" s="344">
        <f>C87*D87</f>
        <v/>
      </c>
      <c r="F87" s="344">
        <f>IFERROR(E87*(1+VLOOKUP(I87,'Client Setup - Sample'!$A$23:$B$33,2,FALSE)),0)</f>
        <v/>
      </c>
      <c r="G87" s="345">
        <f>'Client Setup - Sample'!B19</f>
        <v/>
      </c>
      <c r="H87" s="409" t="n"/>
      <c r="I87" s="346" t="inlineStr">
        <is>
          <t>AV &amp; Production</t>
        </is>
      </c>
      <c r="J87" s="327" t="n"/>
      <c r="K87" s="327" t="n"/>
      <c r="L87" s="253" t="n"/>
      <c r="M87" s="253" t="n"/>
      <c r="N87" s="253" t="n"/>
      <c r="O87" s="94" t="n"/>
      <c r="P87" s="94" t="n"/>
      <c r="Q87" s="94" t="n"/>
      <c r="R87" s="94" t="n"/>
      <c r="S87" s="94" t="n"/>
      <c r="T87" s="94" t="n"/>
      <c r="U87" s="94" t="n"/>
      <c r="V87" s="94" t="n"/>
      <c r="W87" s="94" t="n"/>
      <c r="X87" s="94" t="n"/>
      <c r="Y87" s="94" t="n"/>
      <c r="Z87" s="94" t="n"/>
    </row>
    <row r="88" ht="20" customHeight="1" s="90">
      <c r="A88" s="401" t="n"/>
      <c r="B88" s="402" t="n"/>
      <c r="C88" s="348" t="n"/>
      <c r="D88" s="403" t="n"/>
      <c r="E88" s="335">
        <f>C88*D88</f>
        <v/>
      </c>
      <c r="F88" s="335">
        <f>IFERROR(E88*(1+VLOOKUP(I88,'Client Setup - Sample'!$A$23:$B$33,2,FALSE)),0)</f>
        <v/>
      </c>
      <c r="G88" s="336">
        <f>'Client Setup - Sample'!B19</f>
        <v/>
      </c>
      <c r="H88" s="404" t="n"/>
      <c r="I88" s="337" t="inlineStr">
        <is>
          <t>AV &amp; Production</t>
        </is>
      </c>
      <c r="J88" s="321" t="inlineStr">
        <is>
          <t>Tax</t>
        </is>
      </c>
      <c r="K88" s="322">
        <f>ROUNDUP(F100/10,0)*10</f>
        <v/>
      </c>
      <c r="L88" s="253" t="n"/>
      <c r="M88" s="253" t="n"/>
      <c r="N88" s="253" t="n"/>
      <c r="O88" s="94" t="n"/>
      <c r="P88" s="94" t="n"/>
      <c r="Q88" s="94" t="n"/>
      <c r="R88" s="94" t="n"/>
      <c r="S88" s="94" t="n"/>
      <c r="T88" s="94" t="n"/>
      <c r="U88" s="94" t="n"/>
      <c r="V88" s="94" t="n"/>
      <c r="W88" s="94" t="n"/>
      <c r="X88" s="94" t="n"/>
      <c r="Y88" s="94" t="n"/>
      <c r="Z88" s="94" t="n"/>
    </row>
    <row r="89" ht="20" customHeight="1" s="90">
      <c r="A89" s="405" t="n"/>
      <c r="B89" s="406" t="n"/>
      <c r="C89" s="407" t="n"/>
      <c r="D89" s="408" t="n"/>
      <c r="E89" s="344">
        <f>C89*D89</f>
        <v/>
      </c>
      <c r="F89" s="344">
        <f>IFERROR(E89*(1+VLOOKUP(I89,'Client Setup - Sample'!$A$23:$B$33,2,FALSE)),0)</f>
        <v/>
      </c>
      <c r="G89" s="345">
        <f>'Client Setup - Sample'!B19</f>
        <v/>
      </c>
      <c r="H89" s="409" t="n"/>
      <c r="I89" s="346" t="inlineStr">
        <is>
          <t>AV &amp; Production</t>
        </is>
      </c>
      <c r="J89" s="327" t="n"/>
      <c r="K89" s="327" t="n"/>
      <c r="L89" s="253" t="n"/>
      <c r="M89" s="253" t="n"/>
      <c r="N89" s="253" t="n"/>
      <c r="O89" s="94" t="n"/>
      <c r="P89" s="94" t="n"/>
      <c r="Q89" s="94" t="n"/>
      <c r="R89" s="94" t="n"/>
      <c r="S89" s="94" t="n"/>
      <c r="T89" s="94" t="n"/>
      <c r="U89" s="94" t="n"/>
      <c r="V89" s="94" t="n"/>
      <c r="W89" s="94" t="n"/>
      <c r="X89" s="94" t="n"/>
      <c r="Y89" s="94" t="n"/>
      <c r="Z89" s="94" t="n"/>
    </row>
    <row r="90" ht="25" customHeight="1" s="90">
      <c r="A90" s="328" t="inlineStr">
        <is>
          <t>NON-TAXABLE AV FEES &amp; LABOR</t>
        </is>
      </c>
      <c r="B90" s="329" t="n"/>
      <c r="C90" s="329" t="n"/>
      <c r="D90" s="329" t="n"/>
      <c r="E90" s="329" t="n"/>
      <c r="F90" s="329" t="n"/>
      <c r="G90" s="329" t="n"/>
      <c r="H90" s="329" t="n"/>
      <c r="I90" s="389" t="n"/>
      <c r="J90" s="419" t="inlineStr">
        <is>
          <t>TOTAL</t>
        </is>
      </c>
      <c r="K90" s="420">
        <f>K29+K68+K86+K88+ROUNDUP(F102/10,0)*10+ROUNDUP(F103/10,0)*10</f>
        <v/>
      </c>
      <c r="L90" s="253" t="n"/>
      <c r="M90" s="253" t="n"/>
      <c r="N90" s="253" t="n"/>
      <c r="O90" s="94" t="n"/>
      <c r="P90" s="94" t="n"/>
      <c r="Q90" s="94" t="n"/>
      <c r="R90" s="94" t="n"/>
      <c r="S90" s="94" t="n"/>
      <c r="T90" s="94" t="n"/>
      <c r="U90" s="94" t="n"/>
      <c r="V90" s="94" t="n"/>
      <c r="W90" s="94" t="n"/>
      <c r="X90" s="94" t="n"/>
      <c r="Y90" s="94" t="n"/>
      <c r="Z90" s="94" t="n"/>
    </row>
    <row r="91" ht="20" customHeight="1" s="90">
      <c r="A91" s="401" t="inlineStr">
        <is>
          <t>AV Tech Labor</t>
        </is>
      </c>
      <c r="B91" s="402" t="n"/>
      <c r="C91" s="398" t="n"/>
      <c r="D91" s="403" t="n"/>
      <c r="E91" s="335">
        <f>D91</f>
        <v/>
      </c>
      <c r="F91" s="335">
        <f>IFERROR(E91*(1+VLOOKUP(I91,'Client Setup - Sample'!$A$23:$B$33,2,FALSE)),0)</f>
        <v/>
      </c>
      <c r="G91" s="336" t="n">
        <v>0</v>
      </c>
      <c r="H91" s="404" t="n"/>
      <c r="I91" s="337" t="inlineStr">
        <is>
          <t>Staffing &amp; Labor</t>
        </is>
      </c>
      <c r="J91" s="253" t="n"/>
      <c r="K91" s="253" t="n"/>
      <c r="L91" s="253" t="n"/>
      <c r="M91" s="253" t="n"/>
      <c r="N91" s="253" t="n"/>
      <c r="O91" s="94" t="n"/>
      <c r="P91" s="94" t="n"/>
      <c r="Q91" s="94" t="n"/>
      <c r="R91" s="94" t="n"/>
      <c r="S91" s="94" t="n"/>
      <c r="T91" s="94" t="n"/>
      <c r="U91" s="94" t="n"/>
      <c r="V91" s="94" t="n"/>
      <c r="W91" s="94" t="n"/>
      <c r="X91" s="94" t="n"/>
      <c r="Y91" s="94" t="n"/>
      <c r="Z91" s="94" t="n"/>
    </row>
    <row r="92" ht="20" customHeight="1" s="90">
      <c r="A92" s="405" t="inlineStr">
        <is>
          <t>Delivery / Setup</t>
        </is>
      </c>
      <c r="B92" s="406" t="n"/>
      <c r="C92" s="399" t="n"/>
      <c r="D92" s="408" t="n"/>
      <c r="E92" s="344">
        <f>D92</f>
        <v/>
      </c>
      <c r="F92" s="344">
        <f>IFERROR(E92*(1+VLOOKUP(I92,'Client Setup - Sample'!$A$23:$B$33,2,FALSE)),0)</f>
        <v/>
      </c>
      <c r="G92" s="345" t="n">
        <v>0</v>
      </c>
      <c r="H92" s="409" t="n"/>
      <c r="I92" s="346" t="inlineStr">
        <is>
          <t>Staffing &amp; Labor</t>
        </is>
      </c>
      <c r="J92" s="253" t="n"/>
      <c r="K92" s="253" t="n"/>
      <c r="L92" s="253" t="n"/>
      <c r="M92" s="253" t="n"/>
      <c r="N92" s="253" t="n"/>
      <c r="O92" s="94" t="n"/>
      <c r="P92" s="94" t="n"/>
      <c r="Q92" s="94" t="n"/>
      <c r="R92" s="94" t="n"/>
      <c r="S92" s="94" t="n"/>
      <c r="T92" s="94" t="n"/>
      <c r="U92" s="94" t="n"/>
      <c r="V92" s="94" t="n"/>
      <c r="W92" s="94" t="n"/>
      <c r="X92" s="94" t="n"/>
      <c r="Y92" s="94" t="n"/>
      <c r="Z92" s="94" t="n"/>
    </row>
    <row r="93" ht="20" customHeight="1" s="90">
      <c r="A93" s="401" t="inlineStr">
        <is>
          <t>Strike / Removal</t>
        </is>
      </c>
      <c r="B93" s="402" t="n"/>
      <c r="C93" s="398" t="n"/>
      <c r="D93" s="403" t="n"/>
      <c r="E93" s="335">
        <f>D93</f>
        <v/>
      </c>
      <c r="F93" s="335">
        <f>IFERROR(E93*(1+VLOOKUP(I93,'Client Setup - Sample'!$A$23:$B$33,2,FALSE)),0)</f>
        <v/>
      </c>
      <c r="G93" s="336" t="n">
        <v>0</v>
      </c>
      <c r="H93" s="404" t="n"/>
      <c r="I93" s="337" t="inlineStr">
        <is>
          <t>Staffing &amp; Labor</t>
        </is>
      </c>
      <c r="J93" s="253" t="n"/>
      <c r="K93" s="253" t="n"/>
      <c r="L93" s="253" t="n"/>
      <c r="M93" s="253" t="n"/>
      <c r="N93" s="253" t="n"/>
      <c r="O93" s="94" t="n"/>
      <c r="P93" s="94" t="n"/>
      <c r="Q93" s="94" t="n"/>
      <c r="R93" s="94" t="n"/>
      <c r="S93" s="94" t="n"/>
      <c r="T93" s="94" t="n"/>
      <c r="U93" s="94" t="n"/>
      <c r="V93" s="94" t="n"/>
      <c r="W93" s="94" t="n"/>
      <c r="X93" s="94" t="n"/>
      <c r="Y93" s="94" t="n"/>
      <c r="Z93" s="94" t="n"/>
    </row>
    <row r="94" ht="20" customHeight="1" s="90">
      <c r="A94" s="405" t="n"/>
      <c r="B94" s="406" t="n"/>
      <c r="C94" s="399" t="n"/>
      <c r="D94" s="408" t="n"/>
      <c r="E94" s="344">
        <f>D94</f>
        <v/>
      </c>
      <c r="F94" s="344">
        <f>IFERROR(E94*(1+VLOOKUP(I94,'Client Setup - Sample'!$A$23:$B$33,2,FALSE)),0)</f>
        <v/>
      </c>
      <c r="G94" s="345" t="n">
        <v>0</v>
      </c>
      <c r="H94" s="409" t="n"/>
      <c r="I94" s="346" t="inlineStr">
        <is>
          <t>Staffing &amp; Labor</t>
        </is>
      </c>
      <c r="J94" s="253" t="n"/>
      <c r="K94" s="253" t="n"/>
      <c r="L94" s="253" t="n"/>
      <c r="M94" s="253" t="n"/>
      <c r="N94" s="253" t="n"/>
      <c r="O94" s="94" t="n"/>
      <c r="P94" s="94" t="n"/>
      <c r="Q94" s="94" t="n"/>
      <c r="R94" s="94" t="n"/>
      <c r="S94" s="94" t="n"/>
      <c r="T94" s="94" t="n"/>
      <c r="U94" s="94" t="n"/>
      <c r="V94" s="94" t="n"/>
      <c r="W94" s="94" t="n"/>
      <c r="X94" s="94" t="n"/>
      <c r="Y94" s="94" t="n"/>
      <c r="Z94" s="94" t="n"/>
    </row>
    <row r="95" ht="20" customHeight="1" s="90">
      <c r="A95" s="401" t="n"/>
      <c r="B95" s="402" t="n"/>
      <c r="C95" s="398" t="n"/>
      <c r="D95" s="403" t="n"/>
      <c r="E95" s="335">
        <f>D95</f>
        <v/>
      </c>
      <c r="F95" s="335">
        <f>IFERROR(E95*(1+VLOOKUP(I95,'Client Setup - Sample'!$A$23:$B$33,2,FALSE)),0)</f>
        <v/>
      </c>
      <c r="G95" s="336" t="n">
        <v>0</v>
      </c>
      <c r="H95" s="404" t="n"/>
      <c r="I95" s="337" t="inlineStr">
        <is>
          <t>Staffing &amp; Labor</t>
        </is>
      </c>
      <c r="J95" s="253" t="n"/>
      <c r="K95" s="253" t="n"/>
      <c r="L95" s="253" t="n"/>
      <c r="M95" s="253" t="n"/>
      <c r="N95" s="253" t="n"/>
      <c r="O95" s="94" t="n"/>
      <c r="P95" s="94" t="n"/>
      <c r="Q95" s="94" t="n"/>
      <c r="R95" s="94" t="n"/>
      <c r="S95" s="94" t="n"/>
      <c r="T95" s="94" t="n"/>
      <c r="U95" s="94" t="n"/>
      <c r="V95" s="94" t="n"/>
      <c r="W95" s="94" t="n"/>
      <c r="X95" s="94" t="n"/>
      <c r="Y95" s="94" t="n"/>
      <c r="Z95" s="94" t="n"/>
    </row>
    <row r="96" ht="22" customHeight="1" s="90">
      <c r="A96" s="359" t="inlineStr">
        <is>
          <t>AV / PRODUCTION SUBTOTAL</t>
        </is>
      </c>
      <c r="B96" s="362" t="n"/>
      <c r="C96" s="362" t="n"/>
      <c r="D96" s="362" t="n"/>
      <c r="E96" s="361">
        <f>SUM(E80:E89)+SUM(E91:E95)</f>
        <v/>
      </c>
      <c r="F96" s="361">
        <f>SUM(F80:F89)+SUM(F91:F95)</f>
        <v/>
      </c>
      <c r="G96" s="362" t="n"/>
      <c r="H96" s="362" t="n"/>
      <c r="I96" s="362" t="n"/>
      <c r="J96" s="253" t="n"/>
      <c r="K96" s="253" t="n"/>
      <c r="L96" s="253" t="n"/>
      <c r="M96" s="253" t="n"/>
      <c r="N96" s="253" t="n"/>
      <c r="O96" s="94" t="n"/>
      <c r="P96" s="94" t="n"/>
      <c r="Q96" s="94" t="n"/>
      <c r="R96" s="94" t="n"/>
      <c r="S96" s="94" t="n"/>
      <c r="T96" s="94" t="n"/>
      <c r="U96" s="94" t="n"/>
      <c r="V96" s="94" t="n"/>
      <c r="W96" s="94" t="n"/>
      <c r="X96" s="94" t="n"/>
      <c r="Y96" s="94" t="n"/>
      <c r="Z96" s="94" t="n"/>
    </row>
    <row r="97" ht="25.5" customHeight="1" s="90">
      <c r="A97" s="253" t="n"/>
      <c r="B97" s="253" t="n"/>
      <c r="C97" s="253" t="n"/>
      <c r="D97" s="253" t="n"/>
      <c r="E97" s="253" t="n"/>
      <c r="F97" s="253" t="n"/>
      <c r="G97" s="253" t="n"/>
      <c r="H97" s="253" t="n"/>
      <c r="I97" s="253" t="n"/>
      <c r="J97" s="253" t="n"/>
      <c r="K97" s="253" t="n"/>
      <c r="L97" s="253" t="n"/>
      <c r="M97" s="253" t="n"/>
      <c r="N97" s="253" t="n"/>
      <c r="O97" s="94" t="n"/>
      <c r="P97" s="94" t="n"/>
      <c r="Q97" s="94" t="n"/>
      <c r="R97" s="94" t="n"/>
      <c r="S97" s="94" t="n"/>
      <c r="T97" s="94" t="n"/>
      <c r="U97" s="94" t="n"/>
      <c r="V97" s="94" t="n"/>
      <c r="W97" s="94" t="n"/>
      <c r="X97" s="94" t="n"/>
      <c r="Y97" s="94" t="n"/>
      <c r="Z97" s="94" t="n"/>
    </row>
    <row r="98" ht="27" customHeight="1" s="90">
      <c r="A98" s="254" t="inlineStr">
        <is>
          <t>ESTIMATE SUMMARY</t>
        </is>
      </c>
      <c r="B98" s="269" t="n"/>
      <c r="C98" s="269" t="n"/>
      <c r="D98" s="269" t="n"/>
      <c r="E98" s="269" t="n"/>
      <c r="F98" s="269" t="n"/>
      <c r="G98" s="269" t="n"/>
      <c r="H98" s="269" t="n"/>
      <c r="I98" s="257" t="n"/>
      <c r="J98" s="253" t="n"/>
      <c r="K98" s="253" t="n"/>
      <c r="L98" s="253" t="n"/>
      <c r="M98" s="253" t="n"/>
      <c r="N98" s="253" t="n"/>
      <c r="O98" s="94" t="n"/>
      <c r="P98" s="94" t="n"/>
      <c r="Q98" s="94" t="n"/>
      <c r="R98" s="94" t="n"/>
      <c r="S98" s="94" t="n"/>
      <c r="T98" s="94" t="n"/>
      <c r="U98" s="94" t="n"/>
      <c r="V98" s="94" t="n"/>
      <c r="W98" s="94" t="n"/>
      <c r="X98" s="94" t="n"/>
      <c r="Y98" s="94" t="n"/>
      <c r="Z98" s="94" t="n"/>
    </row>
    <row r="99" ht="20" customHeight="1" s="90">
      <c r="A99" s="357" t="inlineStr">
        <is>
          <t>Taxable Product Subtotal</t>
        </is>
      </c>
      <c r="B99" s="327" t="n"/>
      <c r="C99" s="327" t="n"/>
      <c r="D99" s="327" t="n"/>
      <c r="E99" s="358">
        <f>SUM(E16:E25)+SUM(E35:E42)+SUM(E44:E51)+SUM(E53:E60)+SUM(E62:E67)+SUM(E80:E89)</f>
        <v/>
      </c>
      <c r="F99" s="358">
        <f>SUM(F16:F25)+SUM(F35:F42)+SUM(F44:F51)+SUM(F53:F60)+SUM(F62:F67)+SUM(F80:F89)</f>
        <v/>
      </c>
      <c r="G99" s="327" t="n"/>
      <c r="H99" s="327" t="n"/>
      <c r="I99" s="327" t="n"/>
      <c r="J99" s="253" t="n"/>
      <c r="K99" s="253" t="n"/>
      <c r="L99" s="253" t="n"/>
      <c r="M99" s="253" t="n"/>
      <c r="N99" s="253" t="n"/>
      <c r="O99" s="94" t="n"/>
      <c r="P99" s="94" t="n"/>
      <c r="Q99" s="94" t="n"/>
      <c r="R99" s="94" t="n"/>
      <c r="S99" s="94" t="n"/>
      <c r="T99" s="94" t="n"/>
      <c r="U99" s="94" t="n"/>
      <c r="V99" s="94" t="n"/>
      <c r="W99" s="94" t="n"/>
      <c r="X99" s="94" t="n"/>
      <c r="Y99" s="94" t="n"/>
      <c r="Z99" s="94" t="n"/>
    </row>
    <row r="100" ht="20" customHeight="1" s="90">
      <c r="A100" s="357" t="inlineStr">
        <is>
          <t>Sales Tax</t>
        </is>
      </c>
      <c r="B100" s="327" t="n"/>
      <c r="C100" s="327" t="n"/>
      <c r="D100" s="327" t="n"/>
      <c r="E100" s="358">
        <f>IFERROR(E99*'Client Setup - Sample'!B19,0)</f>
        <v/>
      </c>
      <c r="F100" s="358">
        <f>IFERROR(F99*'Client Setup - Sample'!B19,0)</f>
        <v/>
      </c>
      <c r="G100" s="327" t="n"/>
      <c r="H100" s="327" t="n"/>
      <c r="I100" s="327" t="n"/>
      <c r="J100" s="253" t="n"/>
      <c r="K100" s="253" t="n"/>
      <c r="L100" s="253" t="n"/>
      <c r="M100" s="253" t="n"/>
      <c r="N100" s="253" t="n"/>
      <c r="O100" s="94" t="n"/>
      <c r="P100" s="94" t="n"/>
      <c r="Q100" s="94" t="n"/>
      <c r="R100" s="94" t="n"/>
      <c r="S100" s="94" t="n"/>
      <c r="T100" s="94" t="n"/>
      <c r="U100" s="94" t="n"/>
      <c r="V100" s="94" t="n"/>
      <c r="W100" s="94" t="n"/>
      <c r="X100" s="94" t="n"/>
      <c r="Y100" s="94" t="n"/>
      <c r="Z100" s="94" t="n"/>
    </row>
    <row r="101" ht="20" customHeight="1" s="90">
      <c r="A101" s="357" t="inlineStr">
        <is>
          <t>Non-Taxable Fees Subtotal</t>
        </is>
      </c>
      <c r="B101" s="327" t="n"/>
      <c r="C101" s="327" t="n"/>
      <c r="D101" s="327" t="n"/>
      <c r="E101" s="358">
        <f>SUM(E27:E29)+SUM(E69:E74)+SUM(E91:E95)</f>
        <v/>
      </c>
      <c r="F101" s="358">
        <f>SUM(F27:F29)+SUM(F69:F74)+SUM(F91:F95)</f>
        <v/>
      </c>
      <c r="G101" s="327" t="n"/>
      <c r="H101" s="327" t="n"/>
      <c r="I101" s="327" t="n"/>
      <c r="J101" s="253" t="n"/>
      <c r="K101" s="253" t="n"/>
      <c r="L101" s="253" t="n"/>
      <c r="M101" s="253" t="n"/>
      <c r="N101" s="253" t="n"/>
      <c r="O101" s="94" t="n"/>
      <c r="P101" s="94" t="n"/>
      <c r="Q101" s="94" t="n"/>
      <c r="R101" s="94" t="n"/>
      <c r="S101" s="94" t="n"/>
      <c r="T101" s="94" t="n"/>
      <c r="U101" s="94" t="n"/>
      <c r="V101" s="94" t="n"/>
      <c r="W101" s="94" t="n"/>
      <c r="X101" s="94" t="n"/>
      <c r="Y101" s="94" t="n"/>
      <c r="Z101" s="94" t="n"/>
    </row>
    <row r="102" ht="20" customHeight="1" s="90">
      <c r="A102" s="357" t="inlineStr">
        <is>
          <t>CC Processing Fee</t>
        </is>
      </c>
      <c r="B102" s="327" t="n"/>
      <c r="C102" s="327" t="n"/>
      <c r="D102" s="327" t="n"/>
      <c r="E102" s="358">
        <f>F102</f>
        <v/>
      </c>
      <c r="F102" s="358">
        <f>IFERROR((F99+F100+F101)*'Client Setup - Sample'!B35,0)</f>
        <v/>
      </c>
      <c r="G102" s="327" t="n"/>
      <c r="H102" s="327" t="n"/>
      <c r="I102" s="327" t="n"/>
      <c r="J102" s="253" t="n"/>
      <c r="K102" s="253" t="n"/>
      <c r="L102" s="253" t="n"/>
      <c r="M102" s="253" t="n"/>
      <c r="N102" s="253" t="n"/>
      <c r="O102" s="94" t="n"/>
      <c r="P102" s="94" t="n"/>
      <c r="Q102" s="94" t="n"/>
      <c r="R102" s="94" t="n"/>
      <c r="S102" s="94" t="n"/>
      <c r="T102" s="94" t="n"/>
      <c r="U102" s="94" t="n"/>
      <c r="V102" s="94" t="n"/>
      <c r="W102" s="94" t="n"/>
      <c r="X102" s="94" t="n"/>
      <c r="Y102" s="94" t="n"/>
      <c r="Z102" s="94" t="n"/>
    </row>
    <row r="103" ht="20" customHeight="1" s="90">
      <c r="A103" s="357" t="inlineStr">
        <is>
          <t>Third-Party Commission</t>
        </is>
      </c>
      <c r="B103" s="327" t="n"/>
      <c r="C103" s="327" t="n"/>
      <c r="D103" s="327" t="n"/>
      <c r="E103" s="358">
        <f>F103</f>
        <v/>
      </c>
      <c r="F103" s="358">
        <f>IFERROR((F99+F100+F101)*'Client Setup - Sample'!B36,0)</f>
        <v/>
      </c>
      <c r="G103" s="327" t="n"/>
      <c r="H103" s="327" t="n"/>
      <c r="I103" s="327" t="n"/>
      <c r="J103" s="253" t="n"/>
      <c r="K103" s="253" t="n"/>
      <c r="L103" s="253" t="n"/>
      <c r="M103" s="253" t="n"/>
      <c r="N103" s="253" t="n"/>
      <c r="O103" s="94" t="n"/>
      <c r="P103" s="94" t="n"/>
      <c r="Q103" s="94" t="n"/>
      <c r="R103" s="94" t="n"/>
      <c r="S103" s="94" t="n"/>
      <c r="T103" s="94" t="n"/>
      <c r="U103" s="94" t="n"/>
      <c r="V103" s="94" t="n"/>
      <c r="W103" s="94" t="n"/>
      <c r="X103" s="94" t="n"/>
      <c r="Y103" s="94" t="n"/>
      <c r="Z103" s="94" t="n"/>
    </row>
    <row r="104" ht="25" customHeight="1" s="90">
      <c r="A104" s="363" t="inlineStr">
        <is>
          <t>TOTAL DECOR ESTIMATE</t>
        </is>
      </c>
      <c r="B104" s="364" t="n"/>
      <c r="C104" s="364" t="n"/>
      <c r="D104" s="364" t="n"/>
      <c r="E104" s="365">
        <f>SUM(E99:E103)</f>
        <v/>
      </c>
      <c r="F104" s="365">
        <f>SUM(F99:F103)</f>
        <v/>
      </c>
      <c r="G104" s="366" t="n"/>
      <c r="H104" s="366" t="n"/>
      <c r="I104" s="366" t="n"/>
      <c r="J104" s="425" t="n"/>
      <c r="K104" s="425" t="n"/>
      <c r="L104" s="253" t="n"/>
      <c r="M104" s="253" t="n"/>
      <c r="N104" s="253" t="n"/>
      <c r="O104" s="94" t="n"/>
      <c r="P104" s="94" t="n"/>
      <c r="Q104" s="94" t="n"/>
      <c r="R104" s="94" t="n"/>
      <c r="S104" s="94" t="n"/>
      <c r="T104" s="94" t="n"/>
      <c r="U104" s="94" t="n"/>
      <c r="V104" s="94" t="n"/>
      <c r="W104" s="94" t="n"/>
      <c r="X104" s="94" t="n"/>
      <c r="Y104" s="94" t="n"/>
      <c r="Z104" s="94" t="n"/>
    </row>
    <row r="105" ht="6" customHeight="1" s="90">
      <c r="A105" s="253" t="n"/>
      <c r="B105" s="253" t="n"/>
      <c r="C105" s="253" t="n"/>
      <c r="D105" s="253" t="n"/>
      <c r="E105" s="253" t="n"/>
      <c r="F105" s="253" t="n"/>
      <c r="G105" s="253" t="n"/>
      <c r="H105" s="253" t="n"/>
      <c r="I105" s="253" t="n"/>
      <c r="J105" s="253" t="n"/>
      <c r="K105" s="253" t="n"/>
      <c r="L105" s="253" t="n"/>
      <c r="M105" s="253" t="n"/>
      <c r="N105" s="253" t="n"/>
      <c r="O105" s="94" t="n"/>
      <c r="P105" s="94" t="n"/>
      <c r="Q105" s="94" t="n"/>
      <c r="R105" s="94" t="n"/>
      <c r="S105" s="94" t="n"/>
      <c r="T105" s="94" t="n"/>
      <c r="U105" s="94" t="n"/>
      <c r="V105" s="94" t="n"/>
      <c r="W105" s="94" t="n"/>
      <c r="X105" s="94" t="n"/>
      <c r="Y105" s="94" t="n"/>
      <c r="Z105" s="94" t="n"/>
    </row>
    <row r="106" ht="27.75" customHeight="1" s="90">
      <c r="A106" s="410" t="inlineStr">
        <is>
          <t>CLIENT PRICING</t>
        </is>
      </c>
      <c r="B106" s="280" t="n"/>
      <c r="C106" s="280" t="n"/>
      <c r="D106" s="280" t="n"/>
      <c r="E106" s="280" t="n"/>
      <c r="F106" s="280" t="n"/>
      <c r="G106" s="280" t="n"/>
      <c r="H106" s="280" t="n"/>
      <c r="I106" s="253" t="n"/>
      <c r="J106" s="253" t="n"/>
      <c r="K106" s="253" t="n"/>
      <c r="L106" s="253" t="n"/>
      <c r="M106" s="253" t="n"/>
      <c r="N106" s="253" t="n"/>
      <c r="O106" s="94" t="n"/>
      <c r="P106" s="94" t="n"/>
      <c r="Q106" s="94" t="n"/>
      <c r="R106" s="94" t="n"/>
      <c r="S106" s="94" t="n"/>
      <c r="T106" s="94" t="n"/>
      <c r="U106" s="94" t="n"/>
      <c r="V106" s="94" t="n"/>
      <c r="W106" s="94" t="n"/>
      <c r="X106" s="94" t="n"/>
      <c r="Y106" s="94" t="n"/>
      <c r="Z106" s="94" t="n"/>
    </row>
    <row r="107" ht="25.5" customHeight="1" s="90">
      <c r="A107" s="301" t="inlineStr">
        <is>
          <t>Total Client Cost</t>
        </is>
      </c>
      <c r="B107" s="369">
        <f>F104</f>
        <v/>
      </c>
      <c r="C107" s="304" t="n"/>
      <c r="D107" s="304" t="n"/>
      <c r="E107" s="304" t="n"/>
      <c r="F107" s="304" t="n"/>
      <c r="G107" s="304" t="n"/>
      <c r="H107" s="304" t="n"/>
      <c r="I107" s="253" t="n"/>
      <c r="J107" s="253" t="n"/>
      <c r="K107" s="253" t="n"/>
      <c r="L107" s="253" t="n"/>
      <c r="M107" s="253" t="n"/>
      <c r="N107" s="253" t="n"/>
      <c r="O107" s="94" t="n"/>
      <c r="P107" s="94" t="n"/>
      <c r="Q107" s="94" t="n"/>
      <c r="R107" s="94" t="n"/>
      <c r="S107" s="94" t="n"/>
      <c r="T107" s="94" t="n"/>
      <c r="U107" s="94" t="n"/>
      <c r="V107" s="94" t="n"/>
      <c r="W107" s="94" t="n"/>
      <c r="X107" s="94" t="n"/>
      <c r="Y107" s="94" t="n"/>
      <c r="Z107" s="94" t="n"/>
    </row>
    <row r="108" ht="25.5" customHeight="1" s="90">
      <c r="A108" s="253" t="n"/>
      <c r="B108" s="253" t="n"/>
      <c r="C108" s="253" t="n"/>
      <c r="D108" s="253" t="n"/>
      <c r="E108" s="253" t="n"/>
      <c r="F108" s="253" t="n"/>
      <c r="G108" s="253" t="n"/>
      <c r="H108" s="253" t="n"/>
      <c r="I108" s="253" t="n"/>
      <c r="J108" s="253" t="n"/>
      <c r="K108" s="253" t="n"/>
      <c r="L108" s="253" t="n"/>
      <c r="M108" s="253" t="n"/>
      <c r="N108" s="253" t="n"/>
      <c r="O108" s="94" t="n"/>
      <c r="P108" s="94" t="n"/>
      <c r="Q108" s="94" t="n"/>
      <c r="R108" s="94" t="n"/>
      <c r="S108" s="94" t="n"/>
      <c r="T108" s="94" t="n"/>
      <c r="U108" s="94" t="n"/>
      <c r="V108" s="94" t="n"/>
      <c r="W108" s="94" t="n"/>
      <c r="X108" s="94" t="n"/>
      <c r="Y108" s="94" t="n"/>
      <c r="Z108" s="94" t="n"/>
    </row>
    <row r="109" ht="25.5" customHeight="1" s="90">
      <c r="A109" s="280" t="n"/>
      <c r="B109" s="280" t="n"/>
      <c r="C109" s="280" t="n"/>
      <c r="D109" s="280" t="n"/>
      <c r="E109" s="280" t="n"/>
      <c r="F109" s="280" t="n"/>
      <c r="G109" s="280" t="n"/>
      <c r="H109" s="280" t="n"/>
      <c r="I109" s="280" t="n"/>
      <c r="J109" s="280" t="n"/>
      <c r="K109" s="280" t="n"/>
      <c r="L109" s="280" t="n"/>
      <c r="M109" s="280" t="n"/>
      <c r="N109" s="280" t="n"/>
    </row>
    <row r="110" ht="27" customHeight="1" s="90">
      <c r="A110" s="269" t="inlineStr">
        <is>
          <t>QC TRAVEL EXPENSES</t>
        </is>
      </c>
      <c r="B110" s="269" t="n"/>
      <c r="C110" s="269" t="n"/>
      <c r="D110" s="269" t="n"/>
      <c r="E110" s="269" t="n"/>
      <c r="F110" s="269" t="n"/>
      <c r="G110" s="269" t="n"/>
      <c r="H110" s="269" t="n"/>
      <c r="I110" s="269" t="n"/>
      <c r="J110" s="280" t="n"/>
      <c r="K110" s="280" t="n"/>
      <c r="L110" s="280" t="n"/>
      <c r="M110" s="280" t="n"/>
      <c r="N110" s="280" t="n"/>
    </row>
    <row r="111" ht="22" customHeight="1" s="90">
      <c r="A111" s="371" t="inlineStr"/>
      <c r="B111" s="371" t="inlineStr">
        <is>
          <t>Trip 1</t>
        </is>
      </c>
      <c r="C111" s="371" t="inlineStr">
        <is>
          <t>Trip 2</t>
        </is>
      </c>
      <c r="D111" s="371" t="inlineStr">
        <is>
          <t>Trip 3</t>
        </is>
      </c>
      <c r="E111" s="280" t="n"/>
      <c r="F111" s="280" t="n"/>
      <c r="G111" s="280" t="n"/>
      <c r="H111" s="280" t="n"/>
      <c r="I111" s="280" t="n"/>
      <c r="J111" s="280" t="n"/>
      <c r="K111" s="280" t="n"/>
      <c r="L111" s="280" t="n"/>
      <c r="M111" s="280" t="n"/>
      <c r="N111" s="280" t="n"/>
    </row>
    <row r="112" ht="20" customHeight="1" s="90">
      <c r="A112" s="357" t="inlineStr">
        <is>
          <t>Trip Label</t>
        </is>
      </c>
      <c r="B112" s="383" t="n"/>
      <c r="C112" s="383" t="n"/>
      <c r="D112" s="383" t="n"/>
      <c r="E112" s="280" t="n"/>
      <c r="F112" s="280" t="n"/>
      <c r="G112" s="280" t="n"/>
      <c r="H112" s="280" t="n"/>
      <c r="I112" s="280" t="n"/>
      <c r="J112" s="280" t="n"/>
      <c r="K112" s="280" t="n"/>
      <c r="L112" s="280" t="n"/>
      <c r="M112" s="280" t="n"/>
      <c r="N112" s="280" t="n"/>
    </row>
    <row r="113" ht="20" customHeight="1" s="90">
      <c r="A113" s="285" t="inlineStr">
        <is>
          <t>Destination</t>
        </is>
      </c>
      <c r="B113" s="294" t="n"/>
      <c r="C113" s="294" t="n"/>
      <c r="D113" s="294" t="n"/>
      <c r="E113" s="280" t="n"/>
      <c r="F113" s="280" t="n"/>
      <c r="G113" s="280" t="n"/>
      <c r="H113" s="280" t="n"/>
      <c r="I113" s="280" t="n"/>
      <c r="J113" s="280" t="n"/>
      <c r="K113" s="280" t="n"/>
      <c r="L113" s="280" t="n"/>
      <c r="M113" s="280" t="n"/>
      <c r="N113" s="280" t="n"/>
    </row>
    <row r="114" ht="20" customHeight="1" s="90">
      <c r="A114" s="357" t="inlineStr">
        <is>
          <t>Travel Type</t>
        </is>
      </c>
      <c r="B114" s="383">
        <f>IF(B113&lt;&gt;"",VLOOKUP(B113,'Client Setup - Sample'!$A$54:$F$63,2,FALSE),"")</f>
        <v/>
      </c>
      <c r="C114" s="383">
        <f>IF(C113&lt;&gt;"",VLOOKUP(C113,'Client Setup - Sample'!$A$54:$F$63,2,FALSE),"")</f>
        <v/>
      </c>
      <c r="D114" s="383">
        <f>IF(D113&lt;&gt;"",VLOOKUP(D113,'Client Setup - Sample'!$A$54:$F$63,2,FALSE),"")</f>
        <v/>
      </c>
      <c r="E114" s="280" t="n"/>
      <c r="F114" s="280" t="n"/>
      <c r="G114" s="280" t="n"/>
      <c r="H114" s="280" t="n"/>
      <c r="I114" s="280" t="n"/>
      <c r="J114" s="280" t="n"/>
      <c r="K114" s="280" t="n"/>
      <c r="L114" s="280" t="n"/>
      <c r="M114" s="280" t="n"/>
      <c r="N114" s="280" t="n"/>
    </row>
    <row r="115" ht="20" customHeight="1" s="90">
      <c r="A115" s="285" t="inlineStr">
        <is>
          <t>Staff Traveling</t>
        </is>
      </c>
      <c r="B115" s="294" t="n"/>
      <c r="C115" s="294" t="n"/>
      <c r="D115" s="294" t="n"/>
      <c r="E115" s="280" t="n"/>
      <c r="F115" s="280" t="n"/>
      <c r="G115" s="280" t="n"/>
      <c r="H115" s="280" t="n"/>
      <c r="I115" s="280" t="n"/>
      <c r="J115" s="280" t="n"/>
      <c r="K115" s="280" t="n"/>
      <c r="L115" s="280" t="n"/>
      <c r="M115" s="280" t="n"/>
      <c r="N115" s="280" t="n"/>
    </row>
    <row r="116" ht="20" customHeight="1" s="90">
      <c r="A116" s="357" t="inlineStr">
        <is>
          <t>Nights</t>
        </is>
      </c>
      <c r="B116" s="383" t="n"/>
      <c r="C116" s="383" t="n"/>
      <c r="D116" s="383" t="n"/>
      <c r="E116" s="280" t="n"/>
      <c r="F116" s="280" t="n"/>
      <c r="G116" s="280" t="n"/>
      <c r="H116" s="280" t="n"/>
      <c r="I116" s="280" t="n"/>
      <c r="J116" s="280" t="n"/>
      <c r="K116" s="280" t="n"/>
      <c r="L116" s="280" t="n"/>
      <c r="M116" s="280" t="n"/>
      <c r="N116" s="280" t="n"/>
    </row>
    <row r="117" ht="20" customHeight="1" s="90">
      <c r="A117" s="285" t="inlineStr">
        <is>
          <t>On-Site Vehicle</t>
        </is>
      </c>
      <c r="B117" s="294" t="n"/>
      <c r="C117" s="294" t="n"/>
      <c r="D117" s="294" t="n"/>
      <c r="E117" s="280" t="n"/>
      <c r="F117" s="280" t="n"/>
      <c r="G117" s="280" t="n"/>
      <c r="H117" s="280" t="n"/>
      <c r="I117" s="280" t="n"/>
      <c r="J117" s="280" t="n"/>
      <c r="K117" s="280" t="n"/>
      <c r="L117" s="280" t="n"/>
      <c r="M117" s="280" t="n"/>
      <c r="N117" s="280" t="n"/>
    </row>
    <row r="118" ht="20" customHeight="1" s="90">
      <c r="A118" s="357" t="inlineStr">
        <is>
          <t>Custom Vehicle Cost</t>
        </is>
      </c>
      <c r="B118" s="377" t="n"/>
      <c r="C118" s="377" t="n"/>
      <c r="D118" s="377" t="n"/>
      <c r="E118" s="280" t="n"/>
      <c r="F118" s="280" t="n"/>
      <c r="G118" s="280" t="n"/>
      <c r="H118" s="280" t="n"/>
      <c r="I118" s="280" t="n"/>
      <c r="J118" s="280" t="n"/>
      <c r="K118" s="280" t="n"/>
      <c r="L118" s="280" t="n"/>
      <c r="M118" s="280" t="n"/>
      <c r="N118" s="280" t="n"/>
    </row>
    <row r="119" ht="20" customHeight="1" s="90">
      <c r="A119" s="375" t="n"/>
      <c r="B119" s="326" t="n"/>
      <c r="C119" s="326" t="n"/>
      <c r="D119" s="326" t="n"/>
      <c r="E119" s="280" t="n"/>
      <c r="F119" s="280" t="n"/>
      <c r="G119" s="280" t="n"/>
      <c r="H119" s="280" t="n"/>
      <c r="I119" s="280" t="n"/>
      <c r="J119" s="280" t="n"/>
      <c r="K119" s="280" t="n"/>
      <c r="L119" s="280" t="n"/>
      <c r="M119" s="280" t="n"/>
      <c r="N119" s="280" t="n"/>
    </row>
    <row r="120" ht="20" customHeight="1" s="90">
      <c r="A120" s="357" t="inlineStr">
        <is>
          <t>Travel Cost</t>
        </is>
      </c>
      <c r="B120" s="377">
        <f>IF(OR(B113="",B115=""),0,IF(B114="Flight",VLOOKUP(B113,'Client Setup - Sample'!$A$54:$F$63,4,FALSE)*B115,IF(B114="Drive",VLOOKUP(B113,'Client Setup - Sample'!$A$54:$F$63,3,FALSE),0)))</f>
        <v/>
      </c>
      <c r="C120" s="377">
        <f>IF(OR(C113="",C115=""),0,IF(C114="Flight",VLOOKUP(C113,'Client Setup - Sample'!$A$54:$F$63,4,FALSE)*C115,IF(C114="Drive",VLOOKUP(C113,'Client Setup - Sample'!$A$54:$F$63,3,FALSE),0)))</f>
        <v/>
      </c>
      <c r="D120" s="377">
        <f>IF(OR(D113="",D115=""),0,IF(D114="Flight",VLOOKUP(D113,'Client Setup - Sample'!$A$54:$F$63,4,FALSE)*D115,IF(D114="Drive",VLOOKUP(D113,'Client Setup - Sample'!$A$54:$F$63,3,FALSE),0)))</f>
        <v/>
      </c>
      <c r="E120" s="280" t="n"/>
      <c r="F120" s="280" t="n"/>
      <c r="G120" s="280" t="n"/>
      <c r="H120" s="280" t="n"/>
      <c r="I120" s="280" t="n"/>
      <c r="J120" s="280" t="n"/>
      <c r="K120" s="280" t="n"/>
      <c r="L120" s="280" t="n"/>
      <c r="M120" s="280" t="n"/>
      <c r="N120" s="280" t="n"/>
    </row>
    <row r="121" ht="20" customHeight="1" s="90">
      <c r="A121" s="285" t="inlineStr">
        <is>
          <t>Hotel Cost</t>
        </is>
      </c>
      <c r="B121" s="411">
        <f>IF(OR(B113="",B115="",B116=""),0,VLOOKUP(B113,'Client Setup - Sample'!$A$54:$F$63,5,FALSE)*B116*B115)</f>
        <v/>
      </c>
      <c r="C121" s="411">
        <f>IF(OR(C113="",C115="",C116=""),0,VLOOKUP(C113,'Client Setup - Sample'!$A$54:$F$63,5,FALSE)*C116*C115)</f>
        <v/>
      </c>
      <c r="D121" s="411">
        <f>IF(OR(D113="",D115="",D116=""),0,VLOOKUP(D113,'Client Setup - Sample'!$A$54:$F$63,5,FALSE)*D116*D115)</f>
        <v/>
      </c>
      <c r="E121" s="280" t="n"/>
      <c r="F121" s="280" t="n"/>
      <c r="G121" s="280" t="n"/>
      <c r="H121" s="280" t="n"/>
      <c r="I121" s="280" t="n"/>
      <c r="J121" s="280" t="n"/>
      <c r="K121" s="280" t="n"/>
      <c r="L121" s="280" t="n"/>
      <c r="M121" s="280" t="n"/>
      <c r="N121" s="280" t="n"/>
    </row>
    <row r="122" ht="20" customHeight="1" s="90">
      <c r="A122" s="357" t="inlineStr">
        <is>
          <t>Per Diem Cost</t>
        </is>
      </c>
      <c r="B122" s="377">
        <f>IF(OR(B113="",B115=""),0,VLOOKUP(B113,'Client Setup - Sample'!$A$54:$F$63,6,FALSE)*(B116+1)*B115)</f>
        <v/>
      </c>
      <c r="C122" s="377">
        <f>IF(OR(C113="",C115=""),0,VLOOKUP(C113,'Client Setup - Sample'!$A$54:$F$63,6,FALSE)*(C116+1)*C115)</f>
        <v/>
      </c>
      <c r="D122" s="377">
        <f>IF(OR(D113="",D115=""),0,VLOOKUP(D113,'Client Setup - Sample'!$A$54:$F$63,6,FALSE)*(D116+1)*D115)</f>
        <v/>
      </c>
      <c r="E122" s="280" t="n"/>
      <c r="F122" s="280" t="n"/>
      <c r="G122" s="280" t="n"/>
      <c r="H122" s="280" t="n"/>
      <c r="I122" s="280" t="n"/>
      <c r="J122" s="280" t="n"/>
      <c r="K122" s="280" t="n"/>
      <c r="L122" s="280" t="n"/>
      <c r="M122" s="280" t="n"/>
      <c r="N122" s="280" t="n"/>
    </row>
    <row r="123" ht="20" customHeight="1" s="90">
      <c r="A123" s="285" t="inlineStr">
        <is>
          <t>Vehicle Cost</t>
        </is>
      </c>
      <c r="B123" s="411">
        <f>IF(OR(B117="",B117="None"),0,IF(B117="Custom",IF(ISNUMBER(B118),B118,0),IFERROR(VLOOKUP(B117,'Client Setup - Sample'!$A$67:$B$72,2,FALSE),0)))</f>
        <v/>
      </c>
      <c r="C123" s="411">
        <f>IF(OR(C117="",C117="None"),0,IF(C117="Custom",IF(ISNUMBER(C118),C118,0),IFERROR(VLOOKUP(C117,'Client Setup - Sample'!$A$67:$B$72,2,FALSE),0)))</f>
        <v/>
      </c>
      <c r="D123" s="411">
        <f>IF(OR(D117="",D117="None"),0,IF(D117="Custom",IF(ISNUMBER(D118),D118,0),IFERROR(VLOOKUP(D117,'Client Setup - Sample'!$A$67:$B$72,2,FALSE),0)))</f>
        <v/>
      </c>
      <c r="E123" s="280" t="n"/>
      <c r="F123" s="280" t="n"/>
      <c r="G123" s="280" t="n"/>
      <c r="H123" s="280" t="n"/>
      <c r="I123" s="280" t="n"/>
      <c r="J123" s="280" t="n"/>
      <c r="K123" s="280" t="n"/>
      <c r="L123" s="280" t="n"/>
      <c r="M123" s="280" t="n"/>
      <c r="N123" s="280" t="n"/>
    </row>
    <row r="124" ht="20" customHeight="1" s="90">
      <c r="A124" s="357" t="inlineStr">
        <is>
          <t>Trip Total</t>
        </is>
      </c>
      <c r="B124" s="377">
        <f>B120+B121+B122+B123</f>
        <v/>
      </c>
      <c r="C124" s="377">
        <f>C120+C121+C122+C123</f>
        <v/>
      </c>
      <c r="D124" s="377">
        <f>D120+D121+D122+D123</f>
        <v/>
      </c>
      <c r="E124" s="280" t="n"/>
      <c r="F124" s="280" t="n"/>
      <c r="G124" s="280" t="n"/>
      <c r="H124" s="280" t="n"/>
      <c r="I124" s="280" t="n"/>
      <c r="J124" s="280" t="n"/>
      <c r="K124" s="280" t="n"/>
      <c r="L124" s="280" t="n"/>
      <c r="M124" s="280" t="n"/>
      <c r="N124" s="280" t="n"/>
    </row>
    <row r="125" ht="20" customHeight="1" s="90">
      <c r="A125" s="375" t="n"/>
      <c r="B125" s="326" t="n"/>
      <c r="C125" s="326" t="n"/>
      <c r="D125" s="326" t="n"/>
      <c r="E125" s="280" t="n"/>
      <c r="F125" s="280" t="n"/>
      <c r="G125" s="280" t="n"/>
      <c r="H125" s="280" t="n"/>
      <c r="I125" s="280" t="n"/>
      <c r="J125" s="280" t="n"/>
      <c r="K125" s="280" t="n"/>
      <c r="L125" s="280" t="n"/>
      <c r="M125" s="280" t="n"/>
      <c r="N125" s="280" t="n"/>
    </row>
    <row r="126" ht="20" customHeight="1" s="90">
      <c r="A126" s="357" t="inlineStr">
        <is>
          <t>Total Travel Expenses</t>
        </is>
      </c>
      <c r="B126" s="319" t="n"/>
      <c r="C126" s="319" t="n"/>
      <c r="D126" s="377">
        <f>B124+C124+D124</f>
        <v/>
      </c>
      <c r="E126" s="280" t="n"/>
      <c r="F126" s="280" t="n"/>
      <c r="G126" s="280" t="n"/>
      <c r="H126" s="280" t="n"/>
      <c r="I126" s="280" t="n"/>
      <c r="J126" s="280" t="n"/>
      <c r="K126" s="280" t="n"/>
      <c r="L126" s="280" t="n"/>
      <c r="M126" s="280" t="n"/>
      <c r="N126" s="280" t="n"/>
    </row>
    <row r="127" ht="27" customHeight="1" s="90">
      <c r="A127" s="254" t="inlineStr">
        <is>
          <t>PROFIT &amp; MARGIN</t>
        </is>
      </c>
      <c r="B127" s="269" t="n"/>
      <c r="C127" s="269" t="n"/>
      <c r="D127" s="269" t="n"/>
      <c r="E127" s="269" t="n"/>
      <c r="F127" s="269" t="n"/>
      <c r="G127" s="269" t="n"/>
      <c r="H127" s="269" t="n"/>
      <c r="I127" s="257" t="n"/>
      <c r="J127" s="253" t="n"/>
      <c r="K127" s="253" t="n"/>
      <c r="L127" s="253" t="n"/>
      <c r="M127" s="253" t="n"/>
      <c r="N127" s="253" t="n"/>
      <c r="O127" s="94" t="n"/>
      <c r="P127" s="94" t="n"/>
      <c r="Q127" s="94" t="n"/>
      <c r="R127" s="94" t="n"/>
      <c r="S127" s="94" t="n"/>
      <c r="T127" s="94" t="n"/>
      <c r="U127" s="94" t="n"/>
      <c r="V127" s="94" t="n"/>
      <c r="W127" s="94" t="n"/>
      <c r="X127" s="94" t="n"/>
      <c r="Y127" s="94" t="n"/>
      <c r="Z127" s="94" t="n"/>
    </row>
    <row r="128" ht="20" customHeight="1" s="90">
      <c r="A128" s="357" t="inlineStr">
        <is>
          <t>Third-Party Commission</t>
        </is>
      </c>
      <c r="B128" s="327" t="n"/>
      <c r="C128" s="379">
        <f>'Client Setup - Sample'!B36</f>
        <v/>
      </c>
      <c r="D128" s="377">
        <f>F104*C128</f>
        <v/>
      </c>
      <c r="E128" s="327" t="n"/>
      <c r="F128" s="304" t="n"/>
      <c r="G128" s="304" t="n"/>
      <c r="H128" s="304" t="n"/>
      <c r="I128" s="253" t="n"/>
      <c r="J128" s="253" t="n"/>
      <c r="K128" s="253" t="n"/>
      <c r="L128" s="253" t="n"/>
      <c r="M128" s="253" t="n"/>
      <c r="N128" s="253" t="n"/>
      <c r="O128" s="94" t="n"/>
      <c r="P128" s="94" t="n"/>
      <c r="Q128" s="94" t="n"/>
      <c r="R128" s="94" t="n"/>
      <c r="S128" s="94" t="n"/>
      <c r="T128" s="94" t="n"/>
      <c r="U128" s="94" t="n"/>
      <c r="V128" s="94" t="n"/>
      <c r="W128" s="94" t="n"/>
      <c r="X128" s="94" t="n"/>
      <c r="Y128" s="94" t="n"/>
      <c r="Z128" s="94" t="n"/>
    </row>
    <row r="129" ht="20" customHeight="1" s="90">
      <c r="A129" s="357" t="inlineStr">
        <is>
          <t>Global DMC Fee (6.5%)</t>
        </is>
      </c>
      <c r="B129" s="327" t="n"/>
      <c r="C129" s="380">
        <f>IF('Client Setup - Sample'!B37="Yes",0.065,0)</f>
        <v/>
      </c>
      <c r="D129" s="377">
        <f>IF('Client Setup - Sample'!B37="Yes",F104*0.065,0)</f>
        <v/>
      </c>
      <c r="E129" s="327" t="n"/>
      <c r="F129" s="304" t="n"/>
      <c r="G129" s="304" t="n"/>
      <c r="H129" s="304" t="n"/>
      <c r="I129" s="253" t="n"/>
      <c r="J129" s="253" t="n"/>
      <c r="K129" s="253" t="n"/>
      <c r="L129" s="253" t="n"/>
      <c r="M129" s="253" t="n"/>
      <c r="N129" s="253" t="n"/>
      <c r="O129" s="94" t="n"/>
      <c r="P129" s="94" t="n"/>
      <c r="Q129" s="94" t="n"/>
      <c r="R129" s="94" t="n"/>
      <c r="S129" s="94" t="n"/>
      <c r="T129" s="94" t="n"/>
      <c r="U129" s="94" t="n"/>
      <c r="V129" s="94" t="n"/>
      <c r="W129" s="94" t="n"/>
      <c r="X129" s="94" t="n"/>
      <c r="Y129" s="94" t="n"/>
      <c r="Z129" s="94" t="n"/>
    </row>
    <row r="130" ht="20" customHeight="1" s="90">
      <c r="A130" s="357" t="inlineStr">
        <is>
          <t>Total Vendor Costs (incl. CC fee)</t>
        </is>
      </c>
      <c r="B130" s="327" t="n"/>
      <c r="C130" s="327" t="n"/>
      <c r="D130" s="377">
        <f>E99+E100+E101+E102</f>
        <v/>
      </c>
      <c r="E130" s="327" t="n"/>
      <c r="F130" s="304" t="n"/>
      <c r="G130" s="304" t="n"/>
      <c r="H130" s="304" t="n"/>
      <c r="I130" s="253" t="n"/>
      <c r="J130" s="253" t="n"/>
      <c r="K130" s="253" t="n"/>
      <c r="L130" s="253" t="n"/>
      <c r="M130" s="253" t="n"/>
      <c r="N130" s="253" t="n"/>
      <c r="O130" s="94" t="n"/>
      <c r="P130" s="94" t="n"/>
      <c r="Q130" s="94" t="n"/>
      <c r="R130" s="94" t="n"/>
      <c r="S130" s="94" t="n"/>
      <c r="T130" s="94" t="n"/>
      <c r="U130" s="94" t="n"/>
      <c r="V130" s="94" t="n"/>
      <c r="W130" s="94" t="n"/>
      <c r="X130" s="94" t="n"/>
      <c r="Y130" s="94" t="n"/>
      <c r="Z130" s="94" t="n"/>
    </row>
    <row r="131" ht="20" customHeight="1" s="90">
      <c r="A131" s="357" t="inlineStr">
        <is>
          <t>QC Revenue</t>
        </is>
      </c>
      <c r="B131" s="327" t="n"/>
      <c r="C131" s="327" t="n"/>
      <c r="D131" s="377">
        <f>IFERROR(F104-D128-D129-D130,0)</f>
        <v/>
      </c>
      <c r="E131" s="327" t="n"/>
      <c r="F131" s="304" t="n"/>
      <c r="G131" s="304" t="n"/>
      <c r="H131" s="304" t="n"/>
      <c r="I131" s="253" t="n"/>
      <c r="J131" s="253" t="n"/>
      <c r="K131" s="253" t="n"/>
      <c r="L131" s="253" t="n"/>
      <c r="M131" s="253" t="n"/>
      <c r="N131" s="253" t="n"/>
      <c r="O131" s="94" t="n"/>
      <c r="P131" s="94" t="n"/>
      <c r="Q131" s="94" t="n"/>
      <c r="R131" s="94" t="n"/>
      <c r="S131" s="94" t="n"/>
      <c r="T131" s="94" t="n"/>
      <c r="U131" s="94" t="n"/>
      <c r="V131" s="94" t="n"/>
      <c r="W131" s="94" t="n"/>
      <c r="X131" s="94" t="n"/>
      <c r="Y131" s="94" t="n"/>
      <c r="Z131" s="94" t="n"/>
    </row>
    <row r="132" ht="20" customHeight="1" s="90">
      <c r="A132" s="357" t="inlineStr">
        <is>
          <t>QC Margin %</t>
        </is>
      </c>
      <c r="B132" s="327" t="n"/>
      <c r="C132" s="327" t="n"/>
      <c r="D132" s="381">
        <f>IFERROR(IF(F104&gt;0,D131/F104,0),0)</f>
        <v/>
      </c>
      <c r="E132" s="327" t="n"/>
      <c r="F132" s="412" t="n"/>
      <c r="G132" s="412" t="n"/>
      <c r="H132" s="412" t="n"/>
      <c r="I132" s="253" t="n"/>
      <c r="J132" s="253" t="n"/>
      <c r="K132" s="253" t="n"/>
      <c r="L132" s="253" t="n"/>
      <c r="M132" s="253" t="n"/>
      <c r="N132" s="253" t="n"/>
      <c r="O132" s="94" t="n"/>
      <c r="P132" s="94" t="n"/>
      <c r="Q132" s="94" t="n"/>
      <c r="R132" s="94" t="n"/>
      <c r="S132" s="94" t="n"/>
      <c r="T132" s="94" t="n"/>
      <c r="U132" s="94" t="n"/>
      <c r="V132" s="94" t="n"/>
      <c r="W132" s="94" t="n"/>
      <c r="X132" s="94" t="n"/>
      <c r="Y132" s="94" t="n"/>
      <c r="Z132" s="94" t="n"/>
    </row>
    <row r="133" ht="20" customHeight="1" s="90">
      <c r="A133" s="357" t="inlineStr">
        <is>
          <t>Margin Health</t>
        </is>
      </c>
      <c r="B133" s="327" t="n"/>
      <c r="C133" s="327" t="n"/>
      <c r="D133" s="383">
        <f>IF(D132&gt;=0.45,"✓ STRONG",IF(D132&gt;=0.35,"→ ON TARGET",IF(D132&gt;=0.25,"⚠ REVIEW","✗ BELOW FLOOR")))</f>
        <v/>
      </c>
      <c r="E133" s="327" t="n"/>
      <c r="F133" s="253" t="n"/>
      <c r="G133" s="253" t="n"/>
      <c r="H133" s="253" t="n"/>
      <c r="I133" s="253" t="n"/>
      <c r="J133" s="253" t="n"/>
      <c r="K133" s="253" t="n"/>
      <c r="L133" s="253" t="n"/>
      <c r="M133" s="253" t="n"/>
      <c r="N133" s="253" t="n"/>
      <c r="O133" s="94" t="n"/>
      <c r="P133" s="94" t="n"/>
      <c r="Q133" s="94" t="n"/>
      <c r="R133" s="94" t="n"/>
      <c r="S133" s="94" t="n"/>
      <c r="T133" s="94" t="n"/>
      <c r="U133" s="94" t="n"/>
      <c r="V133" s="94" t="n"/>
      <c r="W133" s="94" t="n"/>
      <c r="X133" s="94" t="n"/>
      <c r="Y133" s="94" t="n"/>
      <c r="Z133" s="94" t="n"/>
    </row>
    <row r="134" ht="20" customHeight="1" s="90">
      <c r="A134" s="384" t="n"/>
      <c r="B134" s="327" t="n"/>
      <c r="C134" s="327" t="n"/>
      <c r="D134" s="327" t="n"/>
      <c r="E134" s="327" t="n"/>
      <c r="F134" s="253" t="n"/>
      <c r="G134" s="253" t="n"/>
      <c r="H134" s="253" t="n"/>
      <c r="I134" s="253" t="n"/>
      <c r="J134" s="253" t="n"/>
      <c r="K134" s="253" t="n"/>
      <c r="L134" s="253" t="n"/>
      <c r="M134" s="253" t="n"/>
      <c r="N134" s="253" t="n"/>
      <c r="O134" s="94" t="n"/>
      <c r="P134" s="94" t="n"/>
      <c r="Q134" s="94" t="n"/>
      <c r="R134" s="94" t="n"/>
      <c r="S134" s="94" t="n"/>
      <c r="T134" s="94" t="n"/>
      <c r="U134" s="94" t="n"/>
      <c r="V134" s="94" t="n"/>
      <c r="W134" s="94" t="n"/>
      <c r="X134" s="94" t="n"/>
      <c r="Y134" s="94" t="n"/>
      <c r="Z134" s="94" t="n"/>
    </row>
    <row r="135" ht="20" customHeight="1" s="90">
      <c r="A135" s="357" t="inlineStr">
        <is>
          <t>Estimated Team Hours</t>
        </is>
      </c>
      <c r="B135" s="327" t="n"/>
      <c r="C135" s="385" t="n"/>
      <c r="D135" s="377">
        <f>IF(ISNUMBER(C135),C135*90,0)</f>
        <v/>
      </c>
      <c r="E135" s="321" t="inlineStr">
        <is>
          <t>Hours × $90/hr</t>
        </is>
      </c>
      <c r="F135" s="253" t="n"/>
      <c r="G135" s="253" t="n"/>
      <c r="H135" s="253" t="n"/>
      <c r="I135" s="253" t="n"/>
      <c r="J135" s="253" t="n"/>
      <c r="K135" s="253" t="n"/>
      <c r="L135" s="253" t="n"/>
      <c r="M135" s="253" t="n"/>
      <c r="N135" s="253" t="n"/>
      <c r="O135" s="94" t="n"/>
      <c r="P135" s="94" t="n"/>
      <c r="Q135" s="94" t="n"/>
      <c r="R135" s="94" t="n"/>
      <c r="S135" s="94" t="n"/>
      <c r="T135" s="94" t="n"/>
      <c r="U135" s="94" t="n"/>
      <c r="V135" s="94" t="n"/>
      <c r="W135" s="94" t="n"/>
      <c r="X135" s="94" t="n"/>
      <c r="Y135" s="94" t="n"/>
      <c r="Z135" s="94" t="n"/>
    </row>
    <row r="136" ht="20" customHeight="1" s="90">
      <c r="A136" s="357" t="inlineStr">
        <is>
          <t>True Net Profit</t>
        </is>
      </c>
      <c r="B136" s="327" t="n"/>
      <c r="C136" s="327" t="n"/>
      <c r="D136" s="377">
        <f>D131-D135-D126</f>
        <v/>
      </c>
      <c r="E136" s="327" t="n"/>
      <c r="F136" s="253" t="n"/>
      <c r="G136" s="253" t="n"/>
      <c r="H136" s="253" t="n"/>
      <c r="I136" s="253" t="n"/>
      <c r="J136" s="253" t="n"/>
      <c r="K136" s="253" t="n"/>
      <c r="L136" s="253" t="n"/>
      <c r="M136" s="253" t="n"/>
      <c r="N136" s="253" t="n"/>
      <c r="O136" s="94" t="n"/>
      <c r="P136" s="94" t="n"/>
      <c r="Q136" s="94" t="n"/>
      <c r="R136" s="94" t="n"/>
      <c r="S136" s="94" t="n"/>
      <c r="T136" s="94" t="n"/>
      <c r="U136" s="94" t="n"/>
      <c r="V136" s="94" t="n"/>
      <c r="W136" s="94" t="n"/>
      <c r="X136" s="94" t="n"/>
      <c r="Y136" s="94" t="n"/>
      <c r="Z136" s="94" t="n"/>
    </row>
    <row r="137" ht="20" customHeight="1" s="90">
      <c r="A137" s="357" t="inlineStr">
        <is>
          <t>True Net Margin %</t>
        </is>
      </c>
      <c r="B137" s="327" t="n"/>
      <c r="C137" s="327" t="n"/>
      <c r="D137" s="381">
        <f>IFERROR(IF(F104&gt;0,D136/F104,0),0)</f>
        <v/>
      </c>
      <c r="E137" s="327" t="n"/>
      <c r="F137" s="253" t="n"/>
      <c r="G137" s="253" t="n"/>
      <c r="H137" s="253" t="n"/>
      <c r="I137" s="253" t="n"/>
      <c r="J137" s="253" t="n"/>
      <c r="K137" s="253" t="n"/>
      <c r="L137" s="253" t="n"/>
      <c r="M137" s="253" t="n"/>
      <c r="N137" s="253" t="n"/>
      <c r="O137" s="94" t="n"/>
      <c r="P137" s="94" t="n"/>
      <c r="Q137" s="94" t="n"/>
      <c r="R137" s="94" t="n"/>
      <c r="S137" s="94" t="n"/>
      <c r="T137" s="94" t="n"/>
      <c r="U137" s="94" t="n"/>
      <c r="V137" s="94" t="n"/>
      <c r="W137" s="94" t="n"/>
      <c r="X137" s="94" t="n"/>
      <c r="Y137" s="94" t="n"/>
      <c r="Z137" s="94" t="n"/>
    </row>
    <row r="138" ht="20" customHeight="1" s="90">
      <c r="A138" s="357" t="inlineStr">
        <is>
          <t>True Net Health</t>
        </is>
      </c>
      <c r="B138" s="327" t="n"/>
      <c r="C138" s="327" t="n"/>
      <c r="D138" s="383">
        <f>IF(D137&gt;=0.15,"✓ STRONG",IF(D137&gt;=0.07,"→ ON TARGET",IF(D137&gt;=0,"⚠ THIN","✗ LOSING MONEY")))</f>
        <v/>
      </c>
      <c r="E138" s="327" t="n"/>
      <c r="F138" s="253" t="n"/>
      <c r="G138" s="253" t="n"/>
      <c r="H138" s="253" t="n"/>
      <c r="I138" s="253" t="n"/>
      <c r="J138" s="253" t="n"/>
      <c r="K138" s="253" t="n"/>
      <c r="L138" s="253" t="n"/>
      <c r="M138" s="253" t="n"/>
      <c r="N138" s="253"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253" t="n"/>
      <c r="M139" s="253" t="n"/>
      <c r="N139" s="253"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conditionalFormatting sqref="I16:I25">
    <cfRule type="expression" priority="1" dxfId="0">
      <formula>AND(OR($A16&lt;&gt;"",$C16&lt;&gt;""),I16="")</formula>
    </cfRule>
  </conditionalFormatting>
  <conditionalFormatting sqref="I35:I42">
    <cfRule type="expression" priority="2" dxfId="0">
      <formula>AND(OR($A35&lt;&gt;"",$C35&lt;&gt;""),I35="")</formula>
    </cfRule>
  </conditionalFormatting>
  <conditionalFormatting sqref="I44:I51">
    <cfRule type="expression" priority="3" dxfId="0">
      <formula>AND(OR($A44&lt;&gt;"",$C44&lt;&gt;""),I44="")</formula>
    </cfRule>
  </conditionalFormatting>
  <conditionalFormatting sqref="I53:I60">
    <cfRule type="expression" priority="4" dxfId="0">
      <formula>AND(OR($A53&lt;&gt;"",$C53&lt;&gt;""),I53="")</formula>
    </cfRule>
  </conditionalFormatting>
  <conditionalFormatting sqref="I62:I67">
    <cfRule type="expression" priority="5" dxfId="0">
      <formula>AND(OR($A62&lt;&gt;"",$C62&lt;&gt;""),I62="")</formula>
    </cfRule>
  </conditionalFormatting>
  <conditionalFormatting sqref="C16:D25">
    <cfRule type="expression" priority="6" dxfId="1">
      <formula>AND(OR($C16&lt;&gt;"",$D16&lt;&gt;""),OR($C16="",$D16=""))</formula>
    </cfRule>
  </conditionalFormatting>
  <conditionalFormatting sqref="C35:D42">
    <cfRule type="expression" priority="7" dxfId="1">
      <formula>AND(OR($C35&lt;&gt;"",$D35&lt;&gt;""),OR($C35="",$D35=""))</formula>
    </cfRule>
  </conditionalFormatting>
  <conditionalFormatting sqref="C44:D51">
    <cfRule type="expression" priority="8" dxfId="1">
      <formula>AND(OR($C44&lt;&gt;"",$D44&lt;&gt;""),OR($C44="",$D44=""))</formula>
    </cfRule>
  </conditionalFormatting>
  <conditionalFormatting sqref="C53:D60">
    <cfRule type="expression" priority="9" dxfId="1">
      <formula>AND(OR($C53&lt;&gt;"",$D53&lt;&gt;""),OR($C53="",$D53=""))</formula>
    </cfRule>
  </conditionalFormatting>
  <conditionalFormatting sqref="C62:D67">
    <cfRule type="expression" priority="10" dxfId="1">
      <formula>AND(OR($C62&lt;&gt;"",$D62&lt;&gt;""),OR($C62="",$D62=""))</formula>
    </cfRule>
  </conditionalFormatting>
  <conditionalFormatting sqref="D133">
    <cfRule type="expression" priority="11" dxfId="3">
      <formula>SEARCH("STRONG",D133)&gt;0</formula>
    </cfRule>
    <cfRule type="expression" priority="12" dxfId="4">
      <formula>SEARCH("TARGET",D133)&gt;0</formula>
    </cfRule>
    <cfRule type="expression" priority="13" dxfId="5">
      <formula>SEARCH("REVIEW",D133)&gt;0</formula>
    </cfRule>
    <cfRule type="expression" priority="14" dxfId="6">
      <formula>SEARCH("BELOW",D133)&gt;0</formula>
    </cfRule>
    <cfRule type="expression" priority="15" dxfId="5">
      <formula>SEARCH("THIN",D133)&gt;0</formula>
    </cfRule>
    <cfRule type="expression" priority="16" dxfId="6">
      <formula>SEARCH("LOSING",D133)&gt;0</formula>
    </cfRule>
  </conditionalFormatting>
  <conditionalFormatting sqref="D138">
    <cfRule type="expression" priority="17" dxfId="3">
      <formula>SEARCH("STRONG",D138)&gt;0</formula>
    </cfRule>
    <cfRule type="expression" priority="18" dxfId="4">
      <formula>SEARCH("TARGET",D138)&gt;0</formula>
    </cfRule>
    <cfRule type="expression" priority="19" dxfId="5">
      <formula>SEARCH("REVIEW",D138)&gt;0</formula>
    </cfRule>
    <cfRule type="expression" priority="20" dxfId="6">
      <formula>SEARCH("BELOW",D138)&gt;0</formula>
    </cfRule>
    <cfRule type="expression" priority="21" dxfId="5">
      <formula>SEARCH("THIN",D138)&gt;0</formula>
    </cfRule>
    <cfRule type="expression" priority="22" dxfId="6">
      <formula>SEARCH("LOSING",D138)&gt;0</formula>
    </cfRule>
  </conditionalFormatting>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'Client Setup - Sample'!$A$23:$A$33</formula1>
    </dataValidation>
    <dataValidation sqref="B113 C113 D113" showDropDown="0" showInputMessage="0" showErrorMessage="0" allowBlank="1" type="list">
      <formula1>'Client Setup - Sample'!$A$54:$A$63</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'Client Setup - Sample'!$A$67:$A$72</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2"/>
    <col width="13" customWidth="1" style="89" min="3" max="3"/>
    <col width="15" customWidth="1" style="89" min="4" max="4"/>
    <col width="15" customWidth="1" style="89" min="5" max="6"/>
    <col width="15" customWidth="1" style="90" min="6" max="6"/>
    <col width="11" customWidth="1" style="89" min="7" max="7"/>
    <col width="32" customWidth="1" style="89" min="8" max="8"/>
    <col width="21" customWidth="1" style="89" min="9" max="9"/>
    <col width="22" customWidth="1" style="89" min="10" max="10"/>
    <col width="14" customWidth="1" style="89" min="11" max="11"/>
    <col width="3" customWidth="1" style="89" min="12" max="12"/>
    <col width="20" customWidth="1" style="89" min="13" max="13"/>
    <col width="14" customWidth="1" style="89" min="14" max="14"/>
    <col width="8.710000000000001" customWidth="1" style="89" min="15" max="26"/>
  </cols>
  <sheetData>
    <row r="1" ht="55" customHeight="1" s="90">
      <c r="A1" s="245" t="n"/>
      <c r="B1" s="92" t="n"/>
      <c r="C1" s="92" t="n"/>
      <c r="D1" s="92" t="n"/>
      <c r="E1" s="92" t="n"/>
      <c r="F1" s="92" t="n"/>
      <c r="G1" s="92" t="n"/>
      <c r="H1" s="93"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Decor &amp; Production Estimate</t>
        </is>
      </c>
      <c r="B2" s="92" t="n"/>
      <c r="C2" s="92" t="n"/>
      <c r="D2" s="92" t="n"/>
      <c r="E2" s="92" t="n"/>
      <c r="F2" s="92" t="n"/>
      <c r="G2" s="92" t="n"/>
      <c r="H2" s="93" t="n"/>
      <c r="I2" s="252" t="n"/>
      <c r="J2" s="252" t="n"/>
      <c r="K2" s="252" t="n"/>
      <c r="L2" s="252" t="n"/>
      <c r="M2" s="252" t="n"/>
      <c r="N2" s="252"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253" t="n"/>
      <c r="M3" s="253" t="n"/>
      <c r="N3" s="253" t="n"/>
      <c r="O3" s="94" t="n"/>
      <c r="P3" s="94" t="n"/>
      <c r="Q3" s="94" t="n"/>
      <c r="R3" s="94" t="n"/>
      <c r="S3" s="94" t="n"/>
      <c r="T3" s="94" t="n"/>
      <c r="U3" s="94" t="n"/>
      <c r="V3" s="94" t="n"/>
      <c r="W3" s="94" t="n"/>
      <c r="X3" s="94" t="n"/>
      <c r="Y3" s="94" t="n"/>
      <c r="Z3" s="94" t="n"/>
    </row>
    <row r="4" ht="27" customHeight="1" s="90">
      <c r="A4" s="254" t="inlineStr">
        <is>
          <t>EVENT INFO (from Client Setup)</t>
        </is>
      </c>
      <c r="B4" s="92" t="n"/>
      <c r="C4" s="92" t="n"/>
      <c r="D4" s="92" t="n"/>
      <c r="E4" s="92" t="n"/>
      <c r="F4" s="92" t="n"/>
      <c r="G4" s="92" t="n"/>
      <c r="H4" s="93" t="n"/>
      <c r="I4" s="257" t="n"/>
      <c r="J4" s="254" t="inlineStr">
        <is>
          <t>DETAILED CLIENT VIEW</t>
        </is>
      </c>
      <c r="K4" s="93" t="n"/>
      <c r="L4" s="253" t="n"/>
      <c r="M4" s="254" t="inlineStr">
        <is>
          <t>SUMMARY VIEW</t>
        </is>
      </c>
      <c r="N4" s="93" t="n"/>
      <c r="O4" s="94" t="n"/>
      <c r="P4" s="94" t="n"/>
      <c r="Q4" s="94" t="n"/>
      <c r="R4" s="94" t="n"/>
      <c r="S4" s="94" t="n"/>
      <c r="T4" s="94" t="n"/>
      <c r="U4" s="94" t="n"/>
      <c r="V4" s="94" t="n"/>
      <c r="W4" s="94" t="n"/>
      <c r="X4" s="94" t="n"/>
      <c r="Y4" s="94" t="n"/>
      <c r="Z4" s="94" t="n"/>
    </row>
    <row r="5" ht="21.75" customHeight="1" s="90">
      <c r="A5" s="305" t="inlineStr">
        <is>
          <t>Client:</t>
        </is>
      </c>
      <c r="B5" s="313">
        <f>'Client Setup - Blank'!B5</f>
        <v/>
      </c>
      <c r="C5" s="93" t="n"/>
      <c r="D5" s="304" t="n"/>
      <c r="E5" s="304" t="n"/>
      <c r="F5" s="304" t="n"/>
      <c r="G5" s="304" t="n"/>
      <c r="H5" s="304" t="n"/>
      <c r="I5" s="253" t="n"/>
      <c r="J5" s="305" t="inlineStr">
        <is>
          <t>Itemized — each section is one Canva slide</t>
        </is>
      </c>
      <c r="K5" s="93" t="n"/>
      <c r="L5" s="253" t="n"/>
      <c r="M5" s="305" t="inlineStr">
        <is>
          <t>Category totals for client</t>
        </is>
      </c>
      <c r="N5" s="93" t="n"/>
      <c r="O5" s="94" t="n"/>
      <c r="P5" s="94" t="n"/>
      <c r="Q5" s="94" t="n"/>
      <c r="R5" s="94" t="n"/>
      <c r="S5" s="94" t="n"/>
      <c r="T5" s="94" t="n"/>
      <c r="U5" s="94" t="n"/>
      <c r="V5" s="94" t="n"/>
      <c r="W5" s="94" t="n"/>
      <c r="X5" s="94" t="n"/>
      <c r="Y5" s="94" t="n"/>
      <c r="Z5" s="94" t="n"/>
    </row>
    <row r="6" ht="21.75" customHeight="1" s="90">
      <c r="A6" s="305" t="inlineStr">
        <is>
          <t>Event Date:</t>
        </is>
      </c>
      <c r="B6" s="386">
        <f>'Client Setup - Blank'!B6</f>
        <v/>
      </c>
      <c r="C6" s="93" t="n"/>
      <c r="D6" s="304" t="n"/>
      <c r="E6" s="304" t="n"/>
      <c r="F6" s="304" t="n"/>
      <c r="G6" s="304" t="n"/>
      <c r="H6" s="304" t="n"/>
      <c r="I6" s="253" t="n"/>
      <c r="J6" s="253" t="n"/>
      <c r="K6" s="253" t="n"/>
      <c r="L6" s="253" t="n"/>
      <c r="M6" s="253" t="n"/>
      <c r="N6" s="253" t="n"/>
      <c r="O6" s="94" t="n"/>
      <c r="P6" s="94" t="n"/>
      <c r="Q6" s="94" t="n"/>
      <c r="R6" s="94" t="n"/>
      <c r="S6" s="94" t="n"/>
      <c r="T6" s="94" t="n"/>
      <c r="U6" s="94" t="n"/>
      <c r="V6" s="94" t="n"/>
      <c r="W6" s="94" t="n"/>
      <c r="X6" s="94" t="n"/>
      <c r="Y6" s="94" t="n"/>
      <c r="Z6" s="94" t="n"/>
    </row>
    <row r="7" ht="21.75" customHeight="1" s="90">
      <c r="A7" s="305" t="inlineStr">
        <is>
          <t>Guest Count:</t>
        </is>
      </c>
      <c r="B7" s="315">
        <f>'Client Setup - Blank'!B7</f>
        <v/>
      </c>
      <c r="C7" s="93" t="n"/>
      <c r="D7" s="304" t="n"/>
      <c r="E7" s="304" t="n"/>
      <c r="F7" s="304" t="n"/>
      <c r="G7" s="304" t="n"/>
      <c r="H7" s="304" t="n"/>
      <c r="I7" s="253" t="n"/>
      <c r="J7" s="308" t="inlineStr">
        <is>
          <t>DECOR &amp; PRODUCTION ESTIMATE</t>
        </is>
      </c>
      <c r="K7" s="93" t="n"/>
      <c r="L7" s="253" t="n"/>
      <c r="M7" s="308" t="inlineStr">
        <is>
          <t>DECOR &amp; PRODUCTION ESTIMATE</t>
        </is>
      </c>
      <c r="N7" s="93" t="n"/>
      <c r="O7" s="94" t="n"/>
      <c r="P7" s="94" t="n"/>
      <c r="Q7" s="94" t="n"/>
      <c r="R7" s="94" t="n"/>
      <c r="S7" s="94" t="n"/>
      <c r="T7" s="94" t="n"/>
      <c r="U7" s="94" t="n"/>
      <c r="V7" s="94" t="n"/>
      <c r="W7" s="94" t="n"/>
      <c r="X7" s="94" t="n"/>
      <c r="Y7" s="94" t="n"/>
      <c r="Z7" s="94" t="n"/>
    </row>
    <row r="8" ht="21.75" customHeight="1" s="90">
      <c r="A8" s="305" t="inlineStr">
        <is>
          <t>Location:</t>
        </is>
      </c>
      <c r="B8" s="313">
        <f>'Client Setup - Blank'!B16</f>
        <v/>
      </c>
      <c r="C8" s="93" t="n"/>
      <c r="D8" s="304" t="n"/>
      <c r="E8" s="304" t="n"/>
      <c r="F8" s="304" t="n"/>
      <c r="G8" s="304" t="n"/>
      <c r="H8" s="304" t="n"/>
      <c r="I8" s="253" t="n"/>
      <c r="J8" s="311">
        <f>'Client Setup - Blank'!B5</f>
        <v/>
      </c>
      <c r="K8" s="312">
        <f>'Client Setup - Blank'!B7&amp;" Guests"</f>
        <v/>
      </c>
      <c r="L8" s="253" t="n"/>
      <c r="M8" s="311">
        <f>'Client Setup - Blank'!B5</f>
        <v/>
      </c>
      <c r="N8" s="312">
        <f>'Client Setup - Blank'!B7&amp;" Guests"</f>
        <v/>
      </c>
      <c r="O8" s="94" t="n"/>
      <c r="P8" s="94" t="n"/>
      <c r="Q8" s="94" t="n"/>
      <c r="R8" s="94" t="n"/>
      <c r="S8" s="94" t="n"/>
      <c r="T8" s="94" t="n"/>
      <c r="U8" s="94" t="n"/>
      <c r="V8" s="94" t="n"/>
      <c r="W8" s="94" t="n"/>
      <c r="X8" s="94" t="n"/>
      <c r="Y8" s="94" t="n"/>
      <c r="Z8" s="94" t="n"/>
    </row>
    <row r="9" ht="21.75" customHeight="1" s="90">
      <c r="A9" s="305" t="inlineStr">
        <is>
          <t>Venue:</t>
        </is>
      </c>
      <c r="B9" s="302" t="n"/>
      <c r="C9" s="244" t="n"/>
      <c r="D9" s="304" t="n"/>
      <c r="E9" s="387" t="inlineStr">
        <is>
          <t>Event Time:</t>
        </is>
      </c>
      <c r="F9" s="388">
        <f>'Client Setup - Blank'!B10</f>
        <v/>
      </c>
      <c r="G9" s="304" t="n"/>
      <c r="H9" s="304" t="n"/>
      <c r="I9" s="253" t="n"/>
      <c r="J9" s="314">
        <f>TEXT('Client Setup - Blank'!B6,"MMMM D, YYYY")</f>
        <v/>
      </c>
      <c r="K9" s="304" t="n"/>
      <c r="L9" s="253" t="n"/>
      <c r="M9" s="314">
        <f>TEXT('Client Setup - Blank'!B6,"MMMM D, YYYY")</f>
        <v/>
      </c>
      <c r="N9" s="304" t="n"/>
      <c r="O9" s="94" t="n"/>
      <c r="P9" s="94" t="n"/>
      <c r="Q9" s="94" t="n"/>
      <c r="R9" s="94" t="n"/>
      <c r="S9" s="94" t="n"/>
      <c r="T9" s="94" t="n"/>
      <c r="U9" s="94" t="n"/>
      <c r="V9" s="94" t="n"/>
      <c r="W9" s="94" t="n"/>
      <c r="X9" s="94" t="n"/>
      <c r="Y9" s="94" t="n"/>
      <c r="Z9" s="94" t="n"/>
    </row>
    <row r="10" ht="15" customHeight="1" s="90">
      <c r="A10" s="318" t="inlineStr">
        <is>
          <t>Company:</t>
        </is>
      </c>
      <c r="B10" s="318">
        <f>'Client Setup - Blank'!B11</f>
        <v/>
      </c>
      <c r="C10" s="280" t="n"/>
      <c r="D10" s="280" t="n"/>
      <c r="E10" s="280" t="n"/>
      <c r="F10" s="280" t="n"/>
      <c r="G10" s="280" t="n"/>
      <c r="H10" s="280" t="n"/>
      <c r="I10" s="280" t="n"/>
      <c r="J10" s="280" t="n"/>
      <c r="K10" s="280" t="n"/>
      <c r="L10" s="280" t="n"/>
      <c r="M10" s="280" t="n"/>
      <c r="N10" s="280" t="n"/>
    </row>
    <row r="11" ht="25.5" customHeight="1" s="90">
      <c r="A11" s="318" t="inlineStr">
        <is>
          <t>Program:</t>
        </is>
      </c>
      <c r="B11" s="318">
        <f>'Client Setup - Blank'!B12</f>
        <v/>
      </c>
      <c r="C11" s="280" t="n"/>
      <c r="D11" s="280" t="n"/>
      <c r="E11" s="280" t="n"/>
      <c r="F11" s="280" t="n"/>
      <c r="G11" s="280" t="n"/>
      <c r="H11" s="280" t="n"/>
      <c r="I11" s="280" t="n"/>
      <c r="J11" s="280" t="n"/>
      <c r="K11" s="280" t="n"/>
      <c r="L11" s="280" t="n"/>
      <c r="M11" s="280" t="n"/>
      <c r="N11" s="280" t="n"/>
    </row>
    <row r="12" ht="27.75" customHeight="1" s="90">
      <c r="A12" s="318" t="inlineStr">
        <is>
          <t>Client Hotel:</t>
        </is>
      </c>
      <c r="B12" s="318">
        <f>'Client Setup - Blank'!B13</f>
        <v/>
      </c>
      <c r="C12" s="280" t="n"/>
      <c r="D12" s="280" t="n"/>
      <c r="E12" s="280" t="n"/>
      <c r="F12" s="280" t="n"/>
      <c r="G12" s="280" t="n"/>
      <c r="H12" s="280" t="n"/>
      <c r="I12" s="280" t="n"/>
      <c r="J12" s="280" t="n"/>
      <c r="K12" s="280" t="n"/>
      <c r="L12" s="280" t="n"/>
      <c r="M12" s="280" t="n"/>
      <c r="N12" s="280" t="n"/>
    </row>
    <row r="13" ht="25" customHeight="1" s="90">
      <c r="A13" s="328" t="inlineStr">
        <is>
          <t>FLORALS</t>
        </is>
      </c>
      <c r="B13" s="329" t="n"/>
      <c r="C13" s="329" t="n"/>
      <c r="D13" s="329" t="n"/>
      <c r="E13" s="329" t="n"/>
      <c r="F13" s="329" t="n"/>
      <c r="G13" s="329" t="n"/>
      <c r="H13" s="329" t="n"/>
      <c r="I13" s="389" t="n"/>
      <c r="J13" s="253" t="n"/>
      <c r="K13" s="253" t="n"/>
      <c r="L13" s="253" t="n"/>
      <c r="M13" s="253" t="n"/>
      <c r="N13" s="253" t="n"/>
      <c r="O13" s="94" t="n"/>
      <c r="P13" s="94" t="n"/>
      <c r="Q13" s="94" t="n"/>
      <c r="R13" s="94" t="n"/>
      <c r="S13" s="94" t="n"/>
      <c r="T13" s="94" t="n"/>
      <c r="U13" s="94" t="n"/>
      <c r="V13" s="94" t="n"/>
      <c r="W13" s="94" t="n"/>
      <c r="X13" s="94" t="n"/>
      <c r="Y13" s="94" t="n"/>
      <c r="Z13" s="94" t="n"/>
    </row>
    <row r="14" ht="23" customHeight="1" s="90">
      <c r="A14" s="273" t="inlineStr">
        <is>
          <t>Item</t>
        </is>
      </c>
      <c r="B14" s="273" t="inlineStr">
        <is>
          <t>Vendor</t>
        </is>
      </c>
      <c r="C14" s="273" t="inlineStr">
        <is>
          <t>Qty</t>
        </is>
      </c>
      <c r="D14" s="273" t="inlineStr">
        <is>
          <t>Unit Price</t>
        </is>
      </c>
      <c r="E14" s="273" t="inlineStr">
        <is>
          <t>Our Cost</t>
        </is>
      </c>
      <c r="F14" s="273" t="inlineStr">
        <is>
          <t>Client Cost</t>
        </is>
      </c>
      <c r="G14" s="273" t="inlineStr">
        <is>
          <t>Tax Rate</t>
        </is>
      </c>
      <c r="H14" s="273" t="inlineStr">
        <is>
          <t>Notes / Description</t>
        </is>
      </c>
      <c r="I14" s="272" t="inlineStr">
        <is>
          <t>Category</t>
        </is>
      </c>
      <c r="J14" s="421" t="inlineStr">
        <is>
          <t>ITEM</t>
        </is>
      </c>
      <c r="K14" s="422" t="inlineStr">
        <is>
          <t>AMOUNT</t>
        </is>
      </c>
      <c r="L14" s="253" t="n"/>
      <c r="M14" s="328" t="inlineStr">
        <is>
          <t>Category</t>
        </is>
      </c>
      <c r="N14" s="308" t="inlineStr">
        <is>
          <t>Amount</t>
        </is>
      </c>
      <c r="O14" s="94" t="n"/>
      <c r="P14" s="94" t="n"/>
      <c r="Q14" s="94" t="n"/>
      <c r="R14" s="94" t="n"/>
      <c r="S14" s="94" t="n"/>
      <c r="T14" s="94" t="n"/>
      <c r="U14" s="94" t="n"/>
      <c r="V14" s="94" t="n"/>
      <c r="W14" s="94" t="n"/>
      <c r="X14" s="94" t="n"/>
      <c r="Y14" s="94" t="n"/>
      <c r="Z14" s="94" t="n"/>
    </row>
    <row r="15" ht="25" customHeight="1" s="90">
      <c r="A15" s="328" t="inlineStr">
        <is>
          <t>TAXABLE FLORAL PRODUCT</t>
        </is>
      </c>
      <c r="B15" s="329" t="n"/>
      <c r="C15" s="329" t="n"/>
      <c r="D15" s="329" t="n"/>
      <c r="E15" s="329" t="n"/>
      <c r="F15" s="329" t="n"/>
      <c r="G15" s="329" t="n"/>
      <c r="H15" s="329" t="n"/>
      <c r="I15" s="389" t="n"/>
      <c r="J15" s="321">
        <f>A13</f>
        <v/>
      </c>
      <c r="K15" s="319" t="n"/>
      <c r="L15" s="253" t="n"/>
      <c r="M15" s="321">
        <f>A13</f>
        <v/>
      </c>
      <c r="N15" s="322">
        <f>ROUNDUP(SUM(F16:F25)/50,0)*50</f>
        <v/>
      </c>
      <c r="O15" s="94" t="n"/>
      <c r="P15" s="94" t="n"/>
      <c r="Q15" s="94" t="n"/>
      <c r="R15" s="94" t="n"/>
      <c r="S15" s="94" t="n"/>
      <c r="T15" s="94" t="n"/>
      <c r="U15" s="94" t="n"/>
      <c r="V15" s="94" t="n"/>
      <c r="W15" s="94" t="n"/>
      <c r="X15" s="94" t="n"/>
      <c r="Y15" s="94" t="n"/>
      <c r="Z15" s="94" t="n"/>
    </row>
    <row r="16" ht="20" customHeight="1" s="90">
      <c r="A16" s="390" t="n"/>
      <c r="B16" s="391" t="n"/>
      <c r="C16" s="350" t="n"/>
      <c r="D16" s="334" t="n"/>
      <c r="E16" s="335">
        <f>C16*D16</f>
        <v/>
      </c>
      <c r="F16" s="335">
        <f>IFERROR(E16*(1+VLOOKUP(I16,'Client Setup - Blank'!$A$23:$B$33,2,FALSE)),0)</f>
        <v/>
      </c>
      <c r="G16" s="336">
        <f>'Client Setup - Blank'!B19</f>
        <v/>
      </c>
      <c r="H16" s="392" t="n"/>
      <c r="I16" s="351" t="n"/>
      <c r="J16" s="321">
        <f>IF(A16="","",A16&amp;" x"&amp;C16)</f>
        <v/>
      </c>
      <c r="K16" s="322">
        <f>IF(A16="","",ROUNDUP(F16/10,0)*10)</f>
        <v/>
      </c>
      <c r="L16" s="253" t="n"/>
      <c r="M16" s="321" t="inlineStr">
        <is>
          <t>Seating</t>
        </is>
      </c>
      <c r="N16" s="322">
        <f>ROUNDUP(SUM(F35:F42)/50,0)*50</f>
        <v/>
      </c>
      <c r="O16" s="94" t="n"/>
      <c r="P16" s="94" t="n"/>
      <c r="Q16" s="94" t="n"/>
      <c r="R16" s="94" t="n"/>
      <c r="S16" s="94" t="n"/>
      <c r="T16" s="94" t="n"/>
      <c r="U16" s="94" t="n"/>
      <c r="V16" s="94" t="n"/>
      <c r="W16" s="94" t="n"/>
      <c r="X16" s="94" t="n"/>
      <c r="Y16" s="94" t="n"/>
      <c r="Z16" s="94" t="n"/>
    </row>
    <row r="17" ht="20" customHeight="1" s="90">
      <c r="A17" s="393" t="n"/>
      <c r="B17" s="394" t="n"/>
      <c r="C17" s="354" t="n"/>
      <c r="D17" s="343" t="n"/>
      <c r="E17" s="344">
        <f>C17*D17</f>
        <v/>
      </c>
      <c r="F17" s="344">
        <f>IFERROR(E17*(1+VLOOKUP(I17,'Client Setup - Blank'!$A$23:$B$33,2,FALSE)),0)</f>
        <v/>
      </c>
      <c r="G17" s="345">
        <f>'Client Setup - Blank'!B19</f>
        <v/>
      </c>
      <c r="H17" s="395" t="n"/>
      <c r="I17" s="355" t="n"/>
      <c r="J17" s="321">
        <f>IF(A17="","",A17&amp;" x"&amp;C17)</f>
        <v/>
      </c>
      <c r="K17" s="322">
        <f>IF(A17="","",ROUNDUP(F17/10,0)*10)</f>
        <v/>
      </c>
      <c r="L17" s="253" t="n"/>
      <c r="M17" s="321" t="inlineStr">
        <is>
          <t>Lounge Furniture</t>
        </is>
      </c>
      <c r="N17" s="322">
        <f>ROUNDUP(SUM(F44:F51)/50,0)*50</f>
        <v/>
      </c>
      <c r="O17" s="94" t="n"/>
      <c r="P17" s="94" t="n"/>
      <c r="Q17" s="94" t="n"/>
      <c r="R17" s="94" t="n"/>
      <c r="S17" s="94" t="n"/>
      <c r="T17" s="94" t="n"/>
      <c r="U17" s="94" t="n"/>
      <c r="V17" s="94" t="n"/>
      <c r="W17" s="94" t="n"/>
      <c r="X17" s="94" t="n"/>
      <c r="Y17" s="94" t="n"/>
      <c r="Z17" s="94" t="n"/>
    </row>
    <row r="18" ht="20" customHeight="1" s="90">
      <c r="A18" s="390" t="n"/>
      <c r="B18" s="391" t="n"/>
      <c r="C18" s="350" t="n"/>
      <c r="D18" s="334" t="n"/>
      <c r="E18" s="335">
        <f>C18*D18</f>
        <v/>
      </c>
      <c r="F18" s="335">
        <f>IFERROR(E18*(1+VLOOKUP(I18,'Client Setup - Blank'!$A$23:$B$33,2,FALSE)),0)</f>
        <v/>
      </c>
      <c r="G18" s="336">
        <f>'Client Setup - Blank'!B19</f>
        <v/>
      </c>
      <c r="H18" s="392" t="n"/>
      <c r="I18" s="351" t="n"/>
      <c r="J18" s="321">
        <f>IF(A18="","",A18&amp;" x"&amp;C18)</f>
        <v/>
      </c>
      <c r="K18" s="322">
        <f>IF(A18="","",ROUNDUP(F18/10,0)*10)</f>
        <v/>
      </c>
      <c r="L18" s="253" t="n"/>
      <c r="M18" s="321" t="inlineStr">
        <is>
          <t>Tables</t>
        </is>
      </c>
      <c r="N18" s="322">
        <f>ROUNDUP(SUM(F53:F60)/50,0)*50</f>
        <v/>
      </c>
      <c r="O18" s="94" t="n"/>
      <c r="P18" s="94" t="n"/>
      <c r="Q18" s="94" t="n"/>
      <c r="R18" s="94" t="n"/>
      <c r="S18" s="94" t="n"/>
      <c r="T18" s="94" t="n"/>
      <c r="U18" s="94" t="n"/>
      <c r="V18" s="94" t="n"/>
      <c r="W18" s="94" t="n"/>
      <c r="X18" s="94" t="n"/>
      <c r="Y18" s="94" t="n"/>
      <c r="Z18" s="94" t="n"/>
    </row>
    <row r="19" ht="20" customHeight="1" s="90">
      <c r="A19" s="393" t="n"/>
      <c r="B19" s="394" t="n"/>
      <c r="C19" s="354" t="n"/>
      <c r="D19" s="343" t="n"/>
      <c r="E19" s="344">
        <f>C19*D19</f>
        <v/>
      </c>
      <c r="F19" s="344">
        <f>IFERROR(E19*(1+VLOOKUP(I19,'Client Setup - Blank'!$A$23:$B$33,2,FALSE)),0)</f>
        <v/>
      </c>
      <c r="G19" s="345">
        <f>'Client Setup - Blank'!B19</f>
        <v/>
      </c>
      <c r="H19" s="395" t="n"/>
      <c r="I19" s="355" t="n"/>
      <c r="J19" s="321">
        <f>IF(A19="","",A19&amp;" x"&amp;C19)</f>
        <v/>
      </c>
      <c r="K19" s="322">
        <f>IF(A19="","",ROUNDUP(F19/10,0)*10)</f>
        <v/>
      </c>
      <c r="L19" s="253" t="n"/>
      <c r="M19" s="321" t="inlineStr">
        <is>
          <t>Decor &amp; Accessories</t>
        </is>
      </c>
      <c r="N19" s="322">
        <f>ROUNDUP(SUM(F62:F67)/50,0)*50</f>
        <v/>
      </c>
      <c r="O19" s="94" t="n"/>
      <c r="P19" s="94" t="n"/>
      <c r="Q19" s="94" t="n"/>
      <c r="R19" s="94" t="n"/>
      <c r="S19" s="94" t="n"/>
      <c r="T19" s="94" t="n"/>
      <c r="U19" s="94" t="n"/>
      <c r="V19" s="94" t="n"/>
      <c r="W19" s="94" t="n"/>
      <c r="X19" s="94" t="n"/>
      <c r="Y19" s="94" t="n"/>
      <c r="Z19" s="94" t="n"/>
    </row>
    <row r="20" ht="20" customHeight="1" s="90">
      <c r="A20" s="390" t="n"/>
      <c r="B20" s="391" t="n"/>
      <c r="C20" s="350" t="n"/>
      <c r="D20" s="334" t="n"/>
      <c r="E20" s="335">
        <f>C20*D20</f>
        <v/>
      </c>
      <c r="F20" s="335">
        <f>IFERROR(E20*(1+VLOOKUP(I20,'Client Setup - Blank'!$A$23:$B$33,2,FALSE)),0)</f>
        <v/>
      </c>
      <c r="G20" s="336">
        <f>'Client Setup - Blank'!B19</f>
        <v/>
      </c>
      <c r="H20" s="392" t="n"/>
      <c r="I20" s="351" t="n"/>
      <c r="J20" s="321">
        <f>IF(A20="","",A20&amp;" x"&amp;C20)</f>
        <v/>
      </c>
      <c r="K20" s="322">
        <f>IF(A20="","",ROUNDUP(F20/10,0)*10)</f>
        <v/>
      </c>
      <c r="L20" s="253" t="n"/>
      <c r="M20" s="321" t="inlineStr">
        <is>
          <t>Delivery &amp; Fees</t>
        </is>
      </c>
      <c r="N20" s="322">
        <f>ROUNDUP((SUM(F27:F29)+SUM(F69:F74)+SUM(F91:F95))/50,0)*50</f>
        <v/>
      </c>
      <c r="O20" s="94" t="n"/>
      <c r="P20" s="94" t="n"/>
      <c r="Q20" s="94" t="n"/>
      <c r="R20" s="94" t="n"/>
      <c r="S20" s="94" t="n"/>
      <c r="T20" s="94" t="n"/>
      <c r="U20" s="94" t="n"/>
      <c r="V20" s="94" t="n"/>
      <c r="W20" s="94" t="n"/>
      <c r="X20" s="94" t="n"/>
      <c r="Y20" s="94" t="n"/>
      <c r="Z20" s="94" t="n"/>
    </row>
    <row r="21" ht="20" customHeight="1" s="90">
      <c r="A21" s="393" t="n"/>
      <c r="B21" s="394" t="n"/>
      <c r="C21" s="354" t="n"/>
      <c r="D21" s="343" t="n"/>
      <c r="E21" s="344">
        <f>C21*D21</f>
        <v/>
      </c>
      <c r="F21" s="344">
        <f>IFERROR(E21*(1+VLOOKUP(I21,'Client Setup - Blank'!$A$23:$B$33,2,FALSE)),0)</f>
        <v/>
      </c>
      <c r="G21" s="345">
        <f>'Client Setup - Blank'!B19</f>
        <v/>
      </c>
      <c r="H21" s="395" t="n"/>
      <c r="I21" s="355" t="n"/>
      <c r="J21" s="321">
        <f>IF(A21="","",A21&amp;" x"&amp;C21)</f>
        <v/>
      </c>
      <c r="K21" s="322">
        <f>IF(A21="","",ROUNDUP(F21/10,0)*10)</f>
        <v/>
      </c>
      <c r="L21" s="253" t="n"/>
      <c r="M21" s="321">
        <f>A77</f>
        <v/>
      </c>
      <c r="N21" s="322">
        <f>ROUNDUP(SUM(F80:F89)/50,0)*50</f>
        <v/>
      </c>
      <c r="O21" s="94" t="n"/>
      <c r="P21" s="94" t="n"/>
      <c r="Q21" s="94" t="n"/>
      <c r="R21" s="94" t="n"/>
      <c r="S21" s="94" t="n"/>
      <c r="T21" s="94" t="n"/>
      <c r="U21" s="94" t="n"/>
      <c r="V21" s="94" t="n"/>
      <c r="W21" s="94" t="n"/>
      <c r="X21" s="94" t="n"/>
      <c r="Y21" s="94" t="n"/>
      <c r="Z21" s="94" t="n"/>
    </row>
    <row r="22" ht="20" customHeight="1" s="90">
      <c r="A22" s="390" t="n"/>
      <c r="B22" s="391" t="n"/>
      <c r="C22" s="350" t="n"/>
      <c r="D22" s="334" t="n"/>
      <c r="E22" s="335">
        <f>C22*D22</f>
        <v/>
      </c>
      <c r="F22" s="335">
        <f>IFERROR(E22*(1+VLOOKUP(I22,'Client Setup - Blank'!$A$23:$B$33,2,FALSE)),0)</f>
        <v/>
      </c>
      <c r="G22" s="336">
        <f>'Client Setup - Blank'!B19</f>
        <v/>
      </c>
      <c r="H22" s="392" t="n"/>
      <c r="I22" s="351" t="n"/>
      <c r="J22" s="321">
        <f>IF(A22="","",A22&amp;" x"&amp;C22)</f>
        <v/>
      </c>
      <c r="K22" s="322">
        <f>IF(A22="","",ROUNDUP(F22/10,0)*10)</f>
        <v/>
      </c>
      <c r="L22" s="253" t="n"/>
      <c r="M22" s="321" t="inlineStr">
        <is>
          <t>Tax</t>
        </is>
      </c>
      <c r="N22" s="322">
        <f>ROUNDUP(F100/50,0)*50</f>
        <v/>
      </c>
      <c r="O22" s="94" t="n"/>
      <c r="P22" s="94" t="n"/>
      <c r="Q22" s="94" t="n"/>
      <c r="R22" s="94" t="n"/>
      <c r="S22" s="94" t="n"/>
      <c r="T22" s="94" t="n"/>
      <c r="U22" s="94" t="n"/>
      <c r="V22" s="94" t="n"/>
      <c r="W22" s="94" t="n"/>
      <c r="X22" s="94" t="n"/>
      <c r="Y22" s="94" t="n"/>
      <c r="Z22" s="94" t="n"/>
    </row>
    <row r="23" ht="20" customHeight="1" s="90">
      <c r="A23" s="393" t="n"/>
      <c r="B23" s="394" t="n"/>
      <c r="C23" s="354" t="n"/>
      <c r="D23" s="343" t="n"/>
      <c r="E23" s="344">
        <f>C23*D23</f>
        <v/>
      </c>
      <c r="F23" s="344">
        <f>IFERROR(E23*(1+VLOOKUP(I23,'Client Setup - Blank'!$A$23:$B$33,2,FALSE)),0)</f>
        <v/>
      </c>
      <c r="G23" s="345">
        <f>'Client Setup - Blank'!B19</f>
        <v/>
      </c>
      <c r="H23" s="395" t="n"/>
      <c r="I23" s="355" t="n"/>
      <c r="J23" s="321">
        <f>IF(A23="","",A23&amp;" x"&amp;C23)</f>
        <v/>
      </c>
      <c r="K23" s="322">
        <f>IF(A23="","",ROUNDUP(F23/10,0)*10)</f>
        <v/>
      </c>
      <c r="L23" s="253" t="n"/>
      <c r="M23" s="396" t="n"/>
      <c r="N23" s="396" t="n"/>
      <c r="O23" s="94" t="n"/>
      <c r="P23" s="94" t="n"/>
      <c r="Q23" s="94" t="n"/>
      <c r="R23" s="94" t="n"/>
      <c r="S23" s="94" t="n"/>
      <c r="T23" s="94" t="n"/>
      <c r="U23" s="94" t="n"/>
      <c r="V23" s="94" t="n"/>
      <c r="W23" s="94" t="n"/>
      <c r="X23" s="94" t="n"/>
      <c r="Y23" s="94" t="n"/>
      <c r="Z23" s="94" t="n"/>
    </row>
    <row r="24" ht="20" customHeight="1" s="90">
      <c r="A24" s="390" t="n"/>
      <c r="B24" s="391" t="n"/>
      <c r="C24" s="350" t="n"/>
      <c r="D24" s="334" t="n"/>
      <c r="E24" s="335">
        <f>C24*D24</f>
        <v/>
      </c>
      <c r="F24" s="335">
        <f>IFERROR(E24*(1+VLOOKUP(I24,'Client Setup - Blank'!$A$23:$B$33,2,FALSE)),0)</f>
        <v/>
      </c>
      <c r="G24" s="336">
        <f>'Client Setup - Blank'!B19</f>
        <v/>
      </c>
      <c r="H24" s="392" t="n"/>
      <c r="I24" s="351" t="n"/>
      <c r="J24" s="321">
        <f>IF(A24="","",A24&amp;" x"&amp;C24)</f>
        <v/>
      </c>
      <c r="K24" s="322">
        <f>IF(A24="","",ROUNDUP(F24/10,0)*10)</f>
        <v/>
      </c>
      <c r="L24" s="253" t="n"/>
      <c r="M24" s="330" t="inlineStr">
        <is>
          <t>TOTAL ESTIMATE</t>
        </is>
      </c>
      <c r="N24" s="331">
        <f>SUM(N15:N22)+ROUNDUP((F102+F103)/50,0)*50</f>
        <v/>
      </c>
      <c r="O24" s="94" t="n"/>
      <c r="P24" s="94" t="n"/>
      <c r="Q24" s="94" t="n"/>
      <c r="R24" s="94" t="n"/>
      <c r="S24" s="94" t="n"/>
      <c r="T24" s="94" t="n"/>
      <c r="U24" s="94" t="n"/>
      <c r="V24" s="94" t="n"/>
      <c r="W24" s="94" t="n"/>
      <c r="X24" s="94" t="n"/>
      <c r="Y24" s="94" t="n"/>
      <c r="Z24" s="94" t="n"/>
    </row>
    <row r="25" ht="20" customHeight="1" s="90">
      <c r="A25" s="393" t="n"/>
      <c r="B25" s="394" t="n"/>
      <c r="C25" s="354" t="n"/>
      <c r="D25" s="343" t="n"/>
      <c r="E25" s="344">
        <f>C25*D25</f>
        <v/>
      </c>
      <c r="F25" s="344">
        <f>IFERROR(E25*(1+VLOOKUP(I25,'Client Setup - Blank'!$A$23:$B$33,2,FALSE)),0)</f>
        <v/>
      </c>
      <c r="G25" s="345">
        <f>'Client Setup - Blank'!B19</f>
        <v/>
      </c>
      <c r="H25" s="395" t="n"/>
      <c r="I25" s="355" t="n"/>
      <c r="J25" s="321">
        <f>IF(A25="","",A25&amp;" x"&amp;C25)</f>
        <v/>
      </c>
      <c r="K25" s="322">
        <f>IF(A25="","",ROUNDUP(F25/10,0)*10)</f>
        <v/>
      </c>
      <c r="L25" s="253" t="n"/>
      <c r="M25" s="338" t="inlineStr">
        <is>
          <t>Guest Count</t>
        </is>
      </c>
      <c r="N25" s="339">
        <f>'Client Setup - Blank'!B7</f>
        <v/>
      </c>
      <c r="O25" s="94" t="n"/>
      <c r="P25" s="94" t="n"/>
      <c r="Q25" s="94" t="n"/>
      <c r="R25" s="94" t="n"/>
      <c r="S25" s="94" t="n"/>
      <c r="T25" s="94" t="n"/>
      <c r="U25" s="94" t="n"/>
      <c r="V25" s="94" t="n"/>
      <c r="W25" s="94" t="n"/>
      <c r="X25" s="94" t="n"/>
      <c r="Y25" s="94" t="n"/>
      <c r="Z25" s="94" t="n"/>
    </row>
    <row r="26" ht="25" customHeight="1" s="90">
      <c r="A26" s="328" t="inlineStr">
        <is>
          <t>NON-TAXABLE FLORAL FEES</t>
        </is>
      </c>
      <c r="B26" s="329" t="n"/>
      <c r="C26" s="329" t="n"/>
      <c r="D26" s="329" t="n"/>
      <c r="E26" s="329" t="n"/>
      <c r="F26" s="329" t="n"/>
      <c r="G26" s="329" t="n"/>
      <c r="H26" s="329" t="n"/>
      <c r="I26" s="389" t="n"/>
      <c r="J26" s="321">
        <f>IF(A27="","",A27)</f>
        <v/>
      </c>
      <c r="K26" s="322">
        <f>IF(A27="","",ROUNDUP(F27/10,0)*10)</f>
        <v/>
      </c>
      <c r="L26" s="253" t="n"/>
      <c r="M26" s="397" t="n"/>
      <c r="N26" s="397" t="n"/>
      <c r="O26" s="94" t="n"/>
      <c r="P26" s="94" t="n"/>
      <c r="Q26" s="94" t="n"/>
      <c r="R26" s="94" t="n"/>
      <c r="S26" s="94" t="n"/>
      <c r="T26" s="94" t="n"/>
      <c r="U26" s="94" t="n"/>
      <c r="V26" s="94" t="n"/>
      <c r="W26" s="94" t="n"/>
      <c r="X26" s="94" t="n"/>
      <c r="Y26" s="94" t="n"/>
      <c r="Z26" s="94" t="n"/>
    </row>
    <row r="27" ht="20" customHeight="1" s="90">
      <c r="A27" s="390" t="n"/>
      <c r="B27" s="391" t="n"/>
      <c r="C27" s="398" t="n"/>
      <c r="D27" s="334" t="n"/>
      <c r="E27" s="335">
        <f>D27</f>
        <v/>
      </c>
      <c r="F27" s="335">
        <f>IFERROR(E27*(1+VLOOKUP(I27,'Client Setup - Blank'!$A$23:$B$33,2,FALSE)),0)</f>
        <v/>
      </c>
      <c r="G27" s="336" t="n">
        <v>0</v>
      </c>
      <c r="H27" s="392" t="n"/>
      <c r="I27" s="351" t="inlineStr">
        <is>
          <t>Delivery &amp; Logistics</t>
        </is>
      </c>
      <c r="J27" s="321">
        <f>IF(A28="","",A28)</f>
        <v/>
      </c>
      <c r="K27" s="322">
        <f>IF(A28="","",ROUNDUP(F28/10,0)*10)</f>
        <v/>
      </c>
      <c r="L27" s="253" t="n"/>
      <c r="M27" s="253" t="n"/>
      <c r="N27" s="253" t="n"/>
      <c r="O27" s="94" t="n"/>
      <c r="P27" s="94" t="n"/>
      <c r="Q27" s="94" t="n"/>
      <c r="R27" s="94" t="n"/>
      <c r="S27" s="94" t="n"/>
      <c r="T27" s="94" t="n"/>
      <c r="U27" s="94" t="n"/>
      <c r="V27" s="94" t="n"/>
      <c r="W27" s="94" t="n"/>
      <c r="X27" s="94" t="n"/>
      <c r="Y27" s="94" t="n"/>
      <c r="Z27" s="94" t="n"/>
    </row>
    <row r="28" ht="20" customHeight="1" s="90">
      <c r="A28" s="393" t="n"/>
      <c r="B28" s="394" t="n"/>
      <c r="C28" s="399" t="n"/>
      <c r="D28" s="343" t="n"/>
      <c r="E28" s="344">
        <f>D28</f>
        <v/>
      </c>
      <c r="F28" s="344">
        <f>IFERROR(E28*(1+VLOOKUP(I28,'Client Setup - Blank'!$A$23:$B$33,2,FALSE)),0)</f>
        <v/>
      </c>
      <c r="G28" s="345" t="n">
        <v>0</v>
      </c>
      <c r="H28" s="395" t="n"/>
      <c r="I28" s="355" t="inlineStr">
        <is>
          <t>Delivery &amp; Logistics</t>
        </is>
      </c>
      <c r="J28" s="321">
        <f>IF(A29="","",A29)</f>
        <v/>
      </c>
      <c r="K28" s="322">
        <f>IF(A29="","",ROUNDUP(F29/10,0)*10)</f>
        <v/>
      </c>
      <c r="L28" s="253" t="n"/>
      <c r="M28" s="323" t="inlineStr">
        <is>
          <t>TEAM NOTES</t>
        </is>
      </c>
      <c r="N28" s="324" t="n"/>
      <c r="O28" s="94" t="n"/>
      <c r="P28" s="94" t="n"/>
      <c r="Q28" s="94" t="n"/>
      <c r="R28" s="94" t="n"/>
      <c r="S28" s="94" t="n"/>
      <c r="T28" s="94" t="n"/>
      <c r="U28" s="94" t="n"/>
      <c r="V28" s="94" t="n"/>
      <c r="W28" s="94" t="n"/>
      <c r="X28" s="94" t="n"/>
      <c r="Y28" s="94" t="n"/>
      <c r="Z28" s="94" t="n"/>
    </row>
    <row r="29" ht="20" customHeight="1" s="90">
      <c r="A29" s="390" t="n"/>
      <c r="B29" s="391" t="n"/>
      <c r="C29" s="398" t="n"/>
      <c r="D29" s="334" t="n"/>
      <c r="E29" s="335">
        <f>D29</f>
        <v/>
      </c>
      <c r="F29" s="335">
        <f>IFERROR(E29*(1+VLOOKUP(I29,'Client Setup - Blank'!$A$23:$B$33,2,FALSE)),0)</f>
        <v/>
      </c>
      <c r="G29" s="336" t="n">
        <v>0</v>
      </c>
      <c r="H29" s="392" t="n"/>
      <c r="I29" s="351" t="inlineStr">
        <is>
          <t>Delivery &amp; Logistics</t>
        </is>
      </c>
      <c r="J29" s="423" t="inlineStr">
        <is>
          <t>Floral Subtotal</t>
        </is>
      </c>
      <c r="K29" s="424">
        <f>SUM(K16:K28)</f>
        <v/>
      </c>
      <c r="L29" s="253" t="n"/>
      <c r="M29" s="352" t="n"/>
      <c r="N29" s="324" t="n"/>
      <c r="O29" s="94" t="n"/>
      <c r="P29" s="94" t="n"/>
      <c r="Q29" s="94" t="n"/>
      <c r="R29" s="94" t="n"/>
      <c r="S29" s="94" t="n"/>
      <c r="T29" s="94" t="n"/>
      <c r="U29" s="94" t="n"/>
      <c r="V29" s="94" t="n"/>
      <c r="W29" s="94" t="n"/>
      <c r="X29" s="94" t="n"/>
      <c r="Y29" s="94" t="n"/>
      <c r="Z29" s="94" t="n"/>
    </row>
    <row r="30" ht="22" customHeight="1" s="90">
      <c r="A30" s="359" t="inlineStr">
        <is>
          <t>FLORAL SUBTOTAL</t>
        </is>
      </c>
      <c r="B30" s="362" t="n"/>
      <c r="C30" s="362" t="n"/>
      <c r="D30" s="362" t="n"/>
      <c r="E30" s="361">
        <f>SUM(E16:E25)+SUM(E27:E29)</f>
        <v/>
      </c>
      <c r="F30" s="361">
        <f>SUM(F16:F25)+SUM(F27:F29)</f>
        <v/>
      </c>
      <c r="G30" s="362" t="n"/>
      <c r="H30" s="362" t="n"/>
      <c r="I30" s="362" t="n"/>
      <c r="J30" s="327" t="n"/>
      <c r="K30" s="327" t="n"/>
      <c r="L30" s="253" t="n"/>
      <c r="M30" s="352" t="n"/>
      <c r="N30" s="324" t="n"/>
      <c r="O30" s="94" t="n"/>
      <c r="P30" s="94" t="n"/>
      <c r="Q30" s="94" t="n"/>
      <c r="R30" s="94" t="n"/>
      <c r="S30" s="94" t="n"/>
      <c r="T30" s="94" t="n"/>
      <c r="U30" s="94" t="n"/>
      <c r="V30" s="94" t="n"/>
      <c r="W30" s="94" t="n"/>
      <c r="X30" s="94" t="n"/>
      <c r="Y30" s="94" t="n"/>
      <c r="Z30" s="94" t="n"/>
    </row>
    <row r="31" ht="21.75" customHeight="1" s="90">
      <c r="A31" s="253" t="n"/>
      <c r="B31" s="253" t="n"/>
      <c r="C31" s="253" t="n"/>
      <c r="D31" s="253" t="n"/>
      <c r="E31" s="253" t="n"/>
      <c r="F31" s="253" t="n"/>
      <c r="G31" s="253" t="n"/>
      <c r="H31" s="253" t="n"/>
      <c r="I31" s="253" t="n"/>
      <c r="J31" s="321">
        <f>A32</f>
        <v/>
      </c>
      <c r="K31" s="319" t="n"/>
      <c r="L31" s="253" t="n"/>
      <c r="M31" s="352" t="n"/>
      <c r="N31" s="324" t="n"/>
      <c r="O31" s="94" t="n"/>
      <c r="P31" s="94" t="n"/>
      <c r="Q31" s="94" t="n"/>
      <c r="R31" s="94" t="n"/>
      <c r="S31" s="94" t="n"/>
      <c r="T31" s="94" t="n"/>
      <c r="U31" s="94" t="n"/>
      <c r="V31" s="94" t="n"/>
      <c r="W31" s="94" t="n"/>
      <c r="X31" s="94" t="n"/>
      <c r="Y31" s="94" t="n"/>
      <c r="Z31" s="94" t="n"/>
    </row>
    <row r="32" ht="27" customHeight="1" s="90">
      <c r="A32" s="254" t="inlineStr">
        <is>
          <t>RENTALS &amp; LOUNGE</t>
        </is>
      </c>
      <c r="B32" s="269" t="n"/>
      <c r="C32" s="269" t="n"/>
      <c r="D32" s="269" t="n"/>
      <c r="E32" s="269" t="n"/>
      <c r="F32" s="269" t="n"/>
      <c r="G32" s="269" t="n"/>
      <c r="H32" s="269" t="n"/>
      <c r="I32" s="257" t="n"/>
      <c r="J32" s="321">
        <f>IF(A35="","",A35&amp;" x"&amp;C35)</f>
        <v/>
      </c>
      <c r="K32" s="322">
        <f>IF(A35="","",ROUNDUP(F35/10,0)*10)</f>
        <v/>
      </c>
      <c r="L32" s="253" t="n"/>
      <c r="M32" s="352" t="n"/>
      <c r="N32" s="324" t="n"/>
      <c r="O32" s="94" t="n"/>
      <c r="P32" s="94" t="n"/>
      <c r="Q32" s="94" t="n"/>
      <c r="R32" s="94" t="n"/>
      <c r="S32" s="94" t="n"/>
      <c r="T32" s="94" t="n"/>
      <c r="U32" s="94" t="n"/>
      <c r="V32" s="94" t="n"/>
      <c r="W32" s="94" t="n"/>
      <c r="X32" s="94" t="n"/>
      <c r="Y32" s="94" t="n"/>
      <c r="Z32" s="94" t="n"/>
    </row>
    <row r="33" ht="23" customHeight="1" s="90">
      <c r="A33" s="273" t="inlineStr">
        <is>
          <t>Item</t>
        </is>
      </c>
      <c r="B33" s="273" t="inlineStr">
        <is>
          <t>Vendor</t>
        </is>
      </c>
      <c r="C33" s="273" t="inlineStr">
        <is>
          <t>Qty</t>
        </is>
      </c>
      <c r="D33" s="273" t="inlineStr">
        <is>
          <t>Unit Price</t>
        </is>
      </c>
      <c r="E33" s="273" t="inlineStr">
        <is>
          <t>Our Cost</t>
        </is>
      </c>
      <c r="F33" s="273" t="inlineStr">
        <is>
          <t>Client Cost</t>
        </is>
      </c>
      <c r="G33" s="273" t="inlineStr">
        <is>
          <t>Tax Rate</t>
        </is>
      </c>
      <c r="H33" s="273" t="inlineStr">
        <is>
          <t>Notes / Description</t>
        </is>
      </c>
      <c r="I33" s="276" t="n"/>
      <c r="J33" s="321">
        <f>IF(A36="","",A36&amp;" x"&amp;C36)</f>
        <v/>
      </c>
      <c r="K33" s="322">
        <f>IF(A36="","",ROUNDUP(F36/10,0)*10)</f>
        <v/>
      </c>
      <c r="L33" s="253" t="n"/>
      <c r="M33" s="352" t="n"/>
      <c r="N33" s="324" t="n"/>
      <c r="O33" s="94" t="n"/>
      <c r="P33" s="94" t="n"/>
      <c r="Q33" s="94" t="n"/>
      <c r="R33" s="94" t="n"/>
      <c r="S33" s="94" t="n"/>
      <c r="T33" s="94" t="n"/>
      <c r="U33" s="94" t="n"/>
      <c r="V33" s="94" t="n"/>
      <c r="W33" s="94" t="n"/>
      <c r="X33" s="94" t="n"/>
      <c r="Y33" s="94" t="n"/>
      <c r="Z33" s="94" t="n"/>
    </row>
    <row r="34" ht="25" customHeight="1" s="90">
      <c r="A34" s="328" t="inlineStr">
        <is>
          <t>SEATING  (chairs, barstools, banquettes)</t>
        </is>
      </c>
      <c r="B34" s="329" t="n"/>
      <c r="C34" s="329" t="n"/>
      <c r="D34" s="329" t="n"/>
      <c r="E34" s="329" t="n"/>
      <c r="F34" s="329" t="n"/>
      <c r="G34" s="329" t="n"/>
      <c r="H34" s="329" t="n"/>
      <c r="I34" s="389" t="n"/>
      <c r="J34" s="321">
        <f>IF(A37="","",A37&amp;" x"&amp;C37)</f>
        <v/>
      </c>
      <c r="K34" s="322">
        <f>IF(A37="","",ROUNDUP(F37/10,0)*10)</f>
        <v/>
      </c>
      <c r="L34" s="253" t="n"/>
      <c r="M34" s="352" t="n"/>
      <c r="N34" s="324" t="n"/>
      <c r="O34" s="94" t="n"/>
      <c r="P34" s="94" t="n"/>
      <c r="Q34" s="94" t="n"/>
      <c r="R34" s="94" t="n"/>
      <c r="S34" s="94" t="n"/>
      <c r="T34" s="94" t="n"/>
      <c r="U34" s="94" t="n"/>
      <c r="V34" s="94" t="n"/>
      <c r="W34" s="94" t="n"/>
      <c r="X34" s="94" t="n"/>
      <c r="Y34" s="94" t="n"/>
      <c r="Z34" s="94" t="n"/>
    </row>
    <row r="35" ht="20" customHeight="1" s="90">
      <c r="A35" s="390" t="n"/>
      <c r="B35" s="391" t="n"/>
      <c r="C35" s="350" t="n"/>
      <c r="D35" s="334" t="n"/>
      <c r="E35" s="335">
        <f>C35*D35</f>
        <v/>
      </c>
      <c r="F35" s="335">
        <f>IFERROR(E35*(1+VLOOKUP(I35,'Client Setup - Blank'!$A$23:$B$33,2,FALSE)),0)</f>
        <v/>
      </c>
      <c r="G35" s="336">
        <f>'Client Setup - Blank'!B19</f>
        <v/>
      </c>
      <c r="H35" s="392" t="n"/>
      <c r="I35" s="351" t="n"/>
      <c r="J35" s="321">
        <f>IF(A38="","",A38&amp;" x"&amp;C38)</f>
        <v/>
      </c>
      <c r="K35" s="322">
        <f>IF(A38="","",ROUNDUP(F38/10,0)*10)</f>
        <v/>
      </c>
      <c r="L35" s="253" t="n"/>
      <c r="M35" s="352" t="n"/>
      <c r="N35" s="324" t="n"/>
      <c r="O35" s="94" t="n"/>
      <c r="P35" s="94" t="n"/>
      <c r="Q35" s="94" t="n"/>
      <c r="R35" s="94" t="n"/>
      <c r="S35" s="94" t="n"/>
      <c r="T35" s="94" t="n"/>
      <c r="U35" s="94" t="n"/>
      <c r="V35" s="94" t="n"/>
      <c r="W35" s="94" t="n"/>
      <c r="X35" s="94" t="n"/>
      <c r="Y35" s="94" t="n"/>
      <c r="Z35" s="94" t="n"/>
    </row>
    <row r="36" ht="20" customHeight="1" s="90">
      <c r="A36" s="393" t="n"/>
      <c r="B36" s="394" t="n"/>
      <c r="C36" s="354" t="n"/>
      <c r="D36" s="343" t="n"/>
      <c r="E36" s="344">
        <f>C36*D36</f>
        <v/>
      </c>
      <c r="F36" s="344">
        <f>IFERROR(E36*(1+VLOOKUP(I36,'Client Setup - Blank'!$A$23:$B$33,2,FALSE)),0)</f>
        <v/>
      </c>
      <c r="G36" s="345">
        <f>'Client Setup - Blank'!B19</f>
        <v/>
      </c>
      <c r="H36" s="395" t="n"/>
      <c r="I36" s="355" t="n"/>
      <c r="J36" s="321">
        <f>IF(A39="","",A39&amp;" x"&amp;C39)</f>
        <v/>
      </c>
      <c r="K36" s="322">
        <f>IF(A39="","",ROUNDUP(F39/10,0)*10)</f>
        <v/>
      </c>
      <c r="L36" s="253" t="n"/>
      <c r="M36" s="352" t="n"/>
      <c r="N36" s="324" t="n"/>
      <c r="O36" s="94" t="n"/>
      <c r="P36" s="94" t="n"/>
      <c r="Q36" s="94" t="n"/>
      <c r="R36" s="94" t="n"/>
      <c r="S36" s="94" t="n"/>
      <c r="T36" s="94" t="n"/>
      <c r="U36" s="94" t="n"/>
      <c r="V36" s="94" t="n"/>
      <c r="W36" s="94" t="n"/>
      <c r="X36" s="94" t="n"/>
      <c r="Y36" s="94" t="n"/>
      <c r="Z36" s="94" t="n"/>
    </row>
    <row r="37" ht="20" customHeight="1" s="90">
      <c r="A37" s="390" t="n"/>
      <c r="B37" s="391" t="n"/>
      <c r="C37" s="350" t="n"/>
      <c r="D37" s="334" t="n"/>
      <c r="E37" s="335">
        <f>C37*D37</f>
        <v/>
      </c>
      <c r="F37" s="335">
        <f>IFERROR(E37*(1+VLOOKUP(I37,'Client Setup - Blank'!$A$23:$B$33,2,FALSE)),0)</f>
        <v/>
      </c>
      <c r="G37" s="336">
        <f>'Client Setup - Blank'!B19</f>
        <v/>
      </c>
      <c r="H37" s="392" t="n"/>
      <c r="I37" s="351" t="n"/>
      <c r="J37" s="321">
        <f>IF(A40="","",A40&amp;" x"&amp;C40)</f>
        <v/>
      </c>
      <c r="K37" s="322">
        <f>IF(A40="","",ROUNDUP(F40/10,0)*10)</f>
        <v/>
      </c>
      <c r="L37" s="253" t="n"/>
      <c r="M37" s="352" t="n"/>
      <c r="N37" s="324" t="n"/>
      <c r="O37" s="94" t="n"/>
      <c r="P37" s="94" t="n"/>
      <c r="Q37" s="94" t="n"/>
      <c r="R37" s="94" t="n"/>
      <c r="S37" s="94" t="n"/>
      <c r="T37" s="94" t="n"/>
      <c r="U37" s="94" t="n"/>
      <c r="V37" s="94" t="n"/>
      <c r="W37" s="94" t="n"/>
      <c r="X37" s="94" t="n"/>
      <c r="Y37" s="94" t="n"/>
      <c r="Z37" s="94" t="n"/>
    </row>
    <row r="38" ht="20" customHeight="1" s="90">
      <c r="A38" s="393" t="n"/>
      <c r="B38" s="394" t="n"/>
      <c r="C38" s="354" t="n"/>
      <c r="D38" s="343" t="n"/>
      <c r="E38" s="344">
        <f>C38*D38</f>
        <v/>
      </c>
      <c r="F38" s="344">
        <f>IFERROR(E38*(1+VLOOKUP(I38,'Client Setup - Blank'!$A$23:$B$33,2,FALSE)),0)</f>
        <v/>
      </c>
      <c r="G38" s="345">
        <f>'Client Setup - Blank'!B19</f>
        <v/>
      </c>
      <c r="H38" s="395" t="n"/>
      <c r="I38" s="355" t="n"/>
      <c r="J38" s="321">
        <f>IF(A41="","",A41&amp;" x"&amp;C41)</f>
        <v/>
      </c>
      <c r="K38" s="322">
        <f>IF(A41="","",ROUNDUP(F41/10,0)*10)</f>
        <v/>
      </c>
      <c r="L38" s="253" t="n"/>
      <c r="M38" s="352" t="n"/>
      <c r="N38" s="324" t="n"/>
      <c r="O38" s="94" t="n"/>
      <c r="P38" s="94" t="n"/>
      <c r="Q38" s="94" t="n"/>
      <c r="R38" s="94" t="n"/>
      <c r="S38" s="94" t="n"/>
      <c r="T38" s="94" t="n"/>
      <c r="U38" s="94" t="n"/>
      <c r="V38" s="94" t="n"/>
      <c r="W38" s="94" t="n"/>
      <c r="X38" s="94" t="n"/>
      <c r="Y38" s="94" t="n"/>
      <c r="Z38" s="94" t="n"/>
    </row>
    <row r="39" ht="20" customHeight="1" s="90">
      <c r="A39" s="390" t="n"/>
      <c r="B39" s="391" t="n"/>
      <c r="C39" s="350" t="n"/>
      <c r="D39" s="334" t="n"/>
      <c r="E39" s="335">
        <f>C39*D39</f>
        <v/>
      </c>
      <c r="F39" s="335">
        <f>IFERROR(E39*(1+VLOOKUP(I39,'Client Setup - Blank'!$A$23:$B$33,2,FALSE)),0)</f>
        <v/>
      </c>
      <c r="G39" s="336">
        <f>'Client Setup - Blank'!B19</f>
        <v/>
      </c>
      <c r="H39" s="392" t="n"/>
      <c r="I39" s="351" t="n"/>
      <c r="J39" s="321">
        <f>IF(A42="","",A42&amp;" x"&amp;C42)</f>
        <v/>
      </c>
      <c r="K39" s="322">
        <f>IF(A42="","",ROUNDUP(F42/10,0)*10)</f>
        <v/>
      </c>
      <c r="L39" s="253" t="n"/>
      <c r="M39" s="352" t="n"/>
      <c r="N39" s="324" t="n"/>
      <c r="O39" s="94" t="n"/>
      <c r="P39" s="94" t="n"/>
      <c r="Q39" s="94" t="n"/>
      <c r="R39" s="94" t="n"/>
      <c r="S39" s="94" t="n"/>
      <c r="T39" s="94" t="n"/>
      <c r="U39" s="94" t="n"/>
      <c r="V39" s="94" t="n"/>
      <c r="W39" s="94" t="n"/>
      <c r="X39" s="94" t="n"/>
      <c r="Y39" s="94" t="n"/>
      <c r="Z39" s="94" t="n"/>
    </row>
    <row r="40" ht="20" customHeight="1" s="90">
      <c r="A40" s="393" t="n"/>
      <c r="B40" s="394" t="n"/>
      <c r="C40" s="354" t="n"/>
      <c r="D40" s="343" t="n"/>
      <c r="E40" s="344">
        <f>C40*D40</f>
        <v/>
      </c>
      <c r="F40" s="344">
        <f>IFERROR(E40*(1+VLOOKUP(I40,'Client Setup - Blank'!$A$23:$B$33,2,FALSE)),0)</f>
        <v/>
      </c>
      <c r="G40" s="345">
        <f>'Client Setup - Blank'!B19</f>
        <v/>
      </c>
      <c r="H40" s="395" t="n"/>
      <c r="I40" s="355" t="n"/>
      <c r="J40" s="321">
        <f>IF(A44="","",A44&amp;" x"&amp;C44)</f>
        <v/>
      </c>
      <c r="K40" s="322">
        <f>IF(A44="","",ROUNDUP(F44/10,0)*10)</f>
        <v/>
      </c>
      <c r="L40" s="253" t="n"/>
      <c r="M40" s="352" t="n"/>
      <c r="N40" s="324" t="n"/>
      <c r="O40" s="94" t="n"/>
      <c r="P40" s="94" t="n"/>
      <c r="Q40" s="94" t="n"/>
      <c r="R40" s="94" t="n"/>
      <c r="S40" s="94" t="n"/>
      <c r="T40" s="94" t="n"/>
      <c r="U40" s="94" t="n"/>
      <c r="V40" s="94" t="n"/>
      <c r="W40" s="94" t="n"/>
      <c r="X40" s="94" t="n"/>
      <c r="Y40" s="94" t="n"/>
      <c r="Z40" s="94" t="n"/>
    </row>
    <row r="41" ht="20" customHeight="1" s="90">
      <c r="A41" s="390" t="n"/>
      <c r="B41" s="391" t="n"/>
      <c r="C41" s="350" t="n"/>
      <c r="D41" s="334" t="n"/>
      <c r="E41" s="335">
        <f>C41*D41</f>
        <v/>
      </c>
      <c r="F41" s="335">
        <f>IFERROR(E41*(1+VLOOKUP(I41,'Client Setup - Blank'!$A$23:$B$33,2,FALSE)),0)</f>
        <v/>
      </c>
      <c r="G41" s="336">
        <f>'Client Setup - Blank'!B19</f>
        <v/>
      </c>
      <c r="H41" s="392" t="n"/>
      <c r="I41" s="351" t="n"/>
      <c r="J41" s="321">
        <f>IF(A45="","",A45&amp;" x"&amp;C45)</f>
        <v/>
      </c>
      <c r="K41" s="322">
        <f>IF(A45="","",ROUNDUP(F45/10,0)*10)</f>
        <v/>
      </c>
      <c r="L41" s="253" t="n"/>
      <c r="M41" s="356" t="n"/>
      <c r="N41" s="280" t="n"/>
      <c r="O41" s="94" t="n"/>
      <c r="P41" s="94" t="n"/>
      <c r="Q41" s="94" t="n"/>
      <c r="R41" s="94" t="n"/>
      <c r="S41" s="94" t="n"/>
      <c r="T41" s="94" t="n"/>
      <c r="U41" s="94" t="n"/>
      <c r="V41" s="94" t="n"/>
      <c r="W41" s="94" t="n"/>
      <c r="X41" s="94" t="n"/>
      <c r="Y41" s="94" t="n"/>
      <c r="Z41" s="94" t="n"/>
    </row>
    <row r="42" ht="20" customHeight="1" s="90">
      <c r="A42" s="393" t="n"/>
      <c r="B42" s="394" t="n"/>
      <c r="C42" s="354" t="n"/>
      <c r="D42" s="343" t="n"/>
      <c r="E42" s="344">
        <f>C42*D42</f>
        <v/>
      </c>
      <c r="F42" s="344">
        <f>IFERROR(E42*(1+VLOOKUP(I42,'Client Setup - Blank'!$A$23:$B$33,2,FALSE)),0)</f>
        <v/>
      </c>
      <c r="G42" s="345">
        <f>'Client Setup - Blank'!B19</f>
        <v/>
      </c>
      <c r="H42" s="395" t="n"/>
      <c r="I42" s="355" t="n"/>
      <c r="J42" s="321">
        <f>IF(A46="","",A46&amp;" x"&amp;C46)</f>
        <v/>
      </c>
      <c r="K42" s="322">
        <f>IF(A46="","",ROUNDUP(F46/10,0)*10)</f>
        <v/>
      </c>
      <c r="L42" s="253" t="n"/>
      <c r="M42" s="356" t="n"/>
      <c r="N42" s="280" t="n"/>
      <c r="O42" s="94" t="n"/>
      <c r="P42" s="94" t="n"/>
      <c r="Q42" s="94" t="n"/>
      <c r="R42" s="94" t="n"/>
      <c r="S42" s="94" t="n"/>
      <c r="T42" s="94" t="n"/>
      <c r="U42" s="94" t="n"/>
      <c r="V42" s="94" t="n"/>
      <c r="W42" s="94" t="n"/>
      <c r="X42" s="94" t="n"/>
      <c r="Y42" s="94" t="n"/>
      <c r="Z42" s="94" t="n"/>
    </row>
    <row r="43" ht="25" customHeight="1" s="90">
      <c r="A43" s="328" t="inlineStr">
        <is>
          <t>LOUNGE  (sofas, sectionals, club chairs)</t>
        </is>
      </c>
      <c r="B43" s="329" t="n"/>
      <c r="C43" s="329" t="n"/>
      <c r="D43" s="329" t="n"/>
      <c r="E43" s="329" t="n"/>
      <c r="F43" s="329" t="n"/>
      <c r="G43" s="329" t="n"/>
      <c r="H43" s="329" t="n"/>
      <c r="I43" s="389" t="n"/>
      <c r="J43" s="321">
        <f>IF(A47="","",A47&amp;" x"&amp;C47)</f>
        <v/>
      </c>
      <c r="K43" s="322">
        <f>IF(A47="","",ROUNDUP(F47/10,0)*10)</f>
        <v/>
      </c>
      <c r="L43" s="253" t="n"/>
      <c r="M43" s="253" t="n"/>
      <c r="N43" s="253" t="n"/>
      <c r="O43" s="94" t="n"/>
      <c r="P43" s="94" t="n"/>
      <c r="Q43" s="94" t="n"/>
      <c r="R43" s="94" t="n"/>
      <c r="S43" s="94" t="n"/>
      <c r="T43" s="94" t="n"/>
      <c r="U43" s="94" t="n"/>
      <c r="V43" s="94" t="n"/>
      <c r="W43" s="94" t="n"/>
      <c r="X43" s="94" t="n"/>
      <c r="Y43" s="94" t="n"/>
      <c r="Z43" s="94" t="n"/>
    </row>
    <row r="44" ht="20" customHeight="1" s="90">
      <c r="A44" s="390" t="n"/>
      <c r="B44" s="391" t="n"/>
      <c r="C44" s="350" t="n"/>
      <c r="D44" s="334" t="n"/>
      <c r="E44" s="335">
        <f>C44*D44</f>
        <v/>
      </c>
      <c r="F44" s="335">
        <f>IFERROR(E44*(1+VLOOKUP(I44,'Client Setup - Blank'!$A$23:$B$33,2,FALSE)),0)</f>
        <v/>
      </c>
      <c r="G44" s="336">
        <f>'Client Setup - Blank'!B19</f>
        <v/>
      </c>
      <c r="H44" s="392" t="n"/>
      <c r="I44" s="351" t="n"/>
      <c r="J44" s="321">
        <f>IF(A48="","",A48&amp;" x"&amp;C48)</f>
        <v/>
      </c>
      <c r="K44" s="322">
        <f>IF(A48="","",ROUNDUP(F48/10,0)*10)</f>
        <v/>
      </c>
      <c r="L44" s="253" t="n"/>
      <c r="M44" s="253" t="n"/>
      <c r="N44" s="253" t="n"/>
      <c r="O44" s="94" t="n"/>
      <c r="P44" s="94" t="n"/>
      <c r="Q44" s="94" t="n"/>
      <c r="R44" s="94" t="n"/>
      <c r="S44" s="94" t="n"/>
      <c r="T44" s="94" t="n"/>
      <c r="U44" s="94" t="n"/>
      <c r="V44" s="94" t="n"/>
      <c r="W44" s="94" t="n"/>
      <c r="X44" s="94" t="n"/>
      <c r="Y44" s="94" t="n"/>
      <c r="Z44" s="94" t="n"/>
    </row>
    <row r="45" ht="20" customHeight="1" s="90">
      <c r="A45" s="393" t="n"/>
      <c r="B45" s="394" t="n"/>
      <c r="C45" s="354" t="n"/>
      <c r="D45" s="343" t="n"/>
      <c r="E45" s="344">
        <f>C45*D45</f>
        <v/>
      </c>
      <c r="F45" s="344">
        <f>IFERROR(E45*(1+VLOOKUP(I45,'Client Setup - Blank'!$A$23:$B$33,2,FALSE)),0)</f>
        <v/>
      </c>
      <c r="G45" s="345">
        <f>'Client Setup - Blank'!B19</f>
        <v/>
      </c>
      <c r="H45" s="395" t="n"/>
      <c r="I45" s="355" t="n"/>
      <c r="J45" s="321">
        <f>IF(A49="","",A49&amp;" x"&amp;C49)</f>
        <v/>
      </c>
      <c r="K45" s="322">
        <f>IF(A49="","",ROUNDUP(F49/10,0)*10)</f>
        <v/>
      </c>
      <c r="L45" s="253" t="n"/>
      <c r="M45" s="253" t="n"/>
      <c r="N45" s="253" t="n"/>
      <c r="O45" s="94" t="n"/>
      <c r="P45" s="94" t="n"/>
      <c r="Q45" s="94" t="n"/>
      <c r="R45" s="94" t="n"/>
      <c r="S45" s="94" t="n"/>
      <c r="T45" s="94" t="n"/>
      <c r="U45" s="94" t="n"/>
      <c r="V45" s="94" t="n"/>
      <c r="W45" s="94" t="n"/>
      <c r="X45" s="94" t="n"/>
      <c r="Y45" s="94" t="n"/>
      <c r="Z45" s="94" t="n"/>
    </row>
    <row r="46" ht="20" customHeight="1" s="90">
      <c r="A46" s="390" t="n"/>
      <c r="B46" s="391" t="n"/>
      <c r="C46" s="350" t="n"/>
      <c r="D46" s="334" t="n"/>
      <c r="E46" s="335">
        <f>C46*D46</f>
        <v/>
      </c>
      <c r="F46" s="335">
        <f>IFERROR(E46*(1+VLOOKUP(I46,'Client Setup - Blank'!$A$23:$B$33,2,FALSE)),0)</f>
        <v/>
      </c>
      <c r="G46" s="336">
        <f>'Client Setup - Blank'!B19</f>
        <v/>
      </c>
      <c r="H46" s="392" t="n"/>
      <c r="I46" s="351" t="n"/>
      <c r="J46" s="321">
        <f>IF(A50="","",A50&amp;" x"&amp;C50)</f>
        <v/>
      </c>
      <c r="K46" s="322">
        <f>IF(A50="","",ROUNDUP(F50/10,0)*10)</f>
        <v/>
      </c>
      <c r="L46" s="253" t="n"/>
      <c r="M46" s="253" t="n"/>
      <c r="N46" s="253" t="n"/>
      <c r="O46" s="94" t="n"/>
      <c r="P46" s="94" t="n"/>
      <c r="Q46" s="94" t="n"/>
      <c r="R46" s="94" t="n"/>
      <c r="S46" s="94" t="n"/>
      <c r="T46" s="94" t="n"/>
      <c r="U46" s="94" t="n"/>
      <c r="V46" s="94" t="n"/>
      <c r="W46" s="94" t="n"/>
      <c r="X46" s="94" t="n"/>
      <c r="Y46" s="94" t="n"/>
      <c r="Z46" s="94" t="n"/>
    </row>
    <row r="47" ht="20" customHeight="1" s="90">
      <c r="A47" s="393" t="n"/>
      <c r="B47" s="394" t="n"/>
      <c r="C47" s="354" t="n"/>
      <c r="D47" s="343" t="n"/>
      <c r="E47" s="344">
        <f>C47*D47</f>
        <v/>
      </c>
      <c r="F47" s="344">
        <f>IFERROR(E47*(1+VLOOKUP(I47,'Client Setup - Blank'!$A$23:$B$33,2,FALSE)),0)</f>
        <v/>
      </c>
      <c r="G47" s="345">
        <f>'Client Setup - Blank'!B19</f>
        <v/>
      </c>
      <c r="H47" s="395" t="n"/>
      <c r="I47" s="355" t="n"/>
      <c r="J47" s="321">
        <f>IF(A51="","",A51&amp;" x"&amp;C51)</f>
        <v/>
      </c>
      <c r="K47" s="322">
        <f>IF(A51="","",ROUNDUP(F51/10,0)*10)</f>
        <v/>
      </c>
      <c r="L47" s="253" t="n"/>
      <c r="M47" s="253" t="n"/>
      <c r="N47" s="253" t="n"/>
      <c r="O47" s="94" t="n"/>
      <c r="P47" s="94" t="n"/>
      <c r="Q47" s="94" t="n"/>
      <c r="R47" s="94" t="n"/>
      <c r="S47" s="94" t="n"/>
      <c r="T47" s="94" t="n"/>
      <c r="U47" s="94" t="n"/>
      <c r="V47" s="94" t="n"/>
      <c r="W47" s="94" t="n"/>
      <c r="X47" s="94" t="n"/>
      <c r="Y47" s="94" t="n"/>
      <c r="Z47" s="94" t="n"/>
    </row>
    <row r="48" ht="20" customHeight="1" s="90">
      <c r="A48" s="390" t="n"/>
      <c r="B48" s="391" t="n"/>
      <c r="C48" s="350" t="n"/>
      <c r="D48" s="334" t="n"/>
      <c r="E48" s="335">
        <f>C48*D48</f>
        <v/>
      </c>
      <c r="F48" s="335">
        <f>IFERROR(E48*(1+VLOOKUP(I48,'Client Setup - Blank'!$A$23:$B$33,2,FALSE)),0)</f>
        <v/>
      </c>
      <c r="G48" s="336">
        <f>'Client Setup - Blank'!B19</f>
        <v/>
      </c>
      <c r="H48" s="392" t="n"/>
      <c r="I48" s="351" t="n"/>
      <c r="J48" s="321">
        <f>IF(A53="","",A53&amp;" x"&amp;C53)</f>
        <v/>
      </c>
      <c r="K48" s="322">
        <f>IF(A53="","",ROUNDUP(F53/10,0)*10)</f>
        <v/>
      </c>
      <c r="L48" s="253" t="n"/>
      <c r="M48" s="253" t="n"/>
      <c r="N48" s="253" t="n"/>
      <c r="O48" s="94" t="n"/>
      <c r="P48" s="94" t="n"/>
      <c r="Q48" s="94" t="n"/>
      <c r="R48" s="94" t="n"/>
      <c r="S48" s="94" t="n"/>
      <c r="T48" s="94" t="n"/>
      <c r="U48" s="94" t="n"/>
      <c r="V48" s="94" t="n"/>
      <c r="W48" s="94" t="n"/>
      <c r="X48" s="94" t="n"/>
      <c r="Y48" s="94" t="n"/>
      <c r="Z48" s="94" t="n"/>
    </row>
    <row r="49" ht="20" customHeight="1" s="90">
      <c r="A49" s="393" t="n"/>
      <c r="B49" s="394" t="n"/>
      <c r="C49" s="354" t="n"/>
      <c r="D49" s="343" t="n"/>
      <c r="E49" s="344">
        <f>C49*D49</f>
        <v/>
      </c>
      <c r="F49" s="344">
        <f>IFERROR(E49*(1+VLOOKUP(I49,'Client Setup - Blank'!$A$23:$B$33,2,FALSE)),0)</f>
        <v/>
      </c>
      <c r="G49" s="345">
        <f>'Client Setup - Blank'!B19</f>
        <v/>
      </c>
      <c r="H49" s="395" t="n"/>
      <c r="I49" s="355" t="n"/>
      <c r="J49" s="321">
        <f>IF(A54="","",A54&amp;" x"&amp;C54)</f>
        <v/>
      </c>
      <c r="K49" s="322">
        <f>IF(A54="","",ROUNDUP(F54/10,0)*10)</f>
        <v/>
      </c>
      <c r="L49" s="253" t="n"/>
      <c r="M49" s="253" t="n"/>
      <c r="N49" s="253" t="n"/>
      <c r="O49" s="94" t="n"/>
      <c r="P49" s="94" t="n"/>
      <c r="Q49" s="94" t="n"/>
      <c r="R49" s="94" t="n"/>
      <c r="S49" s="94" t="n"/>
      <c r="T49" s="94" t="n"/>
      <c r="U49" s="94" t="n"/>
      <c r="V49" s="94" t="n"/>
      <c r="W49" s="94" t="n"/>
      <c r="X49" s="94" t="n"/>
      <c r="Y49" s="94" t="n"/>
      <c r="Z49" s="94" t="n"/>
    </row>
    <row r="50" ht="20" customHeight="1" s="90">
      <c r="A50" s="390" t="n"/>
      <c r="B50" s="391" t="n"/>
      <c r="C50" s="350" t="n"/>
      <c r="D50" s="334" t="n"/>
      <c r="E50" s="335">
        <f>C50*D50</f>
        <v/>
      </c>
      <c r="F50" s="335">
        <f>IFERROR(E50*(1+VLOOKUP(I50,'Client Setup - Blank'!$A$23:$B$33,2,FALSE)),0)</f>
        <v/>
      </c>
      <c r="G50" s="336">
        <f>'Client Setup - Blank'!B19</f>
        <v/>
      </c>
      <c r="H50" s="392" t="n"/>
      <c r="I50" s="351" t="n"/>
      <c r="J50" s="321">
        <f>IF(A55="","",A55&amp;" x"&amp;C55)</f>
        <v/>
      </c>
      <c r="K50" s="322">
        <f>IF(A55="","",ROUNDUP(F55/10,0)*10)</f>
        <v/>
      </c>
      <c r="L50" s="253" t="n"/>
      <c r="M50" s="253" t="n"/>
      <c r="N50" s="253" t="n"/>
      <c r="O50" s="94" t="n"/>
      <c r="P50" s="94" t="n"/>
      <c r="Q50" s="94" t="n"/>
      <c r="R50" s="94" t="n"/>
      <c r="S50" s="94" t="n"/>
      <c r="T50" s="94" t="n"/>
      <c r="U50" s="94" t="n"/>
      <c r="V50" s="94" t="n"/>
      <c r="W50" s="94" t="n"/>
      <c r="X50" s="94" t="n"/>
      <c r="Y50" s="94" t="n"/>
      <c r="Z50" s="94" t="n"/>
    </row>
    <row r="51" ht="20" customHeight="1" s="90">
      <c r="A51" s="393" t="n"/>
      <c r="B51" s="394" t="n"/>
      <c r="C51" s="354" t="n"/>
      <c r="D51" s="343" t="n"/>
      <c r="E51" s="344">
        <f>C51*D51</f>
        <v/>
      </c>
      <c r="F51" s="344">
        <f>IFERROR(E51*(1+VLOOKUP(I51,'Client Setup - Blank'!$A$23:$B$33,2,FALSE)),0)</f>
        <v/>
      </c>
      <c r="G51" s="345">
        <f>'Client Setup - Blank'!B19</f>
        <v/>
      </c>
      <c r="H51" s="395" t="n"/>
      <c r="I51" s="355" t="n"/>
      <c r="J51" s="321">
        <f>IF(A56="","",A56&amp;" x"&amp;C56)</f>
        <v/>
      </c>
      <c r="K51" s="322">
        <f>IF(A56="","",ROUNDUP(F56/10,0)*10)</f>
        <v/>
      </c>
      <c r="L51" s="253" t="n"/>
      <c r="M51" s="253" t="n"/>
      <c r="N51" s="253" t="n"/>
      <c r="O51" s="94" t="n"/>
      <c r="P51" s="94" t="n"/>
      <c r="Q51" s="94" t="n"/>
      <c r="R51" s="94" t="n"/>
      <c r="S51" s="94" t="n"/>
      <c r="T51" s="94" t="n"/>
      <c r="U51" s="94" t="n"/>
      <c r="V51" s="94" t="n"/>
      <c r="W51" s="94" t="n"/>
      <c r="X51" s="94" t="n"/>
      <c r="Y51" s="94" t="n"/>
      <c r="Z51" s="94" t="n"/>
    </row>
    <row r="52" ht="25" customHeight="1" s="90">
      <c r="A52" s="328" t="inlineStr">
        <is>
          <t>TABLES  (cocktail, coffee, side, dining)</t>
        </is>
      </c>
      <c r="B52" s="329" t="n"/>
      <c r="C52" s="329" t="n"/>
      <c r="D52" s="329" t="n"/>
      <c r="E52" s="329" t="n"/>
      <c r="F52" s="329" t="n"/>
      <c r="G52" s="329" t="n"/>
      <c r="H52" s="329" t="n"/>
      <c r="I52" s="389" t="n"/>
      <c r="J52" s="321">
        <f>IF(A57="","",A57&amp;" x"&amp;C57)</f>
        <v/>
      </c>
      <c r="K52" s="322">
        <f>IF(A57="","",ROUNDUP(F57/10,0)*10)</f>
        <v/>
      </c>
      <c r="L52" s="253" t="n"/>
      <c r="M52" s="253" t="n"/>
      <c r="N52" s="253" t="n"/>
      <c r="O52" s="94" t="n"/>
      <c r="P52" s="94" t="n"/>
      <c r="Q52" s="94" t="n"/>
      <c r="R52" s="94" t="n"/>
      <c r="S52" s="94" t="n"/>
      <c r="T52" s="94" t="n"/>
      <c r="U52" s="94" t="n"/>
      <c r="V52" s="94" t="n"/>
      <c r="W52" s="94" t="n"/>
      <c r="X52" s="94" t="n"/>
      <c r="Y52" s="94" t="n"/>
      <c r="Z52" s="94" t="n"/>
    </row>
    <row r="53" ht="20" customHeight="1" s="90">
      <c r="A53" s="390" t="n"/>
      <c r="B53" s="391" t="n"/>
      <c r="C53" s="350" t="n"/>
      <c r="D53" s="334" t="n"/>
      <c r="E53" s="335">
        <f>C53*D53</f>
        <v/>
      </c>
      <c r="F53" s="335">
        <f>IFERROR(E53*(1+VLOOKUP(I53,'Client Setup - Blank'!$A$23:$B$33,2,FALSE)),0)</f>
        <v/>
      </c>
      <c r="G53" s="336">
        <f>'Client Setup - Blank'!B19</f>
        <v/>
      </c>
      <c r="H53" s="392" t="n"/>
      <c r="I53" s="351" t="n"/>
      <c r="J53" s="321">
        <f>IF(A58="","",A58&amp;" x"&amp;C58)</f>
        <v/>
      </c>
      <c r="K53" s="322">
        <f>IF(A58="","",ROUNDUP(F58/10,0)*10)</f>
        <v/>
      </c>
      <c r="L53" s="253" t="n"/>
      <c r="M53" s="253" t="n"/>
      <c r="N53" s="253" t="n"/>
      <c r="O53" s="94" t="n"/>
      <c r="P53" s="94" t="n"/>
      <c r="Q53" s="94" t="n"/>
      <c r="R53" s="94" t="n"/>
      <c r="S53" s="94" t="n"/>
      <c r="T53" s="94" t="n"/>
      <c r="U53" s="94" t="n"/>
      <c r="V53" s="94" t="n"/>
      <c r="W53" s="94" t="n"/>
      <c r="X53" s="94" t="n"/>
      <c r="Y53" s="94" t="n"/>
      <c r="Z53" s="94" t="n"/>
    </row>
    <row r="54" ht="20" customHeight="1" s="90">
      <c r="A54" s="393" t="n"/>
      <c r="B54" s="394" t="n"/>
      <c r="C54" s="354" t="n"/>
      <c r="D54" s="343" t="n"/>
      <c r="E54" s="344">
        <f>C54*D54</f>
        <v/>
      </c>
      <c r="F54" s="344">
        <f>IFERROR(E54*(1+VLOOKUP(I54,'Client Setup - Blank'!$A$23:$B$33,2,FALSE)),0)</f>
        <v/>
      </c>
      <c r="G54" s="345">
        <f>'Client Setup - Blank'!B19</f>
        <v/>
      </c>
      <c r="H54" s="395" t="n"/>
      <c r="I54" s="355" t="n"/>
      <c r="J54" s="321">
        <f>IF(A59="","",A59&amp;" x"&amp;C59)</f>
        <v/>
      </c>
      <c r="K54" s="322">
        <f>IF(A59="","",ROUNDUP(F59/10,0)*10)</f>
        <v/>
      </c>
      <c r="L54" s="253" t="n"/>
      <c r="M54" s="253" t="n"/>
      <c r="N54" s="253" t="n"/>
      <c r="O54" s="94" t="n"/>
      <c r="P54" s="94" t="n"/>
      <c r="Q54" s="94" t="n"/>
      <c r="R54" s="94" t="n"/>
      <c r="S54" s="94" t="n"/>
      <c r="T54" s="94" t="n"/>
      <c r="U54" s="94" t="n"/>
      <c r="V54" s="94" t="n"/>
      <c r="W54" s="94" t="n"/>
      <c r="X54" s="94" t="n"/>
      <c r="Y54" s="94" t="n"/>
      <c r="Z54" s="94" t="n"/>
    </row>
    <row r="55" ht="20" customHeight="1" s="90">
      <c r="A55" s="390" t="n"/>
      <c r="B55" s="391" t="n"/>
      <c r="C55" s="350" t="n"/>
      <c r="D55" s="334" t="n"/>
      <c r="E55" s="335">
        <f>C55*D55</f>
        <v/>
      </c>
      <c r="F55" s="335">
        <f>IFERROR(E55*(1+VLOOKUP(I55,'Client Setup - Blank'!$A$23:$B$33,2,FALSE)),0)</f>
        <v/>
      </c>
      <c r="G55" s="336">
        <f>'Client Setup - Blank'!B19</f>
        <v/>
      </c>
      <c r="H55" s="392" t="n"/>
      <c r="I55" s="351" t="n"/>
      <c r="J55" s="321">
        <f>IF(A60="","",A60&amp;" x"&amp;C60)</f>
        <v/>
      </c>
      <c r="K55" s="322">
        <f>IF(A60="","",ROUNDUP(F60/10,0)*10)</f>
        <v/>
      </c>
      <c r="L55" s="253" t="n"/>
      <c r="M55" s="253" t="n"/>
      <c r="N55" s="253" t="n"/>
      <c r="O55" s="94" t="n"/>
      <c r="P55" s="94" t="n"/>
      <c r="Q55" s="94" t="n"/>
      <c r="R55" s="94" t="n"/>
      <c r="S55" s="94" t="n"/>
      <c r="T55" s="94" t="n"/>
      <c r="U55" s="94" t="n"/>
      <c r="V55" s="94" t="n"/>
      <c r="W55" s="94" t="n"/>
      <c r="X55" s="94" t="n"/>
      <c r="Y55" s="94" t="n"/>
      <c r="Z55" s="94" t="n"/>
    </row>
    <row r="56" ht="20" customHeight="1" s="90">
      <c r="A56" s="393" t="n"/>
      <c r="B56" s="394" t="n"/>
      <c r="C56" s="354" t="n"/>
      <c r="D56" s="343" t="n"/>
      <c r="E56" s="344">
        <f>C56*D56</f>
        <v/>
      </c>
      <c r="F56" s="344">
        <f>IFERROR(E56*(1+VLOOKUP(I56,'Client Setup - Blank'!$A$23:$B$33,2,FALSE)),0)</f>
        <v/>
      </c>
      <c r="G56" s="345">
        <f>'Client Setup - Blank'!B19</f>
        <v/>
      </c>
      <c r="H56" s="395" t="n"/>
      <c r="I56" s="355" t="n"/>
      <c r="J56" s="321">
        <f>IF(A62="","",A62&amp;" x"&amp;C62)</f>
        <v/>
      </c>
      <c r="K56" s="322">
        <f>IF(A62="","",ROUNDUP(F62/10,0)*10)</f>
        <v/>
      </c>
      <c r="L56" s="253" t="n"/>
      <c r="M56" s="253" t="n"/>
      <c r="N56" s="253" t="n"/>
      <c r="O56" s="94" t="n"/>
      <c r="P56" s="94" t="n"/>
      <c r="Q56" s="94" t="n"/>
      <c r="R56" s="94" t="n"/>
      <c r="S56" s="94" t="n"/>
      <c r="T56" s="94" t="n"/>
      <c r="U56" s="94" t="n"/>
      <c r="V56" s="94" t="n"/>
      <c r="W56" s="94" t="n"/>
      <c r="X56" s="94" t="n"/>
      <c r="Y56" s="94" t="n"/>
      <c r="Z56" s="94" t="n"/>
    </row>
    <row r="57" ht="20" customHeight="1" s="90">
      <c r="A57" s="390" t="n"/>
      <c r="B57" s="391" t="n"/>
      <c r="C57" s="350" t="n"/>
      <c r="D57" s="334" t="n"/>
      <c r="E57" s="335">
        <f>C57*D57</f>
        <v/>
      </c>
      <c r="F57" s="335">
        <f>IFERROR(E57*(1+VLOOKUP(I57,'Client Setup - Blank'!$A$23:$B$33,2,FALSE)),0)</f>
        <v/>
      </c>
      <c r="G57" s="336">
        <f>'Client Setup - Blank'!B19</f>
        <v/>
      </c>
      <c r="H57" s="392" t="n"/>
      <c r="I57" s="351" t="n"/>
      <c r="J57" s="321">
        <f>IF(A63="","",A63&amp;" x"&amp;C63)</f>
        <v/>
      </c>
      <c r="K57" s="322">
        <f>IF(A63="","",ROUNDUP(F63/10,0)*10)</f>
        <v/>
      </c>
      <c r="L57" s="253" t="n"/>
      <c r="M57" s="253" t="n"/>
      <c r="N57" s="253" t="n"/>
      <c r="O57" s="94" t="n"/>
      <c r="P57" s="94" t="n"/>
      <c r="Q57" s="94" t="n"/>
      <c r="R57" s="94" t="n"/>
      <c r="S57" s="94" t="n"/>
      <c r="T57" s="94" t="n"/>
      <c r="U57" s="94" t="n"/>
      <c r="V57" s="94" t="n"/>
      <c r="W57" s="94" t="n"/>
      <c r="X57" s="94" t="n"/>
      <c r="Y57" s="94" t="n"/>
      <c r="Z57" s="94" t="n"/>
    </row>
    <row r="58" ht="20" customHeight="1" s="90">
      <c r="A58" s="393" t="n"/>
      <c r="B58" s="394" t="n"/>
      <c r="C58" s="354" t="n"/>
      <c r="D58" s="343" t="n"/>
      <c r="E58" s="344">
        <f>C58*D58</f>
        <v/>
      </c>
      <c r="F58" s="344">
        <f>IFERROR(E58*(1+VLOOKUP(I58,'Client Setup - Blank'!$A$23:$B$33,2,FALSE)),0)</f>
        <v/>
      </c>
      <c r="G58" s="345">
        <f>'Client Setup - Blank'!B19</f>
        <v/>
      </c>
      <c r="H58" s="395" t="n"/>
      <c r="I58" s="355" t="n"/>
      <c r="J58" s="321">
        <f>IF(A64="","",A64&amp;" x"&amp;C64)</f>
        <v/>
      </c>
      <c r="K58" s="322">
        <f>IF(A64="","",ROUNDUP(F64/10,0)*10)</f>
        <v/>
      </c>
      <c r="L58" s="253" t="n"/>
      <c r="M58" s="253" t="n"/>
      <c r="N58" s="253" t="n"/>
      <c r="O58" s="94" t="n"/>
      <c r="P58" s="94" t="n"/>
      <c r="Q58" s="94" t="n"/>
      <c r="R58" s="94" t="n"/>
      <c r="S58" s="94" t="n"/>
      <c r="T58" s="94" t="n"/>
      <c r="U58" s="94" t="n"/>
      <c r="V58" s="94" t="n"/>
      <c r="W58" s="94" t="n"/>
      <c r="X58" s="94" t="n"/>
      <c r="Y58" s="94" t="n"/>
      <c r="Z58" s="94" t="n"/>
    </row>
    <row r="59" ht="20" customHeight="1" s="90">
      <c r="A59" s="390" t="n"/>
      <c r="B59" s="391" t="n"/>
      <c r="C59" s="350" t="n"/>
      <c r="D59" s="334" t="n"/>
      <c r="E59" s="335">
        <f>C59*D59</f>
        <v/>
      </c>
      <c r="F59" s="335">
        <f>IFERROR(E59*(1+VLOOKUP(I59,'Client Setup - Blank'!$A$23:$B$33,2,FALSE)),0)</f>
        <v/>
      </c>
      <c r="G59" s="336">
        <f>'Client Setup - Blank'!B19</f>
        <v/>
      </c>
      <c r="H59" s="392" t="n"/>
      <c r="I59" s="351" t="n"/>
      <c r="J59" s="321">
        <f>IF(A65="","",A65&amp;" x"&amp;C65)</f>
        <v/>
      </c>
      <c r="K59" s="322">
        <f>IF(A65="","",ROUNDUP(F65/10,0)*10)</f>
        <v/>
      </c>
      <c r="L59" s="253" t="n"/>
      <c r="M59" s="253" t="n"/>
      <c r="N59" s="253" t="n"/>
      <c r="O59" s="94" t="n"/>
      <c r="P59" s="94" t="n"/>
      <c r="Q59" s="94" t="n"/>
      <c r="R59" s="94" t="n"/>
      <c r="S59" s="94" t="n"/>
      <c r="T59" s="94" t="n"/>
      <c r="U59" s="94" t="n"/>
      <c r="V59" s="94" t="n"/>
      <c r="W59" s="94" t="n"/>
      <c r="X59" s="94" t="n"/>
      <c r="Y59" s="94" t="n"/>
      <c r="Z59" s="94" t="n"/>
    </row>
    <row r="60" ht="20" customHeight="1" s="90">
      <c r="A60" s="393" t="n"/>
      <c r="B60" s="394" t="n"/>
      <c r="C60" s="354" t="n"/>
      <c r="D60" s="343" t="n"/>
      <c r="E60" s="344">
        <f>C60*D60</f>
        <v/>
      </c>
      <c r="F60" s="344">
        <f>IFERROR(E60*(1+VLOOKUP(I60,'Client Setup - Blank'!$A$23:$B$33,2,FALSE)),0)</f>
        <v/>
      </c>
      <c r="G60" s="345">
        <f>'Client Setup - Blank'!B19</f>
        <v/>
      </c>
      <c r="H60" s="395" t="n"/>
      <c r="I60" s="355" t="n"/>
      <c r="J60" s="321">
        <f>IF(A66="","",A66&amp;" x"&amp;C66)</f>
        <v/>
      </c>
      <c r="K60" s="322">
        <f>IF(A66="","",ROUNDUP(F66/10,0)*10)</f>
        <v/>
      </c>
      <c r="L60" s="253" t="n"/>
      <c r="M60" s="253" t="n"/>
      <c r="N60" s="253" t="n"/>
      <c r="O60" s="94" t="n"/>
      <c r="P60" s="94" t="n"/>
      <c r="Q60" s="94" t="n"/>
      <c r="R60" s="94" t="n"/>
      <c r="S60" s="94" t="n"/>
      <c r="T60" s="94" t="n"/>
      <c r="U60" s="94" t="n"/>
      <c r="V60" s="94" t="n"/>
      <c r="W60" s="94" t="n"/>
      <c r="X60" s="94" t="n"/>
      <c r="Y60" s="94" t="n"/>
      <c r="Z60" s="94" t="n"/>
    </row>
    <row r="61" ht="25" customHeight="1" s="90">
      <c r="A61" s="328" t="inlineStr">
        <is>
          <t>RUGS, DECOR &amp; ACCESSORIES</t>
        </is>
      </c>
      <c r="B61" s="329" t="n"/>
      <c r="C61" s="329" t="n"/>
      <c r="D61" s="329" t="n"/>
      <c r="E61" s="329" t="n"/>
      <c r="F61" s="329" t="n"/>
      <c r="G61" s="329" t="n"/>
      <c r="H61" s="329" t="n"/>
      <c r="I61" s="389" t="n"/>
      <c r="J61" s="321">
        <f>IF(A67="","",A67&amp;" x"&amp;C67)</f>
        <v/>
      </c>
      <c r="K61" s="322">
        <f>IF(A67="","",ROUNDUP(F67/10,0)*10)</f>
        <v/>
      </c>
      <c r="L61" s="253" t="n"/>
      <c r="M61" s="253" t="n"/>
      <c r="N61" s="253" t="n"/>
      <c r="O61" s="94" t="n"/>
      <c r="P61" s="94" t="n"/>
      <c r="Q61" s="94" t="n"/>
      <c r="R61" s="94" t="n"/>
      <c r="S61" s="94" t="n"/>
      <c r="T61" s="94" t="n"/>
      <c r="U61" s="94" t="n"/>
      <c r="V61" s="94" t="n"/>
      <c r="W61" s="94" t="n"/>
      <c r="X61" s="94" t="n"/>
      <c r="Y61" s="94" t="n"/>
      <c r="Z61" s="94" t="n"/>
    </row>
    <row r="62" ht="20" customHeight="1" s="90">
      <c r="A62" s="390" t="n"/>
      <c r="B62" s="391" t="n"/>
      <c r="C62" s="350" t="n"/>
      <c r="D62" s="334" t="n"/>
      <c r="E62" s="335">
        <f>C62*D62</f>
        <v/>
      </c>
      <c r="F62" s="335">
        <f>IFERROR(E62*(1+VLOOKUP(I62,'Client Setup - Blank'!$A$23:$B$33,2,FALSE)),0)</f>
        <v/>
      </c>
      <c r="G62" s="336">
        <f>'Client Setup - Blank'!B19</f>
        <v/>
      </c>
      <c r="H62" s="392" t="n"/>
      <c r="I62" s="351" t="n"/>
      <c r="J62" s="321">
        <f>IF(A69="","",A69)</f>
        <v/>
      </c>
      <c r="K62" s="322">
        <f>IF(A69="","",ROUNDUP(F69/10,0)*10)</f>
        <v/>
      </c>
      <c r="L62" s="253" t="n"/>
      <c r="M62" s="253" t="n"/>
      <c r="N62" s="253" t="n"/>
      <c r="O62" s="94" t="n"/>
      <c r="P62" s="94" t="n"/>
      <c r="Q62" s="94" t="n"/>
      <c r="R62" s="94" t="n"/>
      <c r="S62" s="94" t="n"/>
      <c r="T62" s="94" t="n"/>
      <c r="U62" s="94" t="n"/>
      <c r="V62" s="94" t="n"/>
      <c r="W62" s="94" t="n"/>
      <c r="X62" s="94" t="n"/>
      <c r="Y62" s="94" t="n"/>
      <c r="Z62" s="94" t="n"/>
    </row>
    <row r="63" ht="20" customHeight="1" s="90">
      <c r="A63" s="393" t="n"/>
      <c r="B63" s="394" t="n"/>
      <c r="C63" s="354" t="n"/>
      <c r="D63" s="343" t="n"/>
      <c r="E63" s="344">
        <f>C63*D63</f>
        <v/>
      </c>
      <c r="F63" s="344">
        <f>IFERROR(E63*(1+VLOOKUP(I63,'Client Setup - Blank'!$A$23:$B$33,2,FALSE)),0)</f>
        <v/>
      </c>
      <c r="G63" s="345">
        <f>'Client Setup - Blank'!B19</f>
        <v/>
      </c>
      <c r="H63" s="395" t="n"/>
      <c r="I63" s="355" t="n"/>
      <c r="J63" s="321">
        <f>IF(A70="","",A70)</f>
        <v/>
      </c>
      <c r="K63" s="322">
        <f>IF(A70="","",ROUNDUP(F70/10,0)*10)</f>
        <v/>
      </c>
      <c r="L63" s="253" t="n"/>
      <c r="M63" s="253" t="n"/>
      <c r="N63" s="253" t="n"/>
      <c r="O63" s="94" t="n"/>
      <c r="P63" s="94" t="n"/>
      <c r="Q63" s="94" t="n"/>
      <c r="R63" s="94" t="n"/>
      <c r="S63" s="94" t="n"/>
      <c r="T63" s="94" t="n"/>
      <c r="U63" s="94" t="n"/>
      <c r="V63" s="94" t="n"/>
      <c r="W63" s="94" t="n"/>
      <c r="X63" s="94" t="n"/>
      <c r="Y63" s="94" t="n"/>
      <c r="Z63" s="94" t="n"/>
    </row>
    <row r="64" ht="20" customHeight="1" s="90">
      <c r="A64" s="390" t="n"/>
      <c r="B64" s="391" t="n"/>
      <c r="C64" s="350" t="n"/>
      <c r="D64" s="334" t="n"/>
      <c r="E64" s="335">
        <f>C64*D64</f>
        <v/>
      </c>
      <c r="F64" s="335">
        <f>IFERROR(E64*(1+VLOOKUP(I64,'Client Setup - Blank'!$A$23:$B$33,2,FALSE)),0)</f>
        <v/>
      </c>
      <c r="G64" s="336">
        <f>'Client Setup - Blank'!B19</f>
        <v/>
      </c>
      <c r="H64" s="392" t="n"/>
      <c r="I64" s="351" t="n"/>
      <c r="J64" s="321">
        <f>IF(A71="","",A71)</f>
        <v/>
      </c>
      <c r="K64" s="322">
        <f>IF(A71="","",ROUNDUP(F71/10,0)*10)</f>
        <v/>
      </c>
      <c r="L64" s="253" t="n"/>
      <c r="M64" s="253" t="n"/>
      <c r="N64" s="253" t="n"/>
      <c r="O64" s="94" t="n"/>
      <c r="P64" s="94" t="n"/>
      <c r="Q64" s="94" t="n"/>
      <c r="R64" s="94" t="n"/>
      <c r="S64" s="94" t="n"/>
      <c r="T64" s="94" t="n"/>
      <c r="U64" s="94" t="n"/>
      <c r="V64" s="94" t="n"/>
      <c r="W64" s="94" t="n"/>
      <c r="X64" s="94" t="n"/>
      <c r="Y64" s="94" t="n"/>
      <c r="Z64" s="94" t="n"/>
    </row>
    <row r="65" ht="20" customHeight="1" s="90">
      <c r="A65" s="393" t="n"/>
      <c r="B65" s="394" t="n"/>
      <c r="C65" s="354" t="n"/>
      <c r="D65" s="343" t="n"/>
      <c r="E65" s="344">
        <f>C65*D65</f>
        <v/>
      </c>
      <c r="F65" s="344">
        <f>IFERROR(E65*(1+VLOOKUP(I65,'Client Setup - Blank'!$A$23:$B$33,2,FALSE)),0)</f>
        <v/>
      </c>
      <c r="G65" s="345">
        <f>'Client Setup - Blank'!B19</f>
        <v/>
      </c>
      <c r="H65" s="395" t="n"/>
      <c r="I65" s="355" t="n"/>
      <c r="J65" s="321">
        <f>IF(A72="","",A72)</f>
        <v/>
      </c>
      <c r="K65" s="322">
        <f>IF(A72="","",ROUNDUP(F72/10,0)*10)</f>
        <v/>
      </c>
      <c r="L65" s="253" t="n"/>
      <c r="M65" s="253" t="n"/>
      <c r="N65" s="253" t="n"/>
      <c r="O65" s="94" t="n"/>
      <c r="P65" s="94" t="n"/>
      <c r="Q65" s="94" t="n"/>
      <c r="R65" s="94" t="n"/>
      <c r="S65" s="94" t="n"/>
      <c r="T65" s="94" t="n"/>
      <c r="U65" s="94" t="n"/>
      <c r="V65" s="94" t="n"/>
      <c r="W65" s="94" t="n"/>
      <c r="X65" s="94" t="n"/>
      <c r="Y65" s="94" t="n"/>
      <c r="Z65" s="94" t="n"/>
    </row>
    <row r="66" ht="20" customHeight="1" s="90">
      <c r="A66" s="390" t="n"/>
      <c r="B66" s="391" t="n"/>
      <c r="C66" s="350" t="n"/>
      <c r="D66" s="334" t="n"/>
      <c r="E66" s="335">
        <f>C66*D66</f>
        <v/>
      </c>
      <c r="F66" s="335">
        <f>IFERROR(E66*(1+VLOOKUP(I66,'Client Setup - Blank'!$A$23:$B$33,2,FALSE)),0)</f>
        <v/>
      </c>
      <c r="G66" s="336">
        <f>'Client Setup - Blank'!B19</f>
        <v/>
      </c>
      <c r="H66" s="392" t="n"/>
      <c r="I66" s="351" t="n"/>
      <c r="J66" s="321">
        <f>IF(A73="","",A73)</f>
        <v/>
      </c>
      <c r="K66" s="322">
        <f>IF(A73="","",ROUNDUP(F73/10,0)*10)</f>
        <v/>
      </c>
      <c r="L66" s="253" t="n"/>
      <c r="M66" s="253" t="n"/>
      <c r="N66" s="253" t="n"/>
      <c r="O66" s="94" t="n"/>
      <c r="P66" s="94" t="n"/>
      <c r="Q66" s="94" t="n"/>
      <c r="R66" s="94" t="n"/>
      <c r="S66" s="94" t="n"/>
      <c r="T66" s="94" t="n"/>
      <c r="U66" s="94" t="n"/>
      <c r="V66" s="94" t="n"/>
      <c r="W66" s="94" t="n"/>
      <c r="X66" s="94" t="n"/>
      <c r="Y66" s="94" t="n"/>
      <c r="Z66" s="94" t="n"/>
    </row>
    <row r="67" ht="20" customHeight="1" s="90">
      <c r="A67" s="393" t="n"/>
      <c r="B67" s="394" t="n"/>
      <c r="C67" s="354" t="n"/>
      <c r="D67" s="343" t="n"/>
      <c r="E67" s="344">
        <f>C67*D67</f>
        <v/>
      </c>
      <c r="F67" s="344">
        <f>IFERROR(E67*(1+VLOOKUP(I67,'Client Setup - Blank'!$A$23:$B$33,2,FALSE)),0)</f>
        <v/>
      </c>
      <c r="G67" s="345">
        <f>'Client Setup - Blank'!B19</f>
        <v/>
      </c>
      <c r="H67" s="395" t="n"/>
      <c r="I67" s="355" t="n"/>
      <c r="J67" s="321">
        <f>IF(A74="","",A74)</f>
        <v/>
      </c>
      <c r="K67" s="322">
        <f>IF(A74="","",ROUNDUP(F74/10,0)*10)</f>
        <v/>
      </c>
      <c r="L67" s="253" t="n"/>
      <c r="M67" s="253" t="n"/>
      <c r="N67" s="253" t="n"/>
      <c r="O67" s="94" t="n"/>
      <c r="P67" s="94" t="n"/>
      <c r="Q67" s="94" t="n"/>
      <c r="R67" s="94" t="n"/>
      <c r="S67" s="94" t="n"/>
      <c r="T67" s="94" t="n"/>
      <c r="U67" s="94" t="n"/>
      <c r="V67" s="94" t="n"/>
      <c r="W67" s="94" t="n"/>
      <c r="X67" s="94" t="n"/>
      <c r="Y67" s="94" t="n"/>
      <c r="Z67" s="94" t="n"/>
    </row>
    <row r="68" ht="25" customHeight="1" s="90">
      <c r="A68" s="328" t="inlineStr">
        <is>
          <t>NON-TAXABLE RENTAL FEES</t>
        </is>
      </c>
      <c r="B68" s="329" t="n"/>
      <c r="C68" s="329" t="n"/>
      <c r="D68" s="329" t="n"/>
      <c r="E68" s="329" t="n"/>
      <c r="F68" s="329" t="n"/>
      <c r="G68" s="329" t="n"/>
      <c r="H68" s="329" t="n"/>
      <c r="I68" s="389" t="n"/>
      <c r="J68" s="423" t="inlineStr">
        <is>
          <t>Rentals &amp; Lounge Subtotal</t>
        </is>
      </c>
      <c r="K68" s="424">
        <f>SUM(K32:K67)</f>
        <v/>
      </c>
      <c r="L68" s="253" t="n"/>
      <c r="M68" s="253" t="n"/>
      <c r="N68" s="253" t="n"/>
      <c r="O68" s="94" t="n"/>
      <c r="P68" s="94" t="n"/>
      <c r="Q68" s="94" t="n"/>
      <c r="R68" s="94" t="n"/>
      <c r="S68" s="94" t="n"/>
      <c r="T68" s="94" t="n"/>
      <c r="U68" s="94" t="n"/>
      <c r="V68" s="94" t="n"/>
      <c r="W68" s="94" t="n"/>
      <c r="X68" s="94" t="n"/>
      <c r="Y68" s="94" t="n"/>
      <c r="Z68" s="94" t="n"/>
    </row>
    <row r="69" ht="20" customHeight="1" s="90">
      <c r="A69" s="390" t="n"/>
      <c r="B69" s="391" t="n"/>
      <c r="C69" s="398" t="n"/>
      <c r="D69" s="334" t="n"/>
      <c r="E69" s="335">
        <f>D69</f>
        <v/>
      </c>
      <c r="F69" s="335">
        <f>IFERROR(E69*(1+VLOOKUP(I69,'Client Setup - Blank'!$A$23:$B$33,2,FALSE)),0)</f>
        <v/>
      </c>
      <c r="G69" s="336" t="n">
        <v>0</v>
      </c>
      <c r="H69" s="392" t="n"/>
      <c r="I69" s="351" t="inlineStr">
        <is>
          <t>Delivery &amp; Logistics</t>
        </is>
      </c>
      <c r="J69" s="327" t="n"/>
      <c r="K69" s="327" t="n"/>
      <c r="L69" s="253" t="n"/>
      <c r="M69" s="253" t="n"/>
      <c r="N69" s="253" t="n"/>
      <c r="O69" s="94" t="n"/>
      <c r="P69" s="94" t="n"/>
      <c r="Q69" s="94" t="n"/>
      <c r="R69" s="94" t="n"/>
      <c r="S69" s="94" t="n"/>
      <c r="T69" s="94" t="n"/>
      <c r="U69" s="94" t="n"/>
      <c r="V69" s="94" t="n"/>
      <c r="W69" s="94" t="n"/>
      <c r="X69" s="94" t="n"/>
      <c r="Y69" s="94" t="n"/>
      <c r="Z69" s="94" t="n"/>
    </row>
    <row r="70" ht="20" customHeight="1" s="90">
      <c r="A70" s="393" t="n"/>
      <c r="B70" s="394" t="n"/>
      <c r="C70" s="399" t="n"/>
      <c r="D70" s="343" t="n"/>
      <c r="E70" s="344">
        <f>D70</f>
        <v/>
      </c>
      <c r="F70" s="344">
        <f>IFERROR(E70*(1+VLOOKUP(I70,'Client Setup - Blank'!$A$23:$B$33,2,FALSE)),0)</f>
        <v/>
      </c>
      <c r="G70" s="345" t="n">
        <v>0</v>
      </c>
      <c r="H70" s="395" t="n"/>
      <c r="I70" s="355" t="inlineStr">
        <is>
          <t>Delivery &amp; Logistics</t>
        </is>
      </c>
      <c r="J70" s="321">
        <f>A77</f>
        <v/>
      </c>
      <c r="K70" s="319" t="n"/>
      <c r="L70" s="253" t="n"/>
      <c r="M70" s="253" t="n"/>
      <c r="N70" s="253" t="n"/>
      <c r="O70" s="94" t="n"/>
      <c r="P70" s="94" t="n"/>
      <c r="Q70" s="94" t="n"/>
      <c r="R70" s="94" t="n"/>
      <c r="S70" s="94" t="n"/>
      <c r="T70" s="94" t="n"/>
      <c r="U70" s="94" t="n"/>
      <c r="V70" s="94" t="n"/>
      <c r="W70" s="94" t="n"/>
      <c r="X70" s="94" t="n"/>
      <c r="Y70" s="94" t="n"/>
      <c r="Z70" s="94" t="n"/>
    </row>
    <row r="71" ht="20" customHeight="1" s="90">
      <c r="A71" s="390" t="n"/>
      <c r="B71" s="391" t="n"/>
      <c r="C71" s="398" t="n"/>
      <c r="D71" s="334" t="n"/>
      <c r="E71" s="335">
        <f>D71</f>
        <v/>
      </c>
      <c r="F71" s="335">
        <f>IFERROR(E71*(1+VLOOKUP(I71,'Client Setup - Blank'!$A$23:$B$33,2,FALSE)),0)</f>
        <v/>
      </c>
      <c r="G71" s="336" t="n">
        <v>0</v>
      </c>
      <c r="H71" s="392" t="n"/>
      <c r="I71" s="351" t="inlineStr">
        <is>
          <t>Delivery &amp; Logistics</t>
        </is>
      </c>
      <c r="J71" s="321">
        <f>IF(A80="","",A80&amp;" x"&amp;C80)</f>
        <v/>
      </c>
      <c r="K71" s="322">
        <f>IF(A80="","",ROUNDUP(F80/10,0)*10)</f>
        <v/>
      </c>
      <c r="L71" s="253" t="n"/>
      <c r="M71" s="253" t="n"/>
      <c r="N71" s="253" t="n"/>
      <c r="O71" s="94" t="n"/>
      <c r="P71" s="94" t="n"/>
      <c r="Q71" s="94" t="n"/>
      <c r="R71" s="94" t="n"/>
      <c r="S71" s="94" t="n"/>
      <c r="T71" s="94" t="n"/>
      <c r="U71" s="94" t="n"/>
      <c r="V71" s="94" t="n"/>
      <c r="W71" s="94" t="n"/>
      <c r="X71" s="94" t="n"/>
      <c r="Y71" s="94" t="n"/>
      <c r="Z71" s="94" t="n"/>
    </row>
    <row r="72" ht="20" customHeight="1" s="90">
      <c r="A72" s="393" t="n"/>
      <c r="B72" s="394" t="n"/>
      <c r="C72" s="399" t="n"/>
      <c r="D72" s="343" t="n"/>
      <c r="E72" s="344">
        <f>D72</f>
        <v/>
      </c>
      <c r="F72" s="344">
        <f>IFERROR(E72*(1+VLOOKUP(I72,'Client Setup - Blank'!$A$23:$B$33,2,FALSE)),0)</f>
        <v/>
      </c>
      <c r="G72" s="345" t="n">
        <v>0</v>
      </c>
      <c r="H72" s="395" t="n"/>
      <c r="I72" s="355" t="inlineStr">
        <is>
          <t>Delivery &amp; Logistics</t>
        </is>
      </c>
      <c r="J72" s="321">
        <f>IF(A81="","",A81&amp;" x"&amp;C81)</f>
        <v/>
      </c>
      <c r="K72" s="322">
        <f>IF(A81="","",ROUNDUP(F81/10,0)*10)</f>
        <v/>
      </c>
      <c r="L72" s="253" t="n"/>
      <c r="M72" s="253" t="n"/>
      <c r="N72" s="253" t="n"/>
      <c r="O72" s="94" t="n"/>
      <c r="P72" s="94" t="n"/>
      <c r="Q72" s="94" t="n"/>
      <c r="R72" s="94" t="n"/>
      <c r="S72" s="94" t="n"/>
      <c r="T72" s="94" t="n"/>
      <c r="U72" s="94" t="n"/>
      <c r="V72" s="94" t="n"/>
      <c r="W72" s="94" t="n"/>
      <c r="X72" s="94" t="n"/>
      <c r="Y72" s="94" t="n"/>
      <c r="Z72" s="94" t="n"/>
    </row>
    <row r="73" ht="20" customHeight="1" s="90">
      <c r="A73" s="390" t="n"/>
      <c r="B73" s="391" t="n"/>
      <c r="C73" s="398" t="n"/>
      <c r="D73" s="334" t="n"/>
      <c r="E73" s="335">
        <f>D73</f>
        <v/>
      </c>
      <c r="F73" s="335">
        <f>IFERROR(E73*(1+VLOOKUP(I73,'Client Setup - Blank'!$A$23:$B$33,2,FALSE)),0)</f>
        <v/>
      </c>
      <c r="G73" s="336" t="n">
        <v>0</v>
      </c>
      <c r="H73" s="392" t="n"/>
      <c r="I73" s="351" t="inlineStr">
        <is>
          <t>Delivery &amp; Logistics</t>
        </is>
      </c>
      <c r="J73" s="321">
        <f>IF(A82="","",A82&amp;" x"&amp;C82)</f>
        <v/>
      </c>
      <c r="K73" s="322">
        <f>IF(A82="","",ROUNDUP(F82/10,0)*10)</f>
        <v/>
      </c>
      <c r="L73" s="253" t="n"/>
      <c r="M73" s="253" t="n"/>
      <c r="N73" s="253" t="n"/>
      <c r="O73" s="94" t="n"/>
      <c r="P73" s="94" t="n"/>
      <c r="Q73" s="94" t="n"/>
      <c r="R73" s="94" t="n"/>
      <c r="S73" s="94" t="n"/>
      <c r="T73" s="94" t="n"/>
      <c r="U73" s="94" t="n"/>
      <c r="V73" s="94" t="n"/>
      <c r="W73" s="94" t="n"/>
      <c r="X73" s="94" t="n"/>
      <c r="Y73" s="94" t="n"/>
      <c r="Z73" s="94" t="n"/>
    </row>
    <row r="74" ht="20" customHeight="1" s="90">
      <c r="A74" s="393" t="n"/>
      <c r="B74" s="394" t="n"/>
      <c r="C74" s="399" t="n"/>
      <c r="D74" s="343" t="n"/>
      <c r="E74" s="344">
        <f>D74</f>
        <v/>
      </c>
      <c r="F74" s="344">
        <f>IFERROR(E74*(1+VLOOKUP(I74,'Client Setup - Blank'!$A$23:$B$33,2,FALSE)),0)</f>
        <v/>
      </c>
      <c r="G74" s="345" t="n">
        <v>0</v>
      </c>
      <c r="H74" s="395" t="n"/>
      <c r="I74" s="355" t="inlineStr">
        <is>
          <t>Delivery &amp; Logistics</t>
        </is>
      </c>
      <c r="J74" s="321">
        <f>IF(A83="","",A83&amp;" x"&amp;C83)</f>
        <v/>
      </c>
      <c r="K74" s="322">
        <f>IF(A83="","",ROUNDUP(F83/10,0)*10)</f>
        <v/>
      </c>
      <c r="L74" s="253" t="n"/>
      <c r="M74" s="253" t="n"/>
      <c r="N74" s="253" t="n"/>
      <c r="O74" s="94" t="n"/>
      <c r="P74" s="94" t="n"/>
      <c r="Q74" s="94" t="n"/>
      <c r="R74" s="94" t="n"/>
      <c r="S74" s="94" t="n"/>
      <c r="T74" s="94" t="n"/>
      <c r="U74" s="94" t="n"/>
      <c r="V74" s="94" t="n"/>
      <c r="W74" s="94" t="n"/>
      <c r="X74" s="94" t="n"/>
      <c r="Y74" s="94" t="n"/>
      <c r="Z74" s="94" t="n"/>
    </row>
    <row r="75" ht="22" customHeight="1" s="90">
      <c r="A75" s="359" t="inlineStr">
        <is>
          <t>RENTALS &amp; LOUNGE SUBTOTAL</t>
        </is>
      </c>
      <c r="B75" s="362" t="n"/>
      <c r="C75" s="362" t="n"/>
      <c r="D75" s="362" t="n"/>
      <c r="E75" s="361">
        <f>SUM(E35:E42)+SUM(E44:E51)+SUM(E53:E60)+SUM(E62:E67)+SUM(E69:E74)</f>
        <v/>
      </c>
      <c r="F75" s="361">
        <f>SUM(F35:F42)+SUM(F44:F51)+SUM(F53:F60)+SUM(F62:F67)+SUM(F69:F74)</f>
        <v/>
      </c>
      <c r="G75" s="362" t="n"/>
      <c r="H75" s="362" t="n"/>
      <c r="I75" s="362" t="n"/>
      <c r="J75" s="321">
        <f>IF(A84="","",A84&amp;" x"&amp;C84)</f>
        <v/>
      </c>
      <c r="K75" s="322">
        <f>IF(A84="","",ROUNDUP(F84/10,0)*10)</f>
        <v/>
      </c>
      <c r="L75" s="253" t="n"/>
      <c r="M75" s="253" t="n"/>
      <c r="N75" s="253" t="n"/>
      <c r="O75" s="94" t="n"/>
      <c r="P75" s="94" t="n"/>
      <c r="Q75" s="94" t="n"/>
      <c r="R75" s="94" t="n"/>
      <c r="S75" s="94" t="n"/>
      <c r="T75" s="94" t="n"/>
      <c r="U75" s="94" t="n"/>
      <c r="V75" s="94" t="n"/>
      <c r="W75" s="94" t="n"/>
      <c r="X75" s="94" t="n"/>
      <c r="Y75" s="94" t="n"/>
      <c r="Z75" s="94" t="n"/>
    </row>
    <row r="76" ht="21.75" customHeight="1" s="90">
      <c r="A76" s="253" t="n"/>
      <c r="B76" s="253" t="n"/>
      <c r="C76" s="253" t="n"/>
      <c r="D76" s="253" t="n"/>
      <c r="E76" s="253" t="n"/>
      <c r="F76" s="253" t="n"/>
      <c r="G76" s="253" t="n"/>
      <c r="H76" s="253" t="n"/>
      <c r="I76" s="253" t="n"/>
      <c r="J76" s="321">
        <f>IF(A85="","",A85&amp;" x"&amp;C85)</f>
        <v/>
      </c>
      <c r="K76" s="322">
        <f>IF(A85="","",ROUNDUP(F85/10,0)*10)</f>
        <v/>
      </c>
      <c r="L76" s="253" t="n"/>
      <c r="M76" s="253" t="n"/>
      <c r="N76" s="253" t="n"/>
      <c r="O76" s="94" t="n"/>
      <c r="P76" s="94" t="n"/>
      <c r="Q76" s="94" t="n"/>
      <c r="R76" s="94" t="n"/>
      <c r="S76" s="94" t="n"/>
      <c r="T76" s="94" t="n"/>
      <c r="U76" s="94" t="n"/>
      <c r="V76" s="94" t="n"/>
      <c r="W76" s="94" t="n"/>
      <c r="X76" s="94" t="n"/>
      <c r="Y76" s="94" t="n"/>
      <c r="Z76" s="94" t="n"/>
    </row>
    <row r="77" ht="27" customHeight="1" s="90">
      <c r="A77" s="254" t="inlineStr">
        <is>
          <t>AV / PRODUCTION</t>
        </is>
      </c>
      <c r="B77" s="269" t="n"/>
      <c r="C77" s="269" t="n"/>
      <c r="D77" s="269" t="n"/>
      <c r="E77" s="269" t="n"/>
      <c r="F77" s="269" t="n"/>
      <c r="G77" s="269" t="n"/>
      <c r="H77" s="269" t="n"/>
      <c r="I77" s="257" t="n"/>
      <c r="J77" s="321">
        <f>IF(A86="","",A86&amp;" x"&amp;C86)</f>
        <v/>
      </c>
      <c r="K77" s="322">
        <f>IF(A86="","",ROUNDUP(F86/10,0)*10)</f>
        <v/>
      </c>
      <c r="L77" s="253" t="n"/>
      <c r="M77" s="253" t="n"/>
      <c r="N77" s="253" t="n"/>
      <c r="O77" s="94" t="n"/>
      <c r="P77" s="94" t="n"/>
      <c r="Q77" s="94" t="n"/>
      <c r="R77" s="94" t="n"/>
      <c r="S77" s="94" t="n"/>
      <c r="T77" s="94" t="n"/>
      <c r="U77" s="94" t="n"/>
      <c r="V77" s="94" t="n"/>
      <c r="W77" s="94" t="n"/>
      <c r="X77" s="94" t="n"/>
      <c r="Y77" s="94" t="n"/>
      <c r="Z77" s="94" t="n"/>
    </row>
    <row r="78" ht="23" customHeight="1" s="90">
      <c r="A78" s="273" t="inlineStr">
        <is>
          <t>Item</t>
        </is>
      </c>
      <c r="B78" s="273" t="inlineStr">
        <is>
          <t>Vendor</t>
        </is>
      </c>
      <c r="C78" s="273" t="inlineStr">
        <is>
          <t>Qty</t>
        </is>
      </c>
      <c r="D78" s="273" t="inlineStr">
        <is>
          <t>Unit Price</t>
        </is>
      </c>
      <c r="E78" s="273" t="inlineStr">
        <is>
          <t>Our Cost</t>
        </is>
      </c>
      <c r="F78" s="273" t="inlineStr">
        <is>
          <t>Client Cost</t>
        </is>
      </c>
      <c r="G78" s="273" t="inlineStr">
        <is>
          <t>Tax Rate</t>
        </is>
      </c>
      <c r="H78" s="273" t="inlineStr">
        <is>
          <t>Notes / Description</t>
        </is>
      </c>
      <c r="I78" s="276" t="n"/>
      <c r="J78" s="321">
        <f>IF(A87="","",A87&amp;" x"&amp;C87)</f>
        <v/>
      </c>
      <c r="K78" s="322">
        <f>IF(A87="","",ROUNDUP(F87/10,0)*10)</f>
        <v/>
      </c>
      <c r="L78" s="253" t="n"/>
      <c r="M78" s="253" t="n"/>
      <c r="N78" s="253" t="n"/>
      <c r="O78" s="94" t="n"/>
      <c r="P78" s="94" t="n"/>
      <c r="Q78" s="94" t="n"/>
      <c r="R78" s="94" t="n"/>
      <c r="S78" s="94" t="n"/>
      <c r="T78" s="94" t="n"/>
      <c r="U78" s="94" t="n"/>
      <c r="V78" s="94" t="n"/>
      <c r="W78" s="94" t="n"/>
      <c r="X78" s="94" t="n"/>
      <c r="Y78" s="94" t="n"/>
      <c r="Z78" s="94" t="n"/>
    </row>
    <row r="79" ht="25" customHeight="1" s="90">
      <c r="A79" s="328" t="inlineStr">
        <is>
          <t>TAXABLE AV &amp; PRODUCTION EQUIPMENT</t>
        </is>
      </c>
      <c r="B79" s="329" t="n"/>
      <c r="C79" s="329" t="n"/>
      <c r="D79" s="329" t="n"/>
      <c r="E79" s="329" t="n"/>
      <c r="F79" s="329" t="n"/>
      <c r="G79" s="329" t="n"/>
      <c r="H79" s="329" t="n"/>
      <c r="I79" s="389" t="n"/>
      <c r="J79" s="321">
        <f>IF(A88="","",A88&amp;" x"&amp;C88)</f>
        <v/>
      </c>
      <c r="K79" s="322">
        <f>IF(A88="","",ROUNDUP(F88/10,0)*10)</f>
        <v/>
      </c>
      <c r="L79" s="253" t="n"/>
      <c r="M79" s="253" t="n"/>
      <c r="N79" s="253" t="n"/>
      <c r="O79" s="94" t="n"/>
      <c r="P79" s="94" t="n"/>
      <c r="Q79" s="94" t="n"/>
      <c r="R79" s="94" t="n"/>
      <c r="S79" s="94" t="n"/>
      <c r="T79" s="94" t="n"/>
      <c r="U79" s="94" t="n"/>
      <c r="V79" s="94" t="n"/>
      <c r="W79" s="94" t="n"/>
      <c r="X79" s="94" t="n"/>
      <c r="Y79" s="94" t="n"/>
      <c r="Z79" s="94" t="n"/>
    </row>
    <row r="80" ht="20" customHeight="1" s="90">
      <c r="A80" s="401" t="n"/>
      <c r="B80" s="402" t="n"/>
      <c r="C80" s="348" t="n"/>
      <c r="D80" s="403" t="n"/>
      <c r="E80" s="335">
        <f>C80*D80</f>
        <v/>
      </c>
      <c r="F80" s="335">
        <f>IFERROR(E80*(1+VLOOKUP(I80,'Client Setup - Blank'!$A$23:$B$33,2,FALSE)),0)</f>
        <v/>
      </c>
      <c r="G80" s="336">
        <f>'Client Setup - Blank'!B19</f>
        <v/>
      </c>
      <c r="H80" s="404" t="n"/>
      <c r="I80" s="337" t="inlineStr">
        <is>
          <t>AV &amp; Production</t>
        </is>
      </c>
      <c r="J80" s="321">
        <f>IF(A89="","",A89&amp;" x"&amp;C89)</f>
        <v/>
      </c>
      <c r="K80" s="322">
        <f>IF(A89="","",ROUNDUP(F89/10,0)*10)</f>
        <v/>
      </c>
      <c r="L80" s="253" t="n"/>
      <c r="M80" s="253" t="n"/>
      <c r="N80" s="253" t="n"/>
      <c r="O80" s="94" t="n"/>
      <c r="P80" s="94" t="n"/>
      <c r="Q80" s="94" t="n"/>
      <c r="R80" s="94" t="n"/>
      <c r="S80" s="94" t="n"/>
      <c r="T80" s="94" t="n"/>
      <c r="U80" s="94" t="n"/>
      <c r="V80" s="94" t="n"/>
      <c r="W80" s="94" t="n"/>
      <c r="X80" s="94" t="n"/>
      <c r="Y80" s="94" t="n"/>
      <c r="Z80" s="94" t="n"/>
    </row>
    <row r="81" ht="20" customHeight="1" s="90">
      <c r="A81" s="405" t="n"/>
      <c r="B81" s="406" t="n"/>
      <c r="C81" s="407" t="n"/>
      <c r="D81" s="408" t="n"/>
      <c r="E81" s="344">
        <f>C81*D81</f>
        <v/>
      </c>
      <c r="F81" s="344">
        <f>IFERROR(E81*(1+VLOOKUP(I81,'Client Setup - Blank'!$A$23:$B$33,2,FALSE)),0)</f>
        <v/>
      </c>
      <c r="G81" s="345">
        <f>'Client Setup - Blank'!B19</f>
        <v/>
      </c>
      <c r="H81" s="409" t="n"/>
      <c r="I81" s="346" t="inlineStr">
        <is>
          <t>AV &amp; Production</t>
        </is>
      </c>
      <c r="J81" s="321">
        <f>IF(A91="","",A91)</f>
        <v/>
      </c>
      <c r="K81" s="322">
        <f>IF(A91="","",ROUNDUP(F91/10,0)*10)</f>
        <v/>
      </c>
      <c r="L81" s="253" t="n"/>
      <c r="M81" s="253" t="n"/>
      <c r="N81" s="253" t="n"/>
      <c r="O81" s="94" t="n"/>
      <c r="P81" s="94" t="n"/>
      <c r="Q81" s="94" t="n"/>
      <c r="R81" s="94" t="n"/>
      <c r="S81" s="94" t="n"/>
      <c r="T81" s="94" t="n"/>
      <c r="U81" s="94" t="n"/>
      <c r="V81" s="94" t="n"/>
      <c r="W81" s="94" t="n"/>
      <c r="X81" s="94" t="n"/>
      <c r="Y81" s="94" t="n"/>
      <c r="Z81" s="94" t="n"/>
    </row>
    <row r="82" ht="20" customHeight="1" s="90">
      <c r="A82" s="401" t="n"/>
      <c r="B82" s="402" t="n"/>
      <c r="C82" s="348" t="n"/>
      <c r="D82" s="403" t="n"/>
      <c r="E82" s="335">
        <f>C82*D82</f>
        <v/>
      </c>
      <c r="F82" s="335">
        <f>IFERROR(E82*(1+VLOOKUP(I82,'Client Setup - Blank'!$A$23:$B$33,2,FALSE)),0)</f>
        <v/>
      </c>
      <c r="G82" s="336">
        <f>'Client Setup - Blank'!B19</f>
        <v/>
      </c>
      <c r="H82" s="404" t="n"/>
      <c r="I82" s="337" t="inlineStr">
        <is>
          <t>AV &amp; Production</t>
        </is>
      </c>
      <c r="J82" s="321">
        <f>IF(A92="","",A92)</f>
        <v/>
      </c>
      <c r="K82" s="322">
        <f>IF(A92="","",ROUNDUP(F92/10,0)*10)</f>
        <v/>
      </c>
      <c r="L82" s="253" t="n"/>
      <c r="M82" s="253" t="n"/>
      <c r="N82" s="253" t="n"/>
      <c r="O82" s="94" t="n"/>
      <c r="P82" s="94" t="n"/>
      <c r="Q82" s="94" t="n"/>
      <c r="R82" s="94" t="n"/>
      <c r="S82" s="94" t="n"/>
      <c r="T82" s="94" t="n"/>
      <c r="U82" s="94" t="n"/>
      <c r="V82" s="94" t="n"/>
      <c r="W82" s="94" t="n"/>
      <c r="X82" s="94" t="n"/>
      <c r="Y82" s="94" t="n"/>
      <c r="Z82" s="94" t="n"/>
    </row>
    <row r="83" ht="20" customHeight="1" s="90">
      <c r="A83" s="405" t="n"/>
      <c r="B83" s="406" t="n"/>
      <c r="C83" s="407" t="n"/>
      <c r="D83" s="408" t="n"/>
      <c r="E83" s="344">
        <f>C83*D83</f>
        <v/>
      </c>
      <c r="F83" s="344">
        <f>IFERROR(E83*(1+VLOOKUP(I83,'Client Setup - Blank'!$A$23:$B$33,2,FALSE)),0)</f>
        <v/>
      </c>
      <c r="G83" s="345">
        <f>'Client Setup - Blank'!B19</f>
        <v/>
      </c>
      <c r="H83" s="409" t="n"/>
      <c r="I83" s="346" t="inlineStr">
        <is>
          <t>AV &amp; Production</t>
        </is>
      </c>
      <c r="J83" s="321">
        <f>IF(A93="","",A93)</f>
        <v/>
      </c>
      <c r="K83" s="322">
        <f>IF(A93="","",ROUNDUP(F93/10,0)*10)</f>
        <v/>
      </c>
      <c r="L83" s="253" t="n"/>
      <c r="M83" s="253" t="n"/>
      <c r="N83" s="253" t="n"/>
      <c r="O83" s="94" t="n"/>
      <c r="P83" s="94" t="n"/>
      <c r="Q83" s="94" t="n"/>
      <c r="R83" s="94" t="n"/>
      <c r="S83" s="94" t="n"/>
      <c r="T83" s="94" t="n"/>
      <c r="U83" s="94" t="n"/>
      <c r="V83" s="94" t="n"/>
      <c r="W83" s="94" t="n"/>
      <c r="X83" s="94" t="n"/>
      <c r="Y83" s="94" t="n"/>
      <c r="Z83" s="94" t="n"/>
    </row>
    <row r="84" ht="20" customHeight="1" s="90">
      <c r="A84" s="401" t="n"/>
      <c r="B84" s="402" t="n"/>
      <c r="C84" s="348" t="n"/>
      <c r="D84" s="403" t="n"/>
      <c r="E84" s="335">
        <f>C84*D84</f>
        <v/>
      </c>
      <c r="F84" s="335">
        <f>IFERROR(E84*(1+VLOOKUP(I84,'Client Setup - Blank'!$A$23:$B$33,2,FALSE)),0)</f>
        <v/>
      </c>
      <c r="G84" s="336">
        <f>'Client Setup - Blank'!B19</f>
        <v/>
      </c>
      <c r="H84" s="404" t="n"/>
      <c r="I84" s="337" t="inlineStr">
        <is>
          <t>AV &amp; Production</t>
        </is>
      </c>
      <c r="J84" s="321">
        <f>IF(A94="","",A94)</f>
        <v/>
      </c>
      <c r="K84" s="322">
        <f>IF(A94="","",ROUNDUP(F94/10,0)*10)</f>
        <v/>
      </c>
      <c r="L84" s="253" t="n"/>
      <c r="M84" s="253" t="n"/>
      <c r="N84" s="253" t="n"/>
      <c r="O84" s="94" t="n"/>
      <c r="P84" s="94" t="n"/>
      <c r="Q84" s="94" t="n"/>
      <c r="R84" s="94" t="n"/>
      <c r="S84" s="94" t="n"/>
      <c r="T84" s="94" t="n"/>
      <c r="U84" s="94" t="n"/>
      <c r="V84" s="94" t="n"/>
      <c r="W84" s="94" t="n"/>
      <c r="X84" s="94" t="n"/>
      <c r="Y84" s="94" t="n"/>
      <c r="Z84" s="94" t="n"/>
    </row>
    <row r="85" ht="20" customHeight="1" s="90">
      <c r="A85" s="405" t="n"/>
      <c r="B85" s="406" t="n"/>
      <c r="C85" s="407" t="n"/>
      <c r="D85" s="408" t="n"/>
      <c r="E85" s="344">
        <f>C85*D85</f>
        <v/>
      </c>
      <c r="F85" s="344">
        <f>IFERROR(E85*(1+VLOOKUP(I85,'Client Setup - Blank'!$A$23:$B$33,2,FALSE)),0)</f>
        <v/>
      </c>
      <c r="G85" s="345">
        <f>'Client Setup - Blank'!B19</f>
        <v/>
      </c>
      <c r="H85" s="409" t="n"/>
      <c r="I85" s="346" t="inlineStr">
        <is>
          <t>AV &amp; Production</t>
        </is>
      </c>
      <c r="J85" s="321">
        <f>IF(A95="","",A95)</f>
        <v/>
      </c>
      <c r="K85" s="322">
        <f>IF(A95="","",ROUNDUP(F95/10,0)*10)</f>
        <v/>
      </c>
      <c r="L85" s="253" t="n"/>
      <c r="M85" s="253" t="n"/>
      <c r="N85" s="253" t="n"/>
      <c r="O85" s="94" t="n"/>
      <c r="P85" s="94" t="n"/>
      <c r="Q85" s="94" t="n"/>
      <c r="R85" s="94" t="n"/>
      <c r="S85" s="94" t="n"/>
      <c r="T85" s="94" t="n"/>
      <c r="U85" s="94" t="n"/>
      <c r="V85" s="94" t="n"/>
      <c r="W85" s="94" t="n"/>
      <c r="X85" s="94" t="n"/>
      <c r="Y85" s="94" t="n"/>
      <c r="Z85" s="94" t="n"/>
    </row>
    <row r="86" ht="20" customHeight="1" s="90">
      <c r="A86" s="401" t="n"/>
      <c r="B86" s="402" t="n"/>
      <c r="C86" s="348" t="n"/>
      <c r="D86" s="403" t="n"/>
      <c r="E86" s="335">
        <f>C86*D86</f>
        <v/>
      </c>
      <c r="F86" s="335">
        <f>IFERROR(E86*(1+VLOOKUP(I86,'Client Setup - Blank'!$A$23:$B$33,2,FALSE)),0)</f>
        <v/>
      </c>
      <c r="G86" s="336">
        <f>'Client Setup - Blank'!B19</f>
        <v/>
      </c>
      <c r="H86" s="404" t="n"/>
      <c r="I86" s="337" t="inlineStr">
        <is>
          <t>AV &amp; Production</t>
        </is>
      </c>
      <c r="J86" s="423" t="inlineStr">
        <is>
          <t>AV / Production Subtotal</t>
        </is>
      </c>
      <c r="K86" s="424">
        <f>SUM(K71:K85)</f>
        <v/>
      </c>
      <c r="L86" s="253" t="n"/>
      <c r="M86" s="253" t="n"/>
      <c r="N86" s="253" t="n"/>
      <c r="O86" s="94" t="n"/>
      <c r="P86" s="94" t="n"/>
      <c r="Q86" s="94" t="n"/>
      <c r="R86" s="94" t="n"/>
      <c r="S86" s="94" t="n"/>
      <c r="T86" s="94" t="n"/>
      <c r="U86" s="94" t="n"/>
      <c r="V86" s="94" t="n"/>
      <c r="W86" s="94" t="n"/>
      <c r="X86" s="94" t="n"/>
      <c r="Y86" s="94" t="n"/>
      <c r="Z86" s="94" t="n"/>
    </row>
    <row r="87" ht="20" customHeight="1" s="90">
      <c r="A87" s="405" t="n"/>
      <c r="B87" s="406" t="n"/>
      <c r="C87" s="407" t="n"/>
      <c r="D87" s="408" t="n"/>
      <c r="E87" s="344">
        <f>C87*D87</f>
        <v/>
      </c>
      <c r="F87" s="344">
        <f>IFERROR(E87*(1+VLOOKUP(I87,'Client Setup - Blank'!$A$23:$B$33,2,FALSE)),0)</f>
        <v/>
      </c>
      <c r="G87" s="345">
        <f>'Client Setup - Blank'!B19</f>
        <v/>
      </c>
      <c r="H87" s="409" t="n"/>
      <c r="I87" s="346" t="inlineStr">
        <is>
          <t>AV &amp; Production</t>
        </is>
      </c>
      <c r="J87" s="327" t="n"/>
      <c r="K87" s="327" t="n"/>
      <c r="L87" s="253" t="n"/>
      <c r="M87" s="253" t="n"/>
      <c r="N87" s="253" t="n"/>
      <c r="O87" s="94" t="n"/>
      <c r="P87" s="94" t="n"/>
      <c r="Q87" s="94" t="n"/>
      <c r="R87" s="94" t="n"/>
      <c r="S87" s="94" t="n"/>
      <c r="T87" s="94" t="n"/>
      <c r="U87" s="94" t="n"/>
      <c r="V87" s="94" t="n"/>
      <c r="W87" s="94" t="n"/>
      <c r="X87" s="94" t="n"/>
      <c r="Y87" s="94" t="n"/>
      <c r="Z87" s="94" t="n"/>
    </row>
    <row r="88" ht="20" customHeight="1" s="90">
      <c r="A88" s="401" t="n"/>
      <c r="B88" s="402" t="n"/>
      <c r="C88" s="348" t="n"/>
      <c r="D88" s="403" t="n"/>
      <c r="E88" s="335">
        <f>C88*D88</f>
        <v/>
      </c>
      <c r="F88" s="335">
        <f>IFERROR(E88*(1+VLOOKUP(I88,'Client Setup - Blank'!$A$23:$B$33,2,FALSE)),0)</f>
        <v/>
      </c>
      <c r="G88" s="336">
        <f>'Client Setup - Blank'!B19</f>
        <v/>
      </c>
      <c r="H88" s="404" t="n"/>
      <c r="I88" s="337" t="inlineStr">
        <is>
          <t>AV &amp; Production</t>
        </is>
      </c>
      <c r="J88" s="321" t="inlineStr">
        <is>
          <t>Tax</t>
        </is>
      </c>
      <c r="K88" s="322">
        <f>ROUNDUP(F100/10,0)*10</f>
        <v/>
      </c>
      <c r="L88" s="253" t="n"/>
      <c r="M88" s="253" t="n"/>
      <c r="N88" s="253" t="n"/>
      <c r="O88" s="94" t="n"/>
      <c r="P88" s="94" t="n"/>
      <c r="Q88" s="94" t="n"/>
      <c r="R88" s="94" t="n"/>
      <c r="S88" s="94" t="n"/>
      <c r="T88" s="94" t="n"/>
      <c r="U88" s="94" t="n"/>
      <c r="V88" s="94" t="n"/>
      <c r="W88" s="94" t="n"/>
      <c r="X88" s="94" t="n"/>
      <c r="Y88" s="94" t="n"/>
      <c r="Z88" s="94" t="n"/>
    </row>
    <row r="89" ht="20" customHeight="1" s="90">
      <c r="A89" s="405" t="n"/>
      <c r="B89" s="406" t="n"/>
      <c r="C89" s="407" t="n"/>
      <c r="D89" s="408" t="n"/>
      <c r="E89" s="344">
        <f>C89*D89</f>
        <v/>
      </c>
      <c r="F89" s="344">
        <f>IFERROR(E89*(1+VLOOKUP(I89,'Client Setup - Blank'!$A$23:$B$33,2,FALSE)),0)</f>
        <v/>
      </c>
      <c r="G89" s="345">
        <f>'Client Setup - Blank'!B19</f>
        <v/>
      </c>
      <c r="H89" s="409" t="n"/>
      <c r="I89" s="346" t="inlineStr">
        <is>
          <t>AV &amp; Production</t>
        </is>
      </c>
      <c r="J89" s="327" t="n"/>
      <c r="K89" s="327" t="n"/>
      <c r="L89" s="253" t="n"/>
      <c r="M89" s="253" t="n"/>
      <c r="N89" s="253" t="n"/>
      <c r="O89" s="94" t="n"/>
      <c r="P89" s="94" t="n"/>
      <c r="Q89" s="94" t="n"/>
      <c r="R89" s="94" t="n"/>
      <c r="S89" s="94" t="n"/>
      <c r="T89" s="94" t="n"/>
      <c r="U89" s="94" t="n"/>
      <c r="V89" s="94" t="n"/>
      <c r="W89" s="94" t="n"/>
      <c r="X89" s="94" t="n"/>
      <c r="Y89" s="94" t="n"/>
      <c r="Z89" s="94" t="n"/>
    </row>
    <row r="90" ht="25" customHeight="1" s="90">
      <c r="A90" s="328" t="inlineStr">
        <is>
          <t>NON-TAXABLE AV FEES &amp; LABOR</t>
        </is>
      </c>
      <c r="B90" s="329" t="n"/>
      <c r="C90" s="329" t="n"/>
      <c r="D90" s="329" t="n"/>
      <c r="E90" s="329" t="n"/>
      <c r="F90" s="329" t="n"/>
      <c r="G90" s="329" t="n"/>
      <c r="H90" s="329" t="n"/>
      <c r="I90" s="389" t="n"/>
      <c r="J90" s="419" t="inlineStr">
        <is>
          <t>TOTAL</t>
        </is>
      </c>
      <c r="K90" s="420">
        <f>K29+K68+K86+K88+ROUNDUP(F102/10,0)*10+ROUNDUP(F103/10,0)*10</f>
        <v/>
      </c>
      <c r="L90" s="253" t="n"/>
      <c r="M90" s="253" t="n"/>
      <c r="N90" s="253" t="n"/>
      <c r="O90" s="94" t="n"/>
      <c r="P90" s="94" t="n"/>
      <c r="Q90" s="94" t="n"/>
      <c r="R90" s="94" t="n"/>
      <c r="S90" s="94" t="n"/>
      <c r="T90" s="94" t="n"/>
      <c r="U90" s="94" t="n"/>
      <c r="V90" s="94" t="n"/>
      <c r="W90" s="94" t="n"/>
      <c r="X90" s="94" t="n"/>
      <c r="Y90" s="94" t="n"/>
      <c r="Z90" s="94" t="n"/>
    </row>
    <row r="91" ht="20" customHeight="1" s="90">
      <c r="A91" s="401" t="inlineStr">
        <is>
          <t>AV Tech Labor</t>
        </is>
      </c>
      <c r="B91" s="402" t="n"/>
      <c r="C91" s="398" t="n"/>
      <c r="D91" s="403" t="n"/>
      <c r="E91" s="335">
        <f>D91</f>
        <v/>
      </c>
      <c r="F91" s="335">
        <f>IFERROR(E91*(1+VLOOKUP(I91,'Client Setup - Blank'!$A$23:$B$33,2,FALSE)),0)</f>
        <v/>
      </c>
      <c r="G91" s="336" t="n">
        <v>0</v>
      </c>
      <c r="H91" s="404" t="n"/>
      <c r="I91" s="337" t="inlineStr">
        <is>
          <t>Staffing &amp; Labor</t>
        </is>
      </c>
      <c r="J91" s="253" t="n"/>
      <c r="K91" s="253" t="n"/>
      <c r="L91" s="253" t="n"/>
      <c r="M91" s="253" t="n"/>
      <c r="N91" s="253" t="n"/>
      <c r="O91" s="94" t="n"/>
      <c r="P91" s="94" t="n"/>
      <c r="Q91" s="94" t="n"/>
      <c r="R91" s="94" t="n"/>
      <c r="S91" s="94" t="n"/>
      <c r="T91" s="94" t="n"/>
      <c r="U91" s="94" t="n"/>
      <c r="V91" s="94" t="n"/>
      <c r="W91" s="94" t="n"/>
      <c r="X91" s="94" t="n"/>
      <c r="Y91" s="94" t="n"/>
      <c r="Z91" s="94" t="n"/>
    </row>
    <row r="92" ht="20" customHeight="1" s="90">
      <c r="A92" s="405" t="inlineStr">
        <is>
          <t>Delivery / Setup</t>
        </is>
      </c>
      <c r="B92" s="406" t="n"/>
      <c r="C92" s="399" t="n"/>
      <c r="D92" s="408" t="n"/>
      <c r="E92" s="344">
        <f>D92</f>
        <v/>
      </c>
      <c r="F92" s="344">
        <f>IFERROR(E92*(1+VLOOKUP(I92,'Client Setup - Blank'!$A$23:$B$33,2,FALSE)),0)</f>
        <v/>
      </c>
      <c r="G92" s="345" t="n">
        <v>0</v>
      </c>
      <c r="H92" s="409" t="n"/>
      <c r="I92" s="346" t="inlineStr">
        <is>
          <t>Staffing &amp; Labor</t>
        </is>
      </c>
      <c r="J92" s="253" t="n"/>
      <c r="K92" s="253" t="n"/>
      <c r="L92" s="253" t="n"/>
      <c r="M92" s="253" t="n"/>
      <c r="N92" s="253" t="n"/>
      <c r="O92" s="94" t="n"/>
      <c r="P92" s="94" t="n"/>
      <c r="Q92" s="94" t="n"/>
      <c r="R92" s="94" t="n"/>
      <c r="S92" s="94" t="n"/>
      <c r="T92" s="94" t="n"/>
      <c r="U92" s="94" t="n"/>
      <c r="V92" s="94" t="n"/>
      <c r="W92" s="94" t="n"/>
      <c r="X92" s="94" t="n"/>
      <c r="Y92" s="94" t="n"/>
      <c r="Z92" s="94" t="n"/>
    </row>
    <row r="93" ht="20" customHeight="1" s="90">
      <c r="A93" s="401" t="inlineStr">
        <is>
          <t>Strike / Removal</t>
        </is>
      </c>
      <c r="B93" s="402" t="n"/>
      <c r="C93" s="398" t="n"/>
      <c r="D93" s="403" t="n"/>
      <c r="E93" s="335">
        <f>D93</f>
        <v/>
      </c>
      <c r="F93" s="335">
        <f>IFERROR(E93*(1+VLOOKUP(I93,'Client Setup - Blank'!$A$23:$B$33,2,FALSE)),0)</f>
        <v/>
      </c>
      <c r="G93" s="336" t="n">
        <v>0</v>
      </c>
      <c r="H93" s="404" t="n"/>
      <c r="I93" s="337" t="inlineStr">
        <is>
          <t>Staffing &amp; Labor</t>
        </is>
      </c>
      <c r="J93" s="253" t="n"/>
      <c r="K93" s="253" t="n"/>
      <c r="L93" s="253" t="n"/>
      <c r="M93" s="253" t="n"/>
      <c r="N93" s="253" t="n"/>
      <c r="O93" s="94" t="n"/>
      <c r="P93" s="94" t="n"/>
      <c r="Q93" s="94" t="n"/>
      <c r="R93" s="94" t="n"/>
      <c r="S93" s="94" t="n"/>
      <c r="T93" s="94" t="n"/>
      <c r="U93" s="94" t="n"/>
      <c r="V93" s="94" t="n"/>
      <c r="W93" s="94" t="n"/>
      <c r="X93" s="94" t="n"/>
      <c r="Y93" s="94" t="n"/>
      <c r="Z93" s="94" t="n"/>
    </row>
    <row r="94" ht="20" customHeight="1" s="90">
      <c r="A94" s="405" t="n"/>
      <c r="B94" s="406" t="n"/>
      <c r="C94" s="399" t="n"/>
      <c r="D94" s="408" t="n"/>
      <c r="E94" s="344">
        <f>D94</f>
        <v/>
      </c>
      <c r="F94" s="344">
        <f>IFERROR(E94*(1+VLOOKUP(I94,'Client Setup - Blank'!$A$23:$B$33,2,FALSE)),0)</f>
        <v/>
      </c>
      <c r="G94" s="345" t="n">
        <v>0</v>
      </c>
      <c r="H94" s="409" t="n"/>
      <c r="I94" s="346" t="inlineStr">
        <is>
          <t>Staffing &amp; Labor</t>
        </is>
      </c>
      <c r="J94" s="253" t="n"/>
      <c r="K94" s="253" t="n"/>
      <c r="L94" s="253" t="n"/>
      <c r="M94" s="253" t="n"/>
      <c r="N94" s="253" t="n"/>
      <c r="O94" s="94" t="n"/>
      <c r="P94" s="94" t="n"/>
      <c r="Q94" s="94" t="n"/>
      <c r="R94" s="94" t="n"/>
      <c r="S94" s="94" t="n"/>
      <c r="T94" s="94" t="n"/>
      <c r="U94" s="94" t="n"/>
      <c r="V94" s="94" t="n"/>
      <c r="W94" s="94" t="n"/>
      <c r="X94" s="94" t="n"/>
      <c r="Y94" s="94" t="n"/>
      <c r="Z94" s="94" t="n"/>
    </row>
    <row r="95" ht="20" customHeight="1" s="90">
      <c r="A95" s="401" t="n"/>
      <c r="B95" s="402" t="n"/>
      <c r="C95" s="398" t="n"/>
      <c r="D95" s="403" t="n"/>
      <c r="E95" s="335">
        <f>D95</f>
        <v/>
      </c>
      <c r="F95" s="335">
        <f>IFERROR(E95*(1+VLOOKUP(I95,'Client Setup - Blank'!$A$23:$B$33,2,FALSE)),0)</f>
        <v/>
      </c>
      <c r="G95" s="336" t="n">
        <v>0</v>
      </c>
      <c r="H95" s="404" t="n"/>
      <c r="I95" s="337" t="inlineStr">
        <is>
          <t>Staffing &amp; Labor</t>
        </is>
      </c>
      <c r="J95" s="253" t="n"/>
      <c r="K95" s="253" t="n"/>
      <c r="L95" s="253" t="n"/>
      <c r="M95" s="253" t="n"/>
      <c r="N95" s="253" t="n"/>
      <c r="O95" s="94" t="n"/>
      <c r="P95" s="94" t="n"/>
      <c r="Q95" s="94" t="n"/>
      <c r="R95" s="94" t="n"/>
      <c r="S95" s="94" t="n"/>
      <c r="T95" s="94" t="n"/>
      <c r="U95" s="94" t="n"/>
      <c r="V95" s="94" t="n"/>
      <c r="W95" s="94" t="n"/>
      <c r="X95" s="94" t="n"/>
      <c r="Y95" s="94" t="n"/>
      <c r="Z95" s="94" t="n"/>
    </row>
    <row r="96" ht="22" customHeight="1" s="90">
      <c r="A96" s="359" t="inlineStr">
        <is>
          <t>AV / PRODUCTION SUBTOTAL</t>
        </is>
      </c>
      <c r="B96" s="362" t="n"/>
      <c r="C96" s="362" t="n"/>
      <c r="D96" s="362" t="n"/>
      <c r="E96" s="361">
        <f>SUM(E80:E89)+SUM(E91:E95)</f>
        <v/>
      </c>
      <c r="F96" s="361">
        <f>SUM(F80:F89)+SUM(F91:F95)</f>
        <v/>
      </c>
      <c r="G96" s="362" t="n"/>
      <c r="H96" s="362" t="n"/>
      <c r="I96" s="362" t="n"/>
      <c r="J96" s="253" t="n"/>
      <c r="K96" s="253" t="n"/>
      <c r="L96" s="253" t="n"/>
      <c r="M96" s="253" t="n"/>
      <c r="N96" s="253" t="n"/>
      <c r="O96" s="94" t="n"/>
      <c r="P96" s="94" t="n"/>
      <c r="Q96" s="94" t="n"/>
      <c r="R96" s="94" t="n"/>
      <c r="S96" s="94" t="n"/>
      <c r="T96" s="94" t="n"/>
      <c r="U96" s="94" t="n"/>
      <c r="V96" s="94" t="n"/>
      <c r="W96" s="94" t="n"/>
      <c r="X96" s="94" t="n"/>
      <c r="Y96" s="94" t="n"/>
      <c r="Z96" s="94" t="n"/>
    </row>
    <row r="97" ht="25.5" customHeight="1" s="90">
      <c r="A97" s="253" t="n"/>
      <c r="B97" s="253" t="n"/>
      <c r="C97" s="253" t="n"/>
      <c r="D97" s="253" t="n"/>
      <c r="E97" s="253" t="n"/>
      <c r="F97" s="253" t="n"/>
      <c r="G97" s="253" t="n"/>
      <c r="H97" s="253" t="n"/>
      <c r="I97" s="253" t="n"/>
      <c r="J97" s="253" t="n"/>
      <c r="K97" s="253" t="n"/>
      <c r="L97" s="253" t="n"/>
      <c r="M97" s="253" t="n"/>
      <c r="N97" s="253" t="n"/>
      <c r="O97" s="94" t="n"/>
      <c r="P97" s="94" t="n"/>
      <c r="Q97" s="94" t="n"/>
      <c r="R97" s="94" t="n"/>
      <c r="S97" s="94" t="n"/>
      <c r="T97" s="94" t="n"/>
      <c r="U97" s="94" t="n"/>
      <c r="V97" s="94" t="n"/>
      <c r="W97" s="94" t="n"/>
      <c r="X97" s="94" t="n"/>
      <c r="Y97" s="94" t="n"/>
      <c r="Z97" s="94" t="n"/>
    </row>
    <row r="98" ht="27" customHeight="1" s="90">
      <c r="A98" s="254" t="inlineStr">
        <is>
          <t>ESTIMATE SUMMARY</t>
        </is>
      </c>
      <c r="B98" s="269" t="n"/>
      <c r="C98" s="269" t="n"/>
      <c r="D98" s="269" t="n"/>
      <c r="E98" s="269" t="n"/>
      <c r="F98" s="269" t="n"/>
      <c r="G98" s="269" t="n"/>
      <c r="H98" s="269" t="n"/>
      <c r="I98" s="257" t="n"/>
      <c r="J98" s="253" t="n"/>
      <c r="K98" s="253" t="n"/>
      <c r="L98" s="253" t="n"/>
      <c r="M98" s="253" t="n"/>
      <c r="N98" s="253" t="n"/>
      <c r="O98" s="94" t="n"/>
      <c r="P98" s="94" t="n"/>
      <c r="Q98" s="94" t="n"/>
      <c r="R98" s="94" t="n"/>
      <c r="S98" s="94" t="n"/>
      <c r="T98" s="94" t="n"/>
      <c r="U98" s="94" t="n"/>
      <c r="V98" s="94" t="n"/>
      <c r="W98" s="94" t="n"/>
      <c r="X98" s="94" t="n"/>
      <c r="Y98" s="94" t="n"/>
      <c r="Z98" s="94" t="n"/>
    </row>
    <row r="99" ht="20" customHeight="1" s="90">
      <c r="A99" s="357" t="inlineStr">
        <is>
          <t>Taxable Product Subtotal</t>
        </is>
      </c>
      <c r="B99" s="327" t="n"/>
      <c r="C99" s="327" t="n"/>
      <c r="D99" s="327" t="n"/>
      <c r="E99" s="358">
        <f>SUM(E16:E25)+SUM(E35:E42)+SUM(E44:E51)+SUM(E53:E60)+SUM(E62:E67)+SUM(E80:E89)</f>
        <v/>
      </c>
      <c r="F99" s="358">
        <f>SUM(F16:F25)+SUM(F35:F42)+SUM(F44:F51)+SUM(F53:F60)+SUM(F62:F67)+SUM(F80:F89)</f>
        <v/>
      </c>
      <c r="G99" s="327" t="n"/>
      <c r="H99" s="327" t="n"/>
      <c r="I99" s="327" t="n"/>
      <c r="J99" s="253" t="n"/>
      <c r="K99" s="253" t="n"/>
      <c r="L99" s="253" t="n"/>
      <c r="M99" s="253" t="n"/>
      <c r="N99" s="253" t="n"/>
      <c r="O99" s="94" t="n"/>
      <c r="P99" s="94" t="n"/>
      <c r="Q99" s="94" t="n"/>
      <c r="R99" s="94" t="n"/>
      <c r="S99" s="94" t="n"/>
      <c r="T99" s="94" t="n"/>
      <c r="U99" s="94" t="n"/>
      <c r="V99" s="94" t="n"/>
      <c r="W99" s="94" t="n"/>
      <c r="X99" s="94" t="n"/>
      <c r="Y99" s="94" t="n"/>
      <c r="Z99" s="94" t="n"/>
    </row>
    <row r="100" ht="20" customHeight="1" s="90">
      <c r="A100" s="357" t="inlineStr">
        <is>
          <t>Sales Tax</t>
        </is>
      </c>
      <c r="B100" s="327" t="n"/>
      <c r="C100" s="327" t="n"/>
      <c r="D100" s="327" t="n"/>
      <c r="E100" s="358">
        <f>IFERROR(E99*'Client Setup - Blank'!B19,0)</f>
        <v/>
      </c>
      <c r="F100" s="358">
        <f>IFERROR(F99*'Client Setup - Blank'!B19,0)</f>
        <v/>
      </c>
      <c r="G100" s="327" t="n"/>
      <c r="H100" s="327" t="n"/>
      <c r="I100" s="327" t="n"/>
      <c r="J100" s="253" t="n"/>
      <c r="K100" s="253" t="n"/>
      <c r="L100" s="253" t="n"/>
      <c r="M100" s="253" t="n"/>
      <c r="N100" s="253" t="n"/>
      <c r="O100" s="94" t="n"/>
      <c r="P100" s="94" t="n"/>
      <c r="Q100" s="94" t="n"/>
      <c r="R100" s="94" t="n"/>
      <c r="S100" s="94" t="n"/>
      <c r="T100" s="94" t="n"/>
      <c r="U100" s="94" t="n"/>
      <c r="V100" s="94" t="n"/>
      <c r="W100" s="94" t="n"/>
      <c r="X100" s="94" t="n"/>
      <c r="Y100" s="94" t="n"/>
      <c r="Z100" s="94" t="n"/>
    </row>
    <row r="101" ht="20" customHeight="1" s="90">
      <c r="A101" s="357" t="inlineStr">
        <is>
          <t>Non-Taxable Fees Subtotal</t>
        </is>
      </c>
      <c r="B101" s="327" t="n"/>
      <c r="C101" s="327" t="n"/>
      <c r="D101" s="327" t="n"/>
      <c r="E101" s="358">
        <f>SUM(E27:E29)+SUM(E69:E74)+SUM(E91:E95)</f>
        <v/>
      </c>
      <c r="F101" s="358">
        <f>SUM(F27:F29)+SUM(F69:F74)+SUM(F91:F95)</f>
        <v/>
      </c>
      <c r="G101" s="327" t="n"/>
      <c r="H101" s="327" t="n"/>
      <c r="I101" s="327" t="n"/>
      <c r="J101" s="253" t="n"/>
      <c r="K101" s="253" t="n"/>
      <c r="L101" s="253" t="n"/>
      <c r="M101" s="253" t="n"/>
      <c r="N101" s="253" t="n"/>
      <c r="O101" s="94" t="n"/>
      <c r="P101" s="94" t="n"/>
      <c r="Q101" s="94" t="n"/>
      <c r="R101" s="94" t="n"/>
      <c r="S101" s="94" t="n"/>
      <c r="T101" s="94" t="n"/>
      <c r="U101" s="94" t="n"/>
      <c r="V101" s="94" t="n"/>
      <c r="W101" s="94" t="n"/>
      <c r="X101" s="94" t="n"/>
      <c r="Y101" s="94" t="n"/>
      <c r="Z101" s="94" t="n"/>
    </row>
    <row r="102" ht="20" customHeight="1" s="90">
      <c r="A102" s="357" t="inlineStr">
        <is>
          <t>CC Processing Fee</t>
        </is>
      </c>
      <c r="B102" s="327" t="n"/>
      <c r="C102" s="327" t="n"/>
      <c r="D102" s="327" t="n"/>
      <c r="E102" s="358">
        <f>F102</f>
        <v/>
      </c>
      <c r="F102" s="358">
        <f>IFERROR((F99+F100+F101)*'Client Setup - Blank'!B35,0)</f>
        <v/>
      </c>
      <c r="G102" s="327" t="n"/>
      <c r="H102" s="327" t="n"/>
      <c r="I102" s="327" t="n"/>
      <c r="J102" s="253" t="n"/>
      <c r="K102" s="253" t="n"/>
      <c r="L102" s="253" t="n"/>
      <c r="M102" s="253" t="n"/>
      <c r="N102" s="253" t="n"/>
      <c r="O102" s="94" t="n"/>
      <c r="P102" s="94" t="n"/>
      <c r="Q102" s="94" t="n"/>
      <c r="R102" s="94" t="n"/>
      <c r="S102" s="94" t="n"/>
      <c r="T102" s="94" t="n"/>
      <c r="U102" s="94" t="n"/>
      <c r="V102" s="94" t="n"/>
      <c r="W102" s="94" t="n"/>
      <c r="X102" s="94" t="n"/>
      <c r="Y102" s="94" t="n"/>
      <c r="Z102" s="94" t="n"/>
    </row>
    <row r="103" ht="20" customHeight="1" s="90">
      <c r="A103" s="357" t="inlineStr">
        <is>
          <t>Third-Party Commission</t>
        </is>
      </c>
      <c r="B103" s="327" t="n"/>
      <c r="C103" s="327" t="n"/>
      <c r="D103" s="327" t="n"/>
      <c r="E103" s="358">
        <f>F103</f>
        <v/>
      </c>
      <c r="F103" s="358">
        <f>IFERROR((F99+F100+F101)*'Client Setup - Blank'!B36,0)</f>
        <v/>
      </c>
      <c r="G103" s="327" t="n"/>
      <c r="H103" s="327" t="n"/>
      <c r="I103" s="327" t="n"/>
      <c r="J103" s="253" t="n"/>
      <c r="K103" s="253" t="n"/>
      <c r="L103" s="253" t="n"/>
      <c r="M103" s="253" t="n"/>
      <c r="N103" s="253" t="n"/>
      <c r="O103" s="94" t="n"/>
      <c r="P103" s="94" t="n"/>
      <c r="Q103" s="94" t="n"/>
      <c r="R103" s="94" t="n"/>
      <c r="S103" s="94" t="n"/>
      <c r="T103" s="94" t="n"/>
      <c r="U103" s="94" t="n"/>
      <c r="V103" s="94" t="n"/>
      <c r="W103" s="94" t="n"/>
      <c r="X103" s="94" t="n"/>
      <c r="Y103" s="94" t="n"/>
      <c r="Z103" s="94" t="n"/>
    </row>
    <row r="104" ht="25" customHeight="1" s="90">
      <c r="A104" s="363" t="inlineStr">
        <is>
          <t>TOTAL DECOR ESTIMATE</t>
        </is>
      </c>
      <c r="B104" s="364" t="n"/>
      <c r="C104" s="364" t="n"/>
      <c r="D104" s="364" t="n"/>
      <c r="E104" s="365">
        <f>SUM(E99:E103)</f>
        <v/>
      </c>
      <c r="F104" s="365">
        <f>SUM(F99:F103)</f>
        <v/>
      </c>
      <c r="G104" s="366" t="n"/>
      <c r="H104" s="366" t="n"/>
      <c r="I104" s="366" t="n"/>
      <c r="J104" s="425" t="n"/>
      <c r="K104" s="425" t="n"/>
      <c r="L104" s="253" t="n"/>
      <c r="M104" s="253" t="n"/>
      <c r="N104" s="253" t="n"/>
      <c r="O104" s="94" t="n"/>
      <c r="P104" s="94" t="n"/>
      <c r="Q104" s="94" t="n"/>
      <c r="R104" s="94" t="n"/>
      <c r="S104" s="94" t="n"/>
      <c r="T104" s="94" t="n"/>
      <c r="U104" s="94" t="n"/>
      <c r="V104" s="94" t="n"/>
      <c r="W104" s="94" t="n"/>
      <c r="X104" s="94" t="n"/>
      <c r="Y104" s="94" t="n"/>
      <c r="Z104" s="94" t="n"/>
    </row>
    <row r="105" ht="6" customHeight="1" s="90">
      <c r="A105" s="253" t="n"/>
      <c r="B105" s="253" t="n"/>
      <c r="C105" s="253" t="n"/>
      <c r="D105" s="253" t="n"/>
      <c r="E105" s="253" t="n"/>
      <c r="F105" s="253" t="n"/>
      <c r="G105" s="253" t="n"/>
      <c r="H105" s="253" t="n"/>
      <c r="I105" s="253" t="n"/>
      <c r="J105" s="253" t="n"/>
      <c r="K105" s="253" t="n"/>
      <c r="L105" s="253" t="n"/>
      <c r="M105" s="253" t="n"/>
      <c r="N105" s="253" t="n"/>
      <c r="O105" s="94" t="n"/>
      <c r="P105" s="94" t="n"/>
      <c r="Q105" s="94" t="n"/>
      <c r="R105" s="94" t="n"/>
      <c r="S105" s="94" t="n"/>
      <c r="T105" s="94" t="n"/>
      <c r="U105" s="94" t="n"/>
      <c r="V105" s="94" t="n"/>
      <c r="W105" s="94" t="n"/>
      <c r="X105" s="94" t="n"/>
      <c r="Y105" s="94" t="n"/>
      <c r="Z105" s="94" t="n"/>
    </row>
    <row r="106" ht="27.75" customHeight="1" s="90">
      <c r="A106" s="410" t="inlineStr">
        <is>
          <t>CLIENT PRICING</t>
        </is>
      </c>
      <c r="B106" s="280" t="n"/>
      <c r="C106" s="280" t="n"/>
      <c r="D106" s="280" t="n"/>
      <c r="E106" s="280" t="n"/>
      <c r="F106" s="280" t="n"/>
      <c r="G106" s="280" t="n"/>
      <c r="H106" s="280" t="n"/>
      <c r="I106" s="253" t="n"/>
      <c r="J106" s="253" t="n"/>
      <c r="K106" s="253" t="n"/>
      <c r="L106" s="253" t="n"/>
      <c r="M106" s="253" t="n"/>
      <c r="N106" s="253" t="n"/>
      <c r="O106" s="94" t="n"/>
      <c r="P106" s="94" t="n"/>
      <c r="Q106" s="94" t="n"/>
      <c r="R106" s="94" t="n"/>
      <c r="S106" s="94" t="n"/>
      <c r="T106" s="94" t="n"/>
      <c r="U106" s="94" t="n"/>
      <c r="V106" s="94" t="n"/>
      <c r="W106" s="94" t="n"/>
      <c r="X106" s="94" t="n"/>
      <c r="Y106" s="94" t="n"/>
      <c r="Z106" s="94" t="n"/>
    </row>
    <row r="107" ht="25.5" customHeight="1" s="90">
      <c r="A107" s="301" t="inlineStr">
        <is>
          <t>Total Client Cost</t>
        </is>
      </c>
      <c r="B107" s="369">
        <f>F104</f>
        <v/>
      </c>
      <c r="C107" s="304" t="n"/>
      <c r="D107" s="304" t="n"/>
      <c r="E107" s="304" t="n"/>
      <c r="F107" s="304" t="n"/>
      <c r="G107" s="304" t="n"/>
      <c r="H107" s="304" t="n"/>
      <c r="I107" s="253" t="n"/>
      <c r="J107" s="253" t="n"/>
      <c r="K107" s="253" t="n"/>
      <c r="L107" s="253" t="n"/>
      <c r="M107" s="253" t="n"/>
      <c r="N107" s="253" t="n"/>
      <c r="O107" s="94" t="n"/>
      <c r="P107" s="94" t="n"/>
      <c r="Q107" s="94" t="n"/>
      <c r="R107" s="94" t="n"/>
      <c r="S107" s="94" t="n"/>
      <c r="T107" s="94" t="n"/>
      <c r="U107" s="94" t="n"/>
      <c r="V107" s="94" t="n"/>
      <c r="W107" s="94" t="n"/>
      <c r="X107" s="94" t="n"/>
      <c r="Y107" s="94" t="n"/>
      <c r="Z107" s="94" t="n"/>
    </row>
    <row r="108" ht="25.5" customHeight="1" s="90">
      <c r="A108" s="253" t="n"/>
      <c r="B108" s="253" t="n"/>
      <c r="C108" s="253" t="n"/>
      <c r="D108" s="253" t="n"/>
      <c r="E108" s="253" t="n"/>
      <c r="F108" s="253" t="n"/>
      <c r="G108" s="253" t="n"/>
      <c r="H108" s="253" t="n"/>
      <c r="I108" s="253" t="n"/>
      <c r="J108" s="253" t="n"/>
      <c r="K108" s="253" t="n"/>
      <c r="L108" s="253" t="n"/>
      <c r="M108" s="253" t="n"/>
      <c r="N108" s="253" t="n"/>
      <c r="O108" s="94" t="n"/>
      <c r="P108" s="94" t="n"/>
      <c r="Q108" s="94" t="n"/>
      <c r="R108" s="94" t="n"/>
      <c r="S108" s="94" t="n"/>
      <c r="T108" s="94" t="n"/>
      <c r="U108" s="94" t="n"/>
      <c r="V108" s="94" t="n"/>
      <c r="W108" s="94" t="n"/>
      <c r="X108" s="94" t="n"/>
      <c r="Y108" s="94" t="n"/>
      <c r="Z108" s="94" t="n"/>
    </row>
    <row r="109" ht="25.5" customHeight="1" s="90">
      <c r="A109" s="280" t="n"/>
      <c r="B109" s="280" t="n"/>
      <c r="C109" s="280" t="n"/>
      <c r="D109" s="280" t="n"/>
      <c r="E109" s="280" t="n"/>
      <c r="F109" s="280" t="n"/>
      <c r="G109" s="280" t="n"/>
      <c r="H109" s="280" t="n"/>
      <c r="I109" s="280" t="n"/>
      <c r="J109" s="280" t="n"/>
      <c r="K109" s="280" t="n"/>
      <c r="L109" s="280" t="n"/>
      <c r="M109" s="280" t="n"/>
      <c r="N109" s="280" t="n"/>
    </row>
    <row r="110" ht="27" customHeight="1" s="90">
      <c r="A110" s="269" t="inlineStr">
        <is>
          <t>QC TRAVEL EXPENSES</t>
        </is>
      </c>
      <c r="B110" s="269" t="n"/>
      <c r="C110" s="269" t="n"/>
      <c r="D110" s="269" t="n"/>
      <c r="E110" s="269" t="n"/>
      <c r="F110" s="269" t="n"/>
      <c r="G110" s="269" t="n"/>
      <c r="H110" s="269" t="n"/>
      <c r="I110" s="269" t="n"/>
      <c r="J110" s="280" t="n"/>
      <c r="K110" s="280" t="n"/>
      <c r="L110" s="280" t="n"/>
      <c r="M110" s="280" t="n"/>
      <c r="N110" s="280" t="n"/>
    </row>
    <row r="111" ht="22" customHeight="1" s="90">
      <c r="A111" s="371" t="inlineStr"/>
      <c r="B111" s="371" t="inlineStr">
        <is>
          <t>Trip 1</t>
        </is>
      </c>
      <c r="C111" s="371" t="inlineStr">
        <is>
          <t>Trip 2</t>
        </is>
      </c>
      <c r="D111" s="371" t="inlineStr">
        <is>
          <t>Trip 3</t>
        </is>
      </c>
      <c r="E111" s="280" t="n"/>
      <c r="F111" s="280" t="n"/>
      <c r="G111" s="280" t="n"/>
      <c r="H111" s="280" t="n"/>
      <c r="I111" s="280" t="n"/>
      <c r="J111" s="280" t="n"/>
      <c r="K111" s="280" t="n"/>
      <c r="L111" s="280" t="n"/>
      <c r="M111" s="280" t="n"/>
      <c r="N111" s="280" t="n"/>
    </row>
    <row r="112" ht="20" customHeight="1" s="90">
      <c r="A112" s="357" t="inlineStr">
        <is>
          <t>Trip Label</t>
        </is>
      </c>
      <c r="B112" s="383" t="n"/>
      <c r="C112" s="383" t="n"/>
      <c r="D112" s="383" t="n"/>
      <c r="E112" s="280" t="n"/>
      <c r="F112" s="280" t="n"/>
      <c r="G112" s="280" t="n"/>
      <c r="H112" s="280" t="n"/>
      <c r="I112" s="280" t="n"/>
      <c r="J112" s="280" t="n"/>
      <c r="K112" s="280" t="n"/>
      <c r="L112" s="280" t="n"/>
      <c r="M112" s="280" t="n"/>
      <c r="N112" s="280" t="n"/>
    </row>
    <row r="113" ht="20" customHeight="1" s="90">
      <c r="A113" s="285" t="inlineStr">
        <is>
          <t>Destination</t>
        </is>
      </c>
      <c r="B113" s="294" t="n"/>
      <c r="C113" s="294" t="n"/>
      <c r="D113" s="294" t="n"/>
      <c r="E113" s="280" t="n"/>
      <c r="F113" s="280" t="n"/>
      <c r="G113" s="280" t="n"/>
      <c r="H113" s="280" t="n"/>
      <c r="I113" s="280" t="n"/>
      <c r="J113" s="280" t="n"/>
      <c r="K113" s="280" t="n"/>
      <c r="L113" s="280" t="n"/>
      <c r="M113" s="280" t="n"/>
      <c r="N113" s="280" t="n"/>
    </row>
    <row r="114" ht="20" customHeight="1" s="90">
      <c r="A114" s="357" t="inlineStr">
        <is>
          <t>Travel Type</t>
        </is>
      </c>
      <c r="B114" s="383">
        <f>IF(B113&lt;&gt;"",VLOOKUP(B113,'Client Setup - Blank'!$A$54:$F$63,2,FALSE),"")</f>
        <v/>
      </c>
      <c r="C114" s="383">
        <f>IF(C113&lt;&gt;"",VLOOKUP(C113,'Client Setup - Blank'!$A$54:$F$63,2,FALSE),"")</f>
        <v/>
      </c>
      <c r="D114" s="383">
        <f>IF(D113&lt;&gt;"",VLOOKUP(D113,'Client Setup - Blank'!$A$54:$F$63,2,FALSE),"")</f>
        <v/>
      </c>
      <c r="E114" s="280" t="n"/>
      <c r="F114" s="280" t="n"/>
      <c r="G114" s="280" t="n"/>
      <c r="H114" s="280" t="n"/>
      <c r="I114" s="280" t="n"/>
      <c r="J114" s="280" t="n"/>
      <c r="K114" s="280" t="n"/>
      <c r="L114" s="280" t="n"/>
      <c r="M114" s="280" t="n"/>
      <c r="N114" s="280" t="n"/>
    </row>
    <row r="115" ht="20" customHeight="1" s="90">
      <c r="A115" s="285" t="inlineStr">
        <is>
          <t>Staff Traveling</t>
        </is>
      </c>
      <c r="B115" s="294" t="n"/>
      <c r="C115" s="294" t="n"/>
      <c r="D115" s="294" t="n"/>
      <c r="E115" s="280" t="n"/>
      <c r="F115" s="280" t="n"/>
      <c r="G115" s="280" t="n"/>
      <c r="H115" s="280" t="n"/>
      <c r="I115" s="280" t="n"/>
      <c r="J115" s="280" t="n"/>
      <c r="K115" s="280" t="n"/>
      <c r="L115" s="280" t="n"/>
      <c r="M115" s="280" t="n"/>
      <c r="N115" s="280" t="n"/>
    </row>
    <row r="116" ht="20" customHeight="1" s="90">
      <c r="A116" s="357" t="inlineStr">
        <is>
          <t>Nights</t>
        </is>
      </c>
      <c r="B116" s="383" t="n"/>
      <c r="C116" s="383" t="n"/>
      <c r="D116" s="383" t="n"/>
      <c r="E116" s="280" t="n"/>
      <c r="F116" s="280" t="n"/>
      <c r="G116" s="280" t="n"/>
      <c r="H116" s="280" t="n"/>
      <c r="I116" s="280" t="n"/>
      <c r="J116" s="280" t="n"/>
      <c r="K116" s="280" t="n"/>
      <c r="L116" s="280" t="n"/>
      <c r="M116" s="280" t="n"/>
      <c r="N116" s="280" t="n"/>
    </row>
    <row r="117" ht="20" customHeight="1" s="90">
      <c r="A117" s="285" t="inlineStr">
        <is>
          <t>On-Site Vehicle</t>
        </is>
      </c>
      <c r="B117" s="294" t="n"/>
      <c r="C117" s="294" t="n"/>
      <c r="D117" s="294" t="n"/>
      <c r="E117" s="280" t="n"/>
      <c r="F117" s="280" t="n"/>
      <c r="G117" s="280" t="n"/>
      <c r="H117" s="280" t="n"/>
      <c r="I117" s="280" t="n"/>
      <c r="J117" s="280" t="n"/>
      <c r="K117" s="280" t="n"/>
      <c r="L117" s="280" t="n"/>
      <c r="M117" s="280" t="n"/>
      <c r="N117" s="280" t="n"/>
    </row>
    <row r="118" ht="20" customHeight="1" s="90">
      <c r="A118" s="357" t="inlineStr">
        <is>
          <t>Custom Vehicle Cost</t>
        </is>
      </c>
      <c r="B118" s="377" t="n"/>
      <c r="C118" s="377" t="n"/>
      <c r="D118" s="377" t="n"/>
      <c r="E118" s="280" t="n"/>
      <c r="F118" s="280" t="n"/>
      <c r="G118" s="280" t="n"/>
      <c r="H118" s="280" t="n"/>
      <c r="I118" s="280" t="n"/>
      <c r="J118" s="280" t="n"/>
      <c r="K118" s="280" t="n"/>
      <c r="L118" s="280" t="n"/>
      <c r="M118" s="280" t="n"/>
      <c r="N118" s="280" t="n"/>
    </row>
    <row r="119" ht="20" customHeight="1" s="90">
      <c r="A119" s="375" t="n"/>
      <c r="B119" s="326" t="n"/>
      <c r="C119" s="326" t="n"/>
      <c r="D119" s="326" t="n"/>
      <c r="E119" s="280" t="n"/>
      <c r="F119" s="280" t="n"/>
      <c r="G119" s="280" t="n"/>
      <c r="H119" s="280" t="n"/>
      <c r="I119" s="280" t="n"/>
      <c r="J119" s="280" t="n"/>
      <c r="K119" s="280" t="n"/>
      <c r="L119" s="280" t="n"/>
      <c r="M119" s="280" t="n"/>
      <c r="N119" s="280" t="n"/>
    </row>
    <row r="120" ht="20" customHeight="1" s="90">
      <c r="A120" s="357" t="inlineStr">
        <is>
          <t>Travel Cost</t>
        </is>
      </c>
      <c r="B120" s="377">
        <f>IF(OR(B113="",B115=""),0,IF(B114="Flight",VLOOKUP(B113,'Client Setup - Blank'!$A$54:$F$63,4,FALSE)*B115,IF(B114="Drive",VLOOKUP(B113,'Client Setup - Blank'!$A$54:$F$63,3,FALSE),0)))</f>
        <v/>
      </c>
      <c r="C120" s="377">
        <f>IF(OR(C113="",C115=""),0,IF(C114="Flight",VLOOKUP(C113,'Client Setup - Blank'!$A$54:$F$63,4,FALSE)*C115,IF(C114="Drive",VLOOKUP(C113,'Client Setup - Blank'!$A$54:$F$63,3,FALSE),0)))</f>
        <v/>
      </c>
      <c r="D120" s="377">
        <f>IF(OR(D113="",D115=""),0,IF(D114="Flight",VLOOKUP(D113,'Client Setup - Blank'!$A$54:$F$63,4,FALSE)*D115,IF(D114="Drive",VLOOKUP(D113,'Client Setup - Blank'!$A$54:$F$63,3,FALSE),0)))</f>
        <v/>
      </c>
      <c r="E120" s="280" t="n"/>
      <c r="F120" s="280" t="n"/>
      <c r="G120" s="280" t="n"/>
      <c r="H120" s="280" t="n"/>
      <c r="I120" s="280" t="n"/>
      <c r="J120" s="280" t="n"/>
      <c r="K120" s="280" t="n"/>
      <c r="L120" s="280" t="n"/>
      <c r="M120" s="280" t="n"/>
      <c r="N120" s="280" t="n"/>
    </row>
    <row r="121" ht="20" customHeight="1" s="90">
      <c r="A121" s="285" t="inlineStr">
        <is>
          <t>Hotel Cost</t>
        </is>
      </c>
      <c r="B121" s="411">
        <f>IF(OR(B113="",B115="",B116=""),0,VLOOKUP(B113,'Client Setup - Blank'!$A$54:$F$63,5,FALSE)*B116*B115)</f>
        <v/>
      </c>
      <c r="C121" s="411">
        <f>IF(OR(C113="",C115="",C116=""),0,VLOOKUP(C113,'Client Setup - Blank'!$A$54:$F$63,5,FALSE)*C116*C115)</f>
        <v/>
      </c>
      <c r="D121" s="411">
        <f>IF(OR(D113="",D115="",D116=""),0,VLOOKUP(D113,'Client Setup - Blank'!$A$54:$F$63,5,FALSE)*D116*D115)</f>
        <v/>
      </c>
      <c r="E121" s="280" t="n"/>
      <c r="F121" s="280" t="n"/>
      <c r="G121" s="280" t="n"/>
      <c r="H121" s="280" t="n"/>
      <c r="I121" s="280" t="n"/>
      <c r="J121" s="280" t="n"/>
      <c r="K121" s="280" t="n"/>
      <c r="L121" s="280" t="n"/>
      <c r="M121" s="280" t="n"/>
      <c r="N121" s="280" t="n"/>
    </row>
    <row r="122" ht="20" customHeight="1" s="90">
      <c r="A122" s="357" t="inlineStr">
        <is>
          <t>Per Diem Cost</t>
        </is>
      </c>
      <c r="B122" s="377">
        <f>IF(OR(B113="",B115=""),0,VLOOKUP(B113,'Client Setup - Blank'!$A$54:$F$63,6,FALSE)*(B116+1)*B115)</f>
        <v/>
      </c>
      <c r="C122" s="377">
        <f>IF(OR(C113="",C115=""),0,VLOOKUP(C113,'Client Setup - Blank'!$A$54:$F$63,6,FALSE)*(C116+1)*C115)</f>
        <v/>
      </c>
      <c r="D122" s="377">
        <f>IF(OR(D113="",D115=""),0,VLOOKUP(D113,'Client Setup - Blank'!$A$54:$F$63,6,FALSE)*(D116+1)*D115)</f>
        <v/>
      </c>
      <c r="E122" s="280" t="n"/>
      <c r="F122" s="280" t="n"/>
      <c r="G122" s="280" t="n"/>
      <c r="H122" s="280" t="n"/>
      <c r="I122" s="280" t="n"/>
      <c r="J122" s="280" t="n"/>
      <c r="K122" s="280" t="n"/>
      <c r="L122" s="280" t="n"/>
      <c r="M122" s="280" t="n"/>
      <c r="N122" s="280" t="n"/>
    </row>
    <row r="123" ht="20" customHeight="1" s="90">
      <c r="A123" s="285" t="inlineStr">
        <is>
          <t>Vehicle Cost</t>
        </is>
      </c>
      <c r="B123" s="411">
        <f>IF(OR(B117="",B117="None"),0,IF(B117="Custom",IF(ISNUMBER(B118),B118,0),IFERROR(VLOOKUP(B117,'Client Setup - Blank'!$A$67:$B$72,2,FALSE),0)))</f>
        <v/>
      </c>
      <c r="C123" s="411">
        <f>IF(OR(C117="",C117="None"),0,IF(C117="Custom",IF(ISNUMBER(C118),C118,0),IFERROR(VLOOKUP(C117,'Client Setup - Blank'!$A$67:$B$72,2,FALSE),0)))</f>
        <v/>
      </c>
      <c r="D123" s="411">
        <f>IF(OR(D117="",D117="None"),0,IF(D117="Custom",IF(ISNUMBER(D118),D118,0),IFERROR(VLOOKUP(D117,'Client Setup - Blank'!$A$67:$B$72,2,FALSE),0)))</f>
        <v/>
      </c>
      <c r="E123" s="280" t="n"/>
      <c r="F123" s="280" t="n"/>
      <c r="G123" s="280" t="n"/>
      <c r="H123" s="280" t="n"/>
      <c r="I123" s="280" t="n"/>
      <c r="J123" s="280" t="n"/>
      <c r="K123" s="280" t="n"/>
      <c r="L123" s="280" t="n"/>
      <c r="M123" s="280" t="n"/>
      <c r="N123" s="280" t="n"/>
    </row>
    <row r="124" ht="20" customHeight="1" s="90">
      <c r="A124" s="357" t="inlineStr">
        <is>
          <t>Trip Total</t>
        </is>
      </c>
      <c r="B124" s="377">
        <f>B120+B121+B122+B123</f>
        <v/>
      </c>
      <c r="C124" s="377">
        <f>C120+C121+C122+C123</f>
        <v/>
      </c>
      <c r="D124" s="377">
        <f>D120+D121+D122+D123</f>
        <v/>
      </c>
      <c r="E124" s="280" t="n"/>
      <c r="F124" s="280" t="n"/>
      <c r="G124" s="280" t="n"/>
      <c r="H124" s="280" t="n"/>
      <c r="I124" s="280" t="n"/>
      <c r="J124" s="280" t="n"/>
      <c r="K124" s="280" t="n"/>
      <c r="L124" s="280" t="n"/>
      <c r="M124" s="280" t="n"/>
      <c r="N124" s="280" t="n"/>
    </row>
    <row r="125" ht="20" customHeight="1" s="90">
      <c r="A125" s="375" t="n"/>
      <c r="B125" s="326" t="n"/>
      <c r="C125" s="326" t="n"/>
      <c r="D125" s="326" t="n"/>
      <c r="E125" s="280" t="n"/>
      <c r="F125" s="280" t="n"/>
      <c r="G125" s="280" t="n"/>
      <c r="H125" s="280" t="n"/>
      <c r="I125" s="280" t="n"/>
      <c r="J125" s="280" t="n"/>
      <c r="K125" s="280" t="n"/>
      <c r="L125" s="280" t="n"/>
      <c r="M125" s="280" t="n"/>
      <c r="N125" s="280" t="n"/>
    </row>
    <row r="126" ht="20" customHeight="1" s="90">
      <c r="A126" s="357" t="inlineStr">
        <is>
          <t>Total Travel Expenses</t>
        </is>
      </c>
      <c r="B126" s="319" t="n"/>
      <c r="C126" s="319" t="n"/>
      <c r="D126" s="377">
        <f>B124+C124+D124</f>
        <v/>
      </c>
      <c r="E126" s="280" t="n"/>
      <c r="F126" s="280" t="n"/>
      <c r="G126" s="280" t="n"/>
      <c r="H126" s="280" t="n"/>
      <c r="I126" s="280" t="n"/>
      <c r="J126" s="280" t="n"/>
      <c r="K126" s="280" t="n"/>
      <c r="L126" s="280" t="n"/>
      <c r="M126" s="280" t="n"/>
      <c r="N126" s="280" t="n"/>
    </row>
    <row r="127" ht="27" customHeight="1" s="90">
      <c r="A127" s="254" t="inlineStr">
        <is>
          <t>PROFIT &amp; MARGIN</t>
        </is>
      </c>
      <c r="B127" s="269" t="n"/>
      <c r="C127" s="269" t="n"/>
      <c r="D127" s="269" t="n"/>
      <c r="E127" s="269" t="n"/>
      <c r="F127" s="269" t="n"/>
      <c r="G127" s="269" t="n"/>
      <c r="H127" s="269" t="n"/>
      <c r="I127" s="257" t="n"/>
      <c r="J127" s="253" t="n"/>
      <c r="K127" s="253" t="n"/>
      <c r="L127" s="253" t="n"/>
      <c r="M127" s="253" t="n"/>
      <c r="N127" s="253" t="n"/>
      <c r="O127" s="94" t="n"/>
      <c r="P127" s="94" t="n"/>
      <c r="Q127" s="94" t="n"/>
      <c r="R127" s="94" t="n"/>
      <c r="S127" s="94" t="n"/>
      <c r="T127" s="94" t="n"/>
      <c r="U127" s="94" t="n"/>
      <c r="V127" s="94" t="n"/>
      <c r="W127" s="94" t="n"/>
      <c r="X127" s="94" t="n"/>
      <c r="Y127" s="94" t="n"/>
      <c r="Z127" s="94" t="n"/>
    </row>
    <row r="128" ht="20" customHeight="1" s="90">
      <c r="A128" s="357" t="inlineStr">
        <is>
          <t>Third-Party Commission</t>
        </is>
      </c>
      <c r="B128" s="327" t="n"/>
      <c r="C128" s="379">
        <f>'Client Setup - Blank'!B36</f>
        <v/>
      </c>
      <c r="D128" s="377">
        <f>F104*C128</f>
        <v/>
      </c>
      <c r="E128" s="327" t="n"/>
      <c r="F128" s="304" t="n"/>
      <c r="G128" s="304" t="n"/>
      <c r="H128" s="304" t="n"/>
      <c r="I128" s="253" t="n"/>
      <c r="J128" s="253" t="n"/>
      <c r="K128" s="253" t="n"/>
      <c r="L128" s="253" t="n"/>
      <c r="M128" s="253" t="n"/>
      <c r="N128" s="253" t="n"/>
      <c r="O128" s="94" t="n"/>
      <c r="P128" s="94" t="n"/>
      <c r="Q128" s="94" t="n"/>
      <c r="R128" s="94" t="n"/>
      <c r="S128" s="94" t="n"/>
      <c r="T128" s="94" t="n"/>
      <c r="U128" s="94" t="n"/>
      <c r="V128" s="94" t="n"/>
      <c r="W128" s="94" t="n"/>
      <c r="X128" s="94" t="n"/>
      <c r="Y128" s="94" t="n"/>
      <c r="Z128" s="94" t="n"/>
    </row>
    <row r="129" ht="20" customHeight="1" s="90">
      <c r="A129" s="357" t="inlineStr">
        <is>
          <t>Global DMC Fee (6.5%)</t>
        </is>
      </c>
      <c r="B129" s="327" t="n"/>
      <c r="C129" s="380">
        <f>IF('Client Setup - Blank'!B37="Yes",0.065,0)</f>
        <v/>
      </c>
      <c r="D129" s="377">
        <f>IF('Client Setup - Blank'!B37="Yes",F104*0.065,0)</f>
        <v/>
      </c>
      <c r="E129" s="327" t="n"/>
      <c r="F129" s="304" t="n"/>
      <c r="G129" s="304" t="n"/>
      <c r="H129" s="304" t="n"/>
      <c r="I129" s="253" t="n"/>
      <c r="J129" s="253" t="n"/>
      <c r="K129" s="253" t="n"/>
      <c r="L129" s="253" t="n"/>
      <c r="M129" s="253" t="n"/>
      <c r="N129" s="253" t="n"/>
      <c r="O129" s="94" t="n"/>
      <c r="P129" s="94" t="n"/>
      <c r="Q129" s="94" t="n"/>
      <c r="R129" s="94" t="n"/>
      <c r="S129" s="94" t="n"/>
      <c r="T129" s="94" t="n"/>
      <c r="U129" s="94" t="n"/>
      <c r="V129" s="94" t="n"/>
      <c r="W129" s="94" t="n"/>
      <c r="X129" s="94" t="n"/>
      <c r="Y129" s="94" t="n"/>
      <c r="Z129" s="94" t="n"/>
    </row>
    <row r="130" ht="20" customHeight="1" s="90">
      <c r="A130" s="357" t="inlineStr">
        <is>
          <t>Total Vendor Costs (incl. CC fee)</t>
        </is>
      </c>
      <c r="B130" s="327" t="n"/>
      <c r="C130" s="327" t="n"/>
      <c r="D130" s="377">
        <f>E99+E100+E101+E102</f>
        <v/>
      </c>
      <c r="E130" s="327" t="n"/>
      <c r="F130" s="304" t="n"/>
      <c r="G130" s="304" t="n"/>
      <c r="H130" s="304" t="n"/>
      <c r="I130" s="253" t="n"/>
      <c r="J130" s="253" t="n"/>
      <c r="K130" s="253" t="n"/>
      <c r="L130" s="253" t="n"/>
      <c r="M130" s="253" t="n"/>
      <c r="N130" s="253" t="n"/>
      <c r="O130" s="94" t="n"/>
      <c r="P130" s="94" t="n"/>
      <c r="Q130" s="94" t="n"/>
      <c r="R130" s="94" t="n"/>
      <c r="S130" s="94" t="n"/>
      <c r="T130" s="94" t="n"/>
      <c r="U130" s="94" t="n"/>
      <c r="V130" s="94" t="n"/>
      <c r="W130" s="94" t="n"/>
      <c r="X130" s="94" t="n"/>
      <c r="Y130" s="94" t="n"/>
      <c r="Z130" s="94" t="n"/>
    </row>
    <row r="131" ht="20" customHeight="1" s="90">
      <c r="A131" s="357" t="inlineStr">
        <is>
          <t>QC Revenue</t>
        </is>
      </c>
      <c r="B131" s="327" t="n"/>
      <c r="C131" s="327" t="n"/>
      <c r="D131" s="377">
        <f>IFERROR(F104-D128-D129-D130,0)</f>
        <v/>
      </c>
      <c r="E131" s="327" t="n"/>
      <c r="F131" s="304" t="n"/>
      <c r="G131" s="304" t="n"/>
      <c r="H131" s="304" t="n"/>
      <c r="I131" s="253" t="n"/>
      <c r="J131" s="253" t="n"/>
      <c r="K131" s="253" t="n"/>
      <c r="L131" s="253" t="n"/>
      <c r="M131" s="253" t="n"/>
      <c r="N131" s="253" t="n"/>
      <c r="O131" s="94" t="n"/>
      <c r="P131" s="94" t="n"/>
      <c r="Q131" s="94" t="n"/>
      <c r="R131" s="94" t="n"/>
      <c r="S131" s="94" t="n"/>
      <c r="T131" s="94" t="n"/>
      <c r="U131" s="94" t="n"/>
      <c r="V131" s="94" t="n"/>
      <c r="W131" s="94" t="n"/>
      <c r="X131" s="94" t="n"/>
      <c r="Y131" s="94" t="n"/>
      <c r="Z131" s="94" t="n"/>
    </row>
    <row r="132" ht="20" customHeight="1" s="90">
      <c r="A132" s="357" t="inlineStr">
        <is>
          <t>QC Margin %</t>
        </is>
      </c>
      <c r="B132" s="327" t="n"/>
      <c r="C132" s="327" t="n"/>
      <c r="D132" s="381">
        <f>IFERROR(IF(F104&gt;0,D131/F104,0),0)</f>
        <v/>
      </c>
      <c r="E132" s="327" t="n"/>
      <c r="F132" s="412" t="n"/>
      <c r="G132" s="412" t="n"/>
      <c r="H132" s="412" t="n"/>
      <c r="I132" s="253" t="n"/>
      <c r="J132" s="253" t="n"/>
      <c r="K132" s="253" t="n"/>
      <c r="L132" s="253" t="n"/>
      <c r="M132" s="253" t="n"/>
      <c r="N132" s="253" t="n"/>
      <c r="O132" s="94" t="n"/>
      <c r="P132" s="94" t="n"/>
      <c r="Q132" s="94" t="n"/>
      <c r="R132" s="94" t="n"/>
      <c r="S132" s="94" t="n"/>
      <c r="T132" s="94" t="n"/>
      <c r="U132" s="94" t="n"/>
      <c r="V132" s="94" t="n"/>
      <c r="W132" s="94" t="n"/>
      <c r="X132" s="94" t="n"/>
      <c r="Y132" s="94" t="n"/>
      <c r="Z132" s="94" t="n"/>
    </row>
    <row r="133" ht="20" customHeight="1" s="90">
      <c r="A133" s="357" t="inlineStr">
        <is>
          <t>Margin Health</t>
        </is>
      </c>
      <c r="B133" s="327" t="n"/>
      <c r="C133" s="327" t="n"/>
      <c r="D133" s="383">
        <f>IF(D132&gt;=0.45,"✓ STRONG",IF(D132&gt;=0.35,"→ ON TARGET",IF(D132&gt;=0.25,"⚠ REVIEW","✗ BELOW FLOOR")))</f>
        <v/>
      </c>
      <c r="E133" s="327" t="n"/>
      <c r="F133" s="253" t="n"/>
      <c r="G133" s="253" t="n"/>
      <c r="H133" s="253" t="n"/>
      <c r="I133" s="253" t="n"/>
      <c r="J133" s="253" t="n"/>
      <c r="K133" s="253" t="n"/>
      <c r="L133" s="253" t="n"/>
      <c r="M133" s="253" t="n"/>
      <c r="N133" s="253" t="n"/>
      <c r="O133" s="94" t="n"/>
      <c r="P133" s="94" t="n"/>
      <c r="Q133" s="94" t="n"/>
      <c r="R133" s="94" t="n"/>
      <c r="S133" s="94" t="n"/>
      <c r="T133" s="94" t="n"/>
      <c r="U133" s="94" t="n"/>
      <c r="V133" s="94" t="n"/>
      <c r="W133" s="94" t="n"/>
      <c r="X133" s="94" t="n"/>
      <c r="Y133" s="94" t="n"/>
      <c r="Z133" s="94" t="n"/>
    </row>
    <row r="134" ht="20" customHeight="1" s="90">
      <c r="A134" s="384" t="n"/>
      <c r="B134" s="327" t="n"/>
      <c r="C134" s="327" t="n"/>
      <c r="D134" s="327" t="n"/>
      <c r="E134" s="327" t="n"/>
      <c r="F134" s="253" t="n"/>
      <c r="G134" s="253" t="n"/>
      <c r="H134" s="253" t="n"/>
      <c r="I134" s="253" t="n"/>
      <c r="J134" s="253" t="n"/>
      <c r="K134" s="253" t="n"/>
      <c r="L134" s="253" t="n"/>
      <c r="M134" s="253" t="n"/>
      <c r="N134" s="253" t="n"/>
      <c r="O134" s="94" t="n"/>
      <c r="P134" s="94" t="n"/>
      <c r="Q134" s="94" t="n"/>
      <c r="R134" s="94" t="n"/>
      <c r="S134" s="94" t="n"/>
      <c r="T134" s="94" t="n"/>
      <c r="U134" s="94" t="n"/>
      <c r="V134" s="94" t="n"/>
      <c r="W134" s="94" t="n"/>
      <c r="X134" s="94" t="n"/>
      <c r="Y134" s="94" t="n"/>
      <c r="Z134" s="94" t="n"/>
    </row>
    <row r="135" ht="20" customHeight="1" s="90">
      <c r="A135" s="357" t="inlineStr">
        <is>
          <t>Estimated Team Hours</t>
        </is>
      </c>
      <c r="B135" s="327" t="n"/>
      <c r="C135" s="385" t="n"/>
      <c r="D135" s="377">
        <f>IF(ISNUMBER(C135),C135*90,0)</f>
        <v/>
      </c>
      <c r="E135" s="321" t="inlineStr">
        <is>
          <t>Hours × $90/hr</t>
        </is>
      </c>
      <c r="F135" s="253" t="n"/>
      <c r="G135" s="253" t="n"/>
      <c r="H135" s="253" t="n"/>
      <c r="I135" s="253" t="n"/>
      <c r="J135" s="253" t="n"/>
      <c r="K135" s="253" t="n"/>
      <c r="L135" s="253" t="n"/>
      <c r="M135" s="253" t="n"/>
      <c r="N135" s="253" t="n"/>
      <c r="O135" s="94" t="n"/>
      <c r="P135" s="94" t="n"/>
      <c r="Q135" s="94" t="n"/>
      <c r="R135" s="94" t="n"/>
      <c r="S135" s="94" t="n"/>
      <c r="T135" s="94" t="n"/>
      <c r="U135" s="94" t="n"/>
      <c r="V135" s="94" t="n"/>
      <c r="W135" s="94" t="n"/>
      <c r="X135" s="94" t="n"/>
      <c r="Y135" s="94" t="n"/>
      <c r="Z135" s="94" t="n"/>
    </row>
    <row r="136" ht="20" customHeight="1" s="90">
      <c r="A136" s="357" t="inlineStr">
        <is>
          <t>True Net Profit</t>
        </is>
      </c>
      <c r="B136" s="327" t="n"/>
      <c r="C136" s="327" t="n"/>
      <c r="D136" s="377">
        <f>D131-D135-D126</f>
        <v/>
      </c>
      <c r="E136" s="327" t="n"/>
      <c r="F136" s="253" t="n"/>
      <c r="G136" s="253" t="n"/>
      <c r="H136" s="253" t="n"/>
      <c r="I136" s="253" t="n"/>
      <c r="J136" s="253" t="n"/>
      <c r="K136" s="253" t="n"/>
      <c r="L136" s="253" t="n"/>
      <c r="M136" s="253" t="n"/>
      <c r="N136" s="253" t="n"/>
      <c r="O136" s="94" t="n"/>
      <c r="P136" s="94" t="n"/>
      <c r="Q136" s="94" t="n"/>
      <c r="R136" s="94" t="n"/>
      <c r="S136" s="94" t="n"/>
      <c r="T136" s="94" t="n"/>
      <c r="U136" s="94" t="n"/>
      <c r="V136" s="94" t="n"/>
      <c r="W136" s="94" t="n"/>
      <c r="X136" s="94" t="n"/>
      <c r="Y136" s="94" t="n"/>
      <c r="Z136" s="94" t="n"/>
    </row>
    <row r="137" ht="20" customHeight="1" s="90">
      <c r="A137" s="357" t="inlineStr">
        <is>
          <t>True Net Margin %</t>
        </is>
      </c>
      <c r="B137" s="327" t="n"/>
      <c r="C137" s="327" t="n"/>
      <c r="D137" s="381">
        <f>IFERROR(IF(F104&gt;0,D136/F104,0),0)</f>
        <v/>
      </c>
      <c r="E137" s="327" t="n"/>
      <c r="F137" s="253" t="n"/>
      <c r="G137" s="253" t="n"/>
      <c r="H137" s="253" t="n"/>
      <c r="I137" s="253" t="n"/>
      <c r="J137" s="253" t="n"/>
      <c r="K137" s="253" t="n"/>
      <c r="L137" s="253" t="n"/>
      <c r="M137" s="253" t="n"/>
      <c r="N137" s="253" t="n"/>
      <c r="O137" s="94" t="n"/>
      <c r="P137" s="94" t="n"/>
      <c r="Q137" s="94" t="n"/>
      <c r="R137" s="94" t="n"/>
      <c r="S137" s="94" t="n"/>
      <c r="T137" s="94" t="n"/>
      <c r="U137" s="94" t="n"/>
      <c r="V137" s="94" t="n"/>
      <c r="W137" s="94" t="n"/>
      <c r="X137" s="94" t="n"/>
      <c r="Y137" s="94" t="n"/>
      <c r="Z137" s="94" t="n"/>
    </row>
    <row r="138" ht="20" customHeight="1" s="90">
      <c r="A138" s="357" t="inlineStr">
        <is>
          <t>True Net Health</t>
        </is>
      </c>
      <c r="B138" s="327" t="n"/>
      <c r="C138" s="327" t="n"/>
      <c r="D138" s="383">
        <f>IF(D137&gt;=0.15,"✓ STRONG",IF(D137&gt;=0.07,"→ ON TARGET",IF(D137&gt;=0,"⚠ THIN","✗ LOSING MONEY")))</f>
        <v/>
      </c>
      <c r="E138" s="327" t="n"/>
      <c r="F138" s="253" t="n"/>
      <c r="G138" s="253" t="n"/>
      <c r="H138" s="253" t="n"/>
      <c r="I138" s="253" t="n"/>
      <c r="J138" s="253" t="n"/>
      <c r="K138" s="253" t="n"/>
      <c r="L138" s="253" t="n"/>
      <c r="M138" s="253" t="n"/>
      <c r="N138" s="253"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253" t="n"/>
      <c r="M139" s="253" t="n"/>
      <c r="N139" s="253"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conditionalFormatting sqref="I16:I25">
    <cfRule type="expression" priority="1" dxfId="0">
      <formula>AND(OR($A16&lt;&gt;"",$C16&lt;&gt;""),I16="")</formula>
    </cfRule>
  </conditionalFormatting>
  <conditionalFormatting sqref="I35:I42">
    <cfRule type="expression" priority="2" dxfId="0">
      <formula>AND(OR($A35&lt;&gt;"",$C35&lt;&gt;""),I35="")</formula>
    </cfRule>
  </conditionalFormatting>
  <conditionalFormatting sqref="I44:I51">
    <cfRule type="expression" priority="3" dxfId="0">
      <formula>AND(OR($A44&lt;&gt;"",$C44&lt;&gt;""),I44="")</formula>
    </cfRule>
  </conditionalFormatting>
  <conditionalFormatting sqref="I53:I60">
    <cfRule type="expression" priority="4" dxfId="0">
      <formula>AND(OR($A53&lt;&gt;"",$C53&lt;&gt;""),I53="")</formula>
    </cfRule>
  </conditionalFormatting>
  <conditionalFormatting sqref="I62:I67">
    <cfRule type="expression" priority="5" dxfId="0">
      <formula>AND(OR($A62&lt;&gt;"",$C62&lt;&gt;""),I62="")</formula>
    </cfRule>
  </conditionalFormatting>
  <conditionalFormatting sqref="C16:D25">
    <cfRule type="expression" priority="6" dxfId="1">
      <formula>AND(OR($C16&lt;&gt;"",$D16&lt;&gt;""),OR($C16="",$D16=""))</formula>
    </cfRule>
  </conditionalFormatting>
  <conditionalFormatting sqref="C35:D42">
    <cfRule type="expression" priority="7" dxfId="1">
      <formula>AND(OR($C35&lt;&gt;"",$D35&lt;&gt;""),OR($C35="",$D35=""))</formula>
    </cfRule>
  </conditionalFormatting>
  <conditionalFormatting sqref="C44:D51">
    <cfRule type="expression" priority="8" dxfId="1">
      <formula>AND(OR($C44&lt;&gt;"",$D44&lt;&gt;""),OR($C44="",$D44=""))</formula>
    </cfRule>
  </conditionalFormatting>
  <conditionalFormatting sqref="C53:D60">
    <cfRule type="expression" priority="9" dxfId="1">
      <formula>AND(OR($C53&lt;&gt;"",$D53&lt;&gt;""),OR($C53="",$D53=""))</formula>
    </cfRule>
  </conditionalFormatting>
  <conditionalFormatting sqref="C62:D67">
    <cfRule type="expression" priority="10" dxfId="1">
      <formula>AND(OR($C62&lt;&gt;"",$D62&lt;&gt;""),OR($C62="",$D62=""))</formula>
    </cfRule>
  </conditionalFormatting>
  <conditionalFormatting sqref="D133">
    <cfRule type="expression" priority="11" dxfId="3">
      <formula>SEARCH("STRONG",D133)&gt;0</formula>
    </cfRule>
    <cfRule type="expression" priority="12" dxfId="4">
      <formula>SEARCH("TARGET",D133)&gt;0</formula>
    </cfRule>
    <cfRule type="expression" priority="13" dxfId="5">
      <formula>SEARCH("REVIEW",D133)&gt;0</formula>
    </cfRule>
    <cfRule type="expression" priority="14" dxfId="6">
      <formula>SEARCH("BELOW",D133)&gt;0</formula>
    </cfRule>
    <cfRule type="expression" priority="15" dxfId="5">
      <formula>SEARCH("THIN",D133)&gt;0</formula>
    </cfRule>
    <cfRule type="expression" priority="16" dxfId="6">
      <formula>SEARCH("LOSING",D133)&gt;0</formula>
    </cfRule>
  </conditionalFormatting>
  <conditionalFormatting sqref="D138">
    <cfRule type="expression" priority="17" dxfId="3">
      <formula>SEARCH("STRONG",D138)&gt;0</formula>
    </cfRule>
    <cfRule type="expression" priority="18" dxfId="4">
      <formula>SEARCH("TARGET",D138)&gt;0</formula>
    </cfRule>
    <cfRule type="expression" priority="19" dxfId="5">
      <formula>SEARCH("REVIEW",D138)&gt;0</formula>
    </cfRule>
    <cfRule type="expression" priority="20" dxfId="6">
      <formula>SEARCH("BELOW",D138)&gt;0</formula>
    </cfRule>
    <cfRule type="expression" priority="21" dxfId="5">
      <formula>SEARCH("THIN",D138)&gt;0</formula>
    </cfRule>
    <cfRule type="expression" priority="22" dxfId="6">
      <formula>SEARCH("LOSING",D138)&gt;0</formula>
    </cfRule>
  </conditionalFormatting>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'Client Setup - Blank'!$A$23:$A$33</formula1>
    </dataValidation>
    <dataValidation sqref="B113 C113 D113" showDropDown="0" showInputMessage="0" showErrorMessage="0" allowBlank="1" type="list">
      <formula1>'Client Setup - Blank'!$A$54:$A$63</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'Client Setup - Blank'!$A$67:$A$72</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2026-04-01T19:22:18Z</dcterms:modified>
  <cp:revision>0</cp:revision>
</cp:coreProperties>
</file>