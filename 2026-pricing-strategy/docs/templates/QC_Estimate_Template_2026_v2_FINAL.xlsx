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6.xml" ContentType="application/vnd.openxmlformats-officedocument.drawing+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lient Setup - Sample" sheetId="1" state="visible" r:id="rId1"/>
    <sheet name="Client Setup - Blank" sheetId="2" state="visible" r:id="rId2"/>
    <sheet name="Venue Estimate - Sample" sheetId="3" state="visible" r:id="rId3"/>
    <sheet name="Venue Estimate - Blank" sheetId="4" state="visible" r:id="rId4"/>
    <sheet name="Decor Estimate - Sample" sheetId="5" state="visible" r:id="rId5"/>
    <sheet name="Decor Estimate - Blank" sheetId="6" state="visible" r:id="rId6"/>
  </sheets>
  <definedNames>
    <definedName name="CategoryTable">'Client Setup - Blank'!$A$23:$B$33</definedName>
    <definedName name="CategoryList">'Client Setup - Blank'!$A$23:$A$33</definedName>
    <definedName name="LocationList">'Client Setup - Blank'!$A$75:$A$96</definedName>
    <definedName name="TravelRates">'Client Setup - Blank'!$A$54:$F$63</definedName>
    <definedName name="DestinationList">'Client Setup - Blank'!$A$54:$A$63</definedName>
    <definedName name="VehicleRates">'Client Setup - Blank'!$A$67:$B$72</definedName>
    <definedName name="VehicleList">'Client Setup - Blank'!$A$67:$A$72</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dd/yyyy"/>
    <numFmt numFmtId="165" formatCode="0.0%"/>
    <numFmt numFmtId="166" formatCode="0.0000%"/>
    <numFmt numFmtId="167" formatCode="\$#,##0.00"/>
    <numFmt numFmtId="168" formatCode="\$#,##0"/>
    <numFmt numFmtId="169" formatCode="$#,##0"/>
    <numFmt numFmtId="170" formatCode="$#,##0.00"/>
  </numFmts>
  <fonts count="52">
    <font>
      <name val="Calibri"/>
      <charset val="1"/>
      <family val="0"/>
      <color theme="1"/>
      <sz val="11"/>
    </font>
    <font>
      <name val="Arial"/>
      <family val="0"/>
      <sz val="10"/>
    </font>
    <font>
      <name val="Arial"/>
      <family val="0"/>
      <sz val="10"/>
    </font>
    <font>
      <name val="Arial"/>
      <family val="0"/>
      <sz val="10"/>
    </font>
    <font>
      <name val="Playfair Display"/>
      <charset val="1"/>
      <family val="0"/>
      <color theme="1"/>
      <sz val="11"/>
    </font>
    <font>
      <name val="Playfair Display"/>
      <charset val="1"/>
      <family val="0"/>
      <color rgb="FFA9AEB4"/>
      <sz val="11"/>
    </font>
    <font>
      <name val="Playfair Display"/>
      <charset val="1"/>
      <family val="0"/>
      <b val="1"/>
      <color rgb="FFECDFCE"/>
      <sz val="11"/>
    </font>
    <font>
      <name val="Playfair Display"/>
      <charset val="1"/>
      <family val="0"/>
      <b val="1"/>
      <color rgb="FF464543"/>
      <sz val="10"/>
    </font>
    <font>
      <name val="Playfair Display"/>
      <charset val="1"/>
      <family val="0"/>
      <b val="1"/>
      <color rgb="FF846E60"/>
      <sz val="10"/>
    </font>
    <font>
      <name val="Playfair Display"/>
      <charset val="1"/>
      <family val="0"/>
      <i val="1"/>
      <color rgb="FFA9AEB4"/>
      <sz val="9"/>
    </font>
    <font>
      <name val="Playfair Display"/>
      <charset val="1"/>
      <family val="0"/>
      <color rgb="FF464543"/>
      <sz val="10"/>
    </font>
    <font>
      <name val="Playfair Display"/>
      <charset val="1"/>
      <family val="0"/>
      <b val="1"/>
      <color rgb="FFA9AEB4"/>
      <sz val="8"/>
    </font>
    <font>
      <name val="Playfair Display"/>
      <charset val="1"/>
      <family val="0"/>
      <color rgb="FFA9AEB4"/>
      <sz val="8"/>
    </font>
    <font>
      <name val="Playfair Display"/>
      <charset val="1"/>
      <family val="0"/>
      <color rgb="FFA9AEB4"/>
      <sz val="9"/>
    </font>
    <font>
      <name val="Cambria"/>
      <charset val="1"/>
      <family val="0"/>
      <sz val="11"/>
    </font>
    <font>
      <name val="Playfair Display"/>
      <charset val="1"/>
      <family val="0"/>
      <b val="1"/>
      <color rgb="FFECDFCE"/>
      <sz val="12"/>
    </font>
    <font>
      <name val="Playfair Display"/>
      <charset val="1"/>
      <family val="0"/>
      <b val="1"/>
      <color rgb="FF464543"/>
      <sz val="11"/>
    </font>
    <font>
      <name val="Playfair Display"/>
      <charset val="1"/>
      <family val="0"/>
      <color rgb="FF464543"/>
      <sz val="11"/>
    </font>
    <font>
      <name val="Playfair Display"/>
      <charset val="1"/>
      <family val="0"/>
      <b val="1"/>
      <color rgb="FFA9AEB4"/>
      <sz val="9"/>
    </font>
    <font>
      <name val="Playfair Display"/>
      <charset val="1"/>
      <family val="0"/>
      <b val="1"/>
      <color rgb="FFECDFCE"/>
      <sz val="10"/>
    </font>
    <font>
      <name val="Playfair Display"/>
      <charset val="1"/>
      <family val="0"/>
      <b val="1"/>
      <color rgb="FF856404"/>
      <sz val="10"/>
    </font>
    <font>
      <name val="Playfair Display"/>
      <charset val="1"/>
      <family val="0"/>
      <b val="1"/>
      <color rgb="FF464543"/>
      <sz val="13"/>
    </font>
    <font>
      <name val="Playfair Display"/>
      <charset val="1"/>
      <family val="0"/>
      <color rgb="FFA9AEB4"/>
      <sz val="10"/>
    </font>
    <font>
      <name val="Playfair Display"/>
      <charset val="1"/>
      <family val="0"/>
      <b val="1"/>
      <color rgb="FF846E60"/>
      <sz val="9"/>
    </font>
    <font>
      <name val="Playfair Display"/>
      <charset val="1"/>
      <family val="0"/>
      <b val="1"/>
      <color rgb="FFECDFCE"/>
      <sz val="13"/>
    </font>
    <font>
      <name val="Playfair Display"/>
      <charset val="1"/>
      <family val="0"/>
      <b val="1"/>
      <color rgb="FFC19C81"/>
      <sz val="12"/>
    </font>
    <font>
      <name val="Playfair Display"/>
      <charset val="1"/>
      <family val="0"/>
      <b val="1"/>
      <color rgb="FF464543"/>
      <sz val="12"/>
    </font>
    <font>
      <name val="Playfair Display"/>
      <charset val="1"/>
      <family val="0"/>
      <b val="1"/>
      <sz val="10"/>
    </font>
    <font>
      <name val="Playfair Display"/>
      <charset val="1"/>
      <family val="0"/>
      <b val="1"/>
      <color rgb="FFC19C81"/>
      <sz val="10"/>
    </font>
    <font>
      <name val="Playfair Display"/>
      <charset val="1"/>
      <family val="0"/>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Garamond"/>
      <b val="1"/>
      <color rgb="00846E60"/>
      <sz val="14"/>
    </font>
    <font>
      <name val="Garamond"/>
      <b val="1"/>
      <color rgb="00FFFFFF"/>
      <sz val="12"/>
    </font>
    <font>
      <name val="Calibri"/>
      <b val="1"/>
      <color rgb="00464543"/>
      <sz val="10"/>
    </font>
    <font>
      <name val="Calibri"/>
      <i val="1"/>
      <color rgb="00A9AEB4"/>
      <sz val="9"/>
    </font>
    <font>
      <name val="Calibri"/>
      <color rgb="00464543"/>
      <sz val="10"/>
    </font>
    <font>
      <name val="Garamond"/>
      <b val="1"/>
      <color rgb="00FFFFFF"/>
      <sz val="11"/>
    </font>
    <font>
      <name val="Calibri"/>
      <b val="1"/>
      <color rgb="00464543"/>
      <sz val="11"/>
    </font>
    <font>
      <name val="Calibri"/>
      <b val="1"/>
      <color rgb="00FFFFFF"/>
      <sz val="12"/>
    </font>
    <font>
      <name val="Calibri"/>
      <b val="1"/>
      <color rgb="00FFFFFF"/>
      <sz val="11"/>
    </font>
    <font>
      <b val="1"/>
      <color rgb="00FFFFFF"/>
    </font>
    <font>
      <b val="1"/>
      <color rgb="00FFFFFF"/>
      <sz val="12"/>
    </font>
    <font>
      <b val="1"/>
      <color rgb="00464543"/>
    </font>
    <font>
      <name val="Playfair Display"/>
      <color rgb="00FFFFFF"/>
      <sz val="11"/>
    </font>
  </fonts>
  <fills count="26">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00464543"/>
      </patternFill>
    </fill>
    <fill>
      <patternFill patternType="solid">
        <fgColor rgb="00FAF6F3"/>
      </patternFill>
    </fill>
    <fill>
      <patternFill patternType="solid">
        <fgColor rgb="00ECDFCE"/>
      </patternFill>
    </fill>
    <fill>
      <patternFill patternType="solid">
        <fgColor rgb="00846E60"/>
      </patternFill>
    </fill>
  </fills>
  <borders count="21">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diagonal/>
    </border>
    <border>
      <left/>
      <right style="thin">
        <color rgb="FFECDFCE"/>
      </right>
      <top style="thin">
        <color rgb="FFECDFCE"/>
      </top>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style="thin">
        <color rgb="FFECDFCE"/>
      </top>
      <bottom style="medium">
        <color rgb="FFC19C81"/>
      </bottom>
      <diagonal/>
    </border>
    <border>
      <left/>
      <right style="thin">
        <color rgb="FFECDFCE"/>
      </right>
      <top style="thin">
        <color rgb="FFECDFCE"/>
      </top>
      <bottom style="medium">
        <color rgb="FFC19C81"/>
      </bottom>
      <diagonal/>
    </border>
    <border>
      <bottom style="thin">
        <color rgb="FFD4C5B0"/>
      </bottom>
    </border>
    <border>
      <bottom style="medium">
        <color rgb="00846E60"/>
      </bottom>
    </border>
    <border>
      <left style="hair">
        <color rgb="00A9AEB4"/>
      </left>
      <right style="hair">
        <color rgb="00A9AEB4"/>
      </right>
      <top style="hair">
        <color rgb="00A9AEB4"/>
      </top>
      <bottom style="hair">
        <color rgb="00A9AEB4"/>
      </bottom>
    </border>
    <border>
      <top style="medium">
        <color rgb="00846E60"/>
      </top>
      <bottom style="medium">
        <color rgb="00846E60"/>
      </bottom>
    </border>
    <border>
      <left/>
      <right/>
      <top style="hair">
        <color rgb="00A9AEB4"/>
      </top>
      <bottom/>
      <diagonal/>
    </border>
    <border>
      <left/>
      <right style="hair">
        <color rgb="00A9AEB4"/>
      </right>
      <top style="hair">
        <color rgb="00A9AEB4"/>
      </top>
      <bottom/>
      <diagonal/>
    </border>
    <border>
      <left/>
      <right style="hair">
        <color rgb="00A9AEB4"/>
      </right>
      <top style="hair">
        <color rgb="00A9AEB4"/>
      </top>
      <bottom style="hair">
        <color rgb="00A9AEB4"/>
      </bottom>
      <diagonal/>
    </border>
    <border>
      <left/>
      <right/>
      <top style="hair">
        <color rgb="00A9AEB4"/>
      </top>
      <bottom style="hair">
        <color rgb="00A9AEB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6">
    <xf numFmtId="0" fontId="0" fillId="0" borderId="0" applyAlignment="1" pivotButton="0" quotePrefix="0" xfId="0">
      <alignment horizontal="general" vertical="bottom"/>
    </xf>
    <xf numFmtId="0" fontId="4" fillId="2" borderId="1"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4" fillId="0" borderId="0" applyAlignment="1" pivotButton="0" quotePrefix="0" xfId="0">
      <alignment horizontal="general" vertical="bottom"/>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9" fontId="8" fillId="5" borderId="1" applyAlignment="1" pivotButton="0" quotePrefix="0" xfId="0">
      <alignment horizontal="center" vertical="center"/>
    </xf>
    <xf numFmtId="0" fontId="9" fillId="4" borderId="1" applyAlignment="1" pivotButton="0" quotePrefix="0" xfId="0">
      <alignment horizontal="left" vertical="center"/>
    </xf>
    <xf numFmtId="165"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0" fontId="16" fillId="4"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9" fillId="7" borderId="1" applyAlignment="1" pivotButton="0" quotePrefix="0" xfId="0">
      <alignment horizontal="general" vertical="bottom"/>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167" fontId="8" fillId="5" borderId="1" applyAlignment="1" pivotButton="0" quotePrefix="0" xfId="0">
      <alignment horizontal="center" vertical="center"/>
    </xf>
    <xf numFmtId="167" fontId="10" fillId="6" borderId="1" applyAlignment="1" pivotButton="0" quotePrefix="0" xfId="0">
      <alignment horizontal="right" vertical="center"/>
    </xf>
    <xf numFmtId="0" fontId="9" fillId="7"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164" fontId="18" fillId="4" borderId="1" applyAlignment="1" pivotButton="0" quotePrefix="0" xfId="0">
      <alignment horizontal="center" vertical="center"/>
    </xf>
    <xf numFmtId="0" fontId="28" fillId="13" borderId="1" applyAlignment="1" pivotButton="0" quotePrefix="0" xfId="0">
      <alignment horizontal="left" vertical="center"/>
    </xf>
    <xf numFmtId="168" fontId="17" fillId="4" borderId="1" applyAlignment="1" pivotButton="0" quotePrefix="0" xfId="0">
      <alignment horizontal="righ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4" fillId="4" borderId="2" applyAlignment="1" pivotButton="0" quotePrefix="0" xfId="0">
      <alignment horizontal="general" vertical="bottom"/>
    </xf>
    <xf numFmtId="168" fontId="21" fillId="4" borderId="1" applyAlignment="1" pivotButton="0" quotePrefix="0" xfId="0">
      <alignment horizontal="right" vertical="center"/>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167" fontId="7" fillId="10" borderId="4" applyAlignment="1" pivotButton="0" quotePrefix="0" xfId="0">
      <alignment horizontal="right" vertical="center"/>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167" fontId="10" fillId="12" borderId="1" applyAlignment="1" pivotButton="0" quotePrefix="0" xfId="0">
      <alignment horizontal="right" vertical="center"/>
    </xf>
    <xf numFmtId="167" fontId="25" fillId="2" borderId="5" applyAlignment="1" pivotButton="0" quotePrefix="0" xfId="0">
      <alignment horizontal="right" vertical="center"/>
    </xf>
    <xf numFmtId="0" fontId="4" fillId="2" borderId="5" applyAlignment="1" pivotButton="0" quotePrefix="0" xfId="0">
      <alignment horizontal="general" vertical="bottom"/>
    </xf>
    <xf numFmtId="167" fontId="26" fillId="4" borderId="1" applyAlignment="1" pivotButton="0" quotePrefix="0" xfId="0">
      <alignment horizontal="center" vertical="center"/>
    </xf>
    <xf numFmtId="167" fontId="10" fillId="7" borderId="1" applyAlignment="1" pivotButton="0" quotePrefix="0" xfId="0">
      <alignment horizontal="righ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bottom"/>
    </xf>
    <xf numFmtId="0" fontId="0" fillId="0" borderId="9" pivotButton="0" quotePrefix="0" xfId="0"/>
    <xf numFmtId="0" fontId="0" fillId="0" borderId="10" pivotButton="0" quotePrefix="0" xfId="0"/>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18" fontId="31" fillId="16" borderId="1" applyAlignment="1" pivotButton="0" quotePrefix="0" xfId="0">
      <alignment horizontal="center" vertical="center"/>
    </xf>
    <xf numFmtId="0" fontId="30" fillId="15" borderId="0" applyAlignment="1" pivotButton="0" quotePrefix="0" xfId="0">
      <alignment horizontal="left" vertical="center"/>
    </xf>
    <xf numFmtId="0" fontId="31" fillId="16" borderId="0" applyAlignment="1" pivotButton="0" quotePrefix="0" xfId="0">
      <alignment horizontal="center" vertical="center"/>
    </xf>
    <xf numFmtId="0" fontId="0" fillId="15" borderId="0" pivotButton="0" quotePrefix="0" xfId="0"/>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0" fontId="32" fillId="17" borderId="1" applyAlignment="1" pivotButton="0" quotePrefix="0" xfId="0">
      <alignment horizontal="left" vertical="center"/>
    </xf>
    <xf numFmtId="0" fontId="32" fillId="17" borderId="1" applyAlignment="1" pivotButton="0" quotePrefix="0" xfId="0">
      <alignment horizontal="center" vertical="center"/>
    </xf>
    <xf numFmtId="9" fontId="32" fillId="17" borderId="1" applyAlignment="1" pivotButton="0" quotePrefix="0" xfId="0">
      <alignment horizontal="left" vertical="center"/>
    </xf>
    <xf numFmtId="0" fontId="9" fillId="17" borderId="1" applyAlignment="1" pivotButton="0" quotePrefix="0" xfId="0">
      <alignment horizontal="left" vertical="center"/>
    </xf>
    <xf numFmtId="0" fontId="0" fillId="17" borderId="0" pivotButton="0" quotePrefix="0" xfId="0"/>
    <xf numFmtId="0" fontId="33" fillId="15" borderId="0" applyAlignment="1" pivotButton="0" quotePrefix="0" xfId="0">
      <alignment horizontal="left" vertical="center"/>
    </xf>
    <xf numFmtId="9" fontId="31" fillId="16" borderId="0" applyAlignment="1" pivotButton="0" quotePrefix="0" xfId="0">
      <alignment horizontal="center" vertical="center"/>
    </xf>
    <xf numFmtId="0" fontId="34" fillId="15" borderId="0" applyAlignment="1" pivotButton="0" quotePrefix="0" xfId="0">
      <alignment horizontal="left" vertical="center"/>
    </xf>
    <xf numFmtId="0" fontId="30" fillId="18" borderId="0" applyAlignment="1" pivotButton="0" quotePrefix="0" xfId="0">
      <alignment horizontal="left" vertical="center"/>
    </xf>
    <xf numFmtId="0" fontId="0" fillId="18" borderId="0" pivotButton="0" quotePrefix="0" xfId="0"/>
    <xf numFmtId="0" fontId="34" fillId="18" borderId="0" applyAlignment="1" pivotButton="0" quotePrefix="0" xfId="0">
      <alignment horizontal="left" vertical="center"/>
    </xf>
    <xf numFmtId="165" fontId="8" fillId="5" borderId="1" applyAlignment="1" pivotButton="0" quotePrefix="0" xfId="0">
      <alignment horizontal="center" vertical="center"/>
    </xf>
    <xf numFmtId="0" fontId="9" fillId="4" borderId="1" applyAlignment="1" pivotButton="0" quotePrefix="0" xfId="0">
      <alignment horizontal="left" vertical="center"/>
    </xf>
    <xf numFmtId="9"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0" fontId="33" fillId="19" borderId="0" applyAlignment="1" pivotButton="0" quotePrefix="0" xfId="0">
      <alignment horizontal="left"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35" fillId="16" borderId="1" applyAlignment="1" pivotButton="0" quotePrefix="0" xfId="0">
      <alignment horizontal="left" vertical="center"/>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0" fontId="33" fillId="20" borderId="0" applyAlignment="1" pivotButton="0" quotePrefix="0" xfId="0">
      <alignment horizontal="left" vertical="center"/>
    </xf>
    <xf numFmtId="0" fontId="14" fillId="20" borderId="0" applyAlignment="1" pivotButton="0" quotePrefix="0" xfId="0">
      <alignment horizontal="general" vertical="bottom"/>
    </xf>
    <xf numFmtId="0" fontId="30" fillId="20" borderId="0" applyAlignment="1" pivotButton="0" quotePrefix="0" xfId="0">
      <alignment horizontal="left" vertical="center"/>
    </xf>
    <xf numFmtId="3" fontId="31" fillId="16" borderId="0" applyAlignment="1" pivotButton="0" quotePrefix="0" xfId="0">
      <alignment horizontal="center" vertical="center"/>
    </xf>
    <xf numFmtId="169" fontId="33" fillId="19" borderId="0" applyAlignment="1" pivotButton="0" quotePrefix="0" xfId="0">
      <alignment horizontal="left" vertical="center"/>
    </xf>
    <xf numFmtId="0" fontId="34" fillId="20" borderId="0" applyAlignment="1" pivotButton="0" quotePrefix="0" xfId="0">
      <alignment horizontal="left" vertical="center"/>
    </xf>
    <xf numFmtId="0" fontId="4" fillId="20" borderId="0" applyAlignment="1" pivotButton="0" quotePrefix="0" xfId="0">
      <alignment horizontal="general" vertical="bottom"/>
    </xf>
    <xf numFmtId="170" fontId="30" fillId="20" borderId="0" applyAlignment="1" pivotButton="0" quotePrefix="0" xfId="0">
      <alignment horizontal="left" vertical="center"/>
    </xf>
    <xf numFmtId="0" fontId="4" fillId="18" borderId="0" applyAlignment="1" pivotButton="0" quotePrefix="0" xfId="0">
      <alignment horizontal="general" vertical="bottom"/>
    </xf>
    <xf numFmtId="165" fontId="30" fillId="18" borderId="0" applyAlignment="1" pivotButton="0" quotePrefix="0" xfId="0">
      <alignment horizontal="left" vertical="center"/>
    </xf>
    <xf numFmtId="164" fontId="18" fillId="4" borderId="1" applyAlignment="1" pivotButton="0" quotePrefix="0" xfId="0">
      <alignment horizontal="center" vertical="center"/>
    </xf>
    <xf numFmtId="0" fontId="32" fillId="17" borderId="0" applyAlignment="1" pivotButton="0" quotePrefix="0" xfId="0">
      <alignment horizontal="left" vertical="center"/>
    </xf>
    <xf numFmtId="0" fontId="28" fillId="13" borderId="1" applyAlignment="1" pivotButton="0" quotePrefix="0" xfId="0">
      <alignment horizontal="lef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9" fillId="7" borderId="1" applyAlignment="1" pivotButton="0" quotePrefix="0" xfId="0">
      <alignment horizontal="general" vertical="bottom"/>
    </xf>
    <xf numFmtId="0" fontId="35" fillId="16" borderId="0" applyAlignment="1" pivotButton="0" quotePrefix="0" xfId="0">
      <alignment horizontal="left" vertical="center"/>
    </xf>
    <xf numFmtId="0" fontId="4" fillId="4" borderId="2" applyAlignment="1" pivotButton="0" quotePrefix="0" xfId="0">
      <alignment horizontal="general" vertical="bottom"/>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0" fontId="4" fillId="2" borderId="5" applyAlignment="1" pivotButton="0" quotePrefix="0" xfId="0">
      <alignment horizontal="general" vertical="bottom"/>
    </xf>
    <xf numFmtId="49" fontId="31" fillId="16" borderId="1" applyAlignment="1" pivotButton="0" quotePrefix="0" xfId="0">
      <alignment horizontal="center" vertical="center"/>
    </xf>
    <xf numFmtId="49" fontId="33" fillId="19" borderId="0" applyAlignment="1" pivotButton="0" quotePrefix="0" xfId="0">
      <alignment horizontal="center" vertical="center"/>
    </xf>
    <xf numFmtId="0" fontId="4" fillId="15" borderId="0" applyAlignment="1" pivotButton="0" quotePrefix="0" xfId="0">
      <alignment horizontal="general" vertical="bottom"/>
    </xf>
    <xf numFmtId="0" fontId="33" fillId="4" borderId="1" applyAlignment="1" pivotButton="0" quotePrefix="0" xfId="0">
      <alignment horizontal="left" vertical="center"/>
    </xf>
    <xf numFmtId="49" fontId="33" fillId="19" borderId="1" applyAlignment="1" pivotButton="0" quotePrefix="0" xfId="0">
      <alignment horizontal="center" vertical="center"/>
    </xf>
    <xf numFmtId="0" fontId="36" fillId="21" borderId="0" applyAlignment="1" pivotButton="0" quotePrefix="0" xfId="0">
      <alignment horizontal="general" vertical="bottom"/>
    </xf>
    <xf numFmtId="0" fontId="37" fillId="18" borderId="0" applyAlignment="1" pivotButton="0" quotePrefix="0" xfId="0">
      <alignment horizontal="center" vertical="center"/>
    </xf>
    <xf numFmtId="169" fontId="31" fillId="16" borderId="0" applyAlignment="1" pivotButton="0" quotePrefix="0" xfId="0">
      <alignment horizontal="center" vertical="center"/>
    </xf>
    <xf numFmtId="0" fontId="36" fillId="21" borderId="0" pivotButton="0" quotePrefix="0" xfId="0"/>
    <xf numFmtId="0" fontId="38" fillId="19" borderId="0" applyAlignment="1" pivotButton="0" quotePrefix="0" xfId="0">
      <alignment horizontal="center" vertical="center"/>
    </xf>
    <xf numFmtId="169" fontId="38" fillId="19" borderId="0" applyAlignment="1" pivotButton="0" quotePrefix="0" xfId="0">
      <alignment horizontal="center" vertical="center"/>
    </xf>
    <xf numFmtId="0" fontId="30" fillId="15" borderId="13" applyAlignment="1" pivotButton="0" quotePrefix="0" xfId="0">
      <alignment horizontal="left" vertical="center"/>
    </xf>
    <xf numFmtId="169" fontId="31" fillId="19" borderId="13" applyAlignment="1" pivotButton="0" quotePrefix="0" xfId="0">
      <alignment horizontal="center" vertical="center"/>
    </xf>
    <xf numFmtId="169" fontId="31" fillId="18" borderId="0" applyAlignment="1" pivotButton="0" quotePrefix="0" xfId="0">
      <alignment horizontal="center" vertical="center"/>
    </xf>
    <xf numFmtId="0" fontId="36" fillId="21" borderId="1" applyAlignment="1" pivotButton="0" quotePrefix="0" xfId="0">
      <alignment horizontal="left" vertical="center"/>
    </xf>
    <xf numFmtId="0" fontId="33" fillId="15" borderId="1" applyAlignment="1" pivotButton="0" quotePrefix="0" xfId="0">
      <alignment horizontal="left" vertical="center"/>
    </xf>
    <xf numFmtId="9" fontId="10" fillId="7" borderId="1" applyAlignment="1" pivotButton="0" quotePrefix="0" xfId="0">
      <alignment horizontal="right" vertical="center"/>
    </xf>
    <xf numFmtId="169" fontId="38" fillId="19" borderId="1" applyAlignment="1" pivotButton="0" quotePrefix="0" xfId="0">
      <alignment horizontal="center" vertical="center"/>
    </xf>
    <xf numFmtId="0" fontId="30" fillId="15" borderId="1" applyAlignment="1" pivotButton="0" quotePrefix="0" xfId="0">
      <alignment horizontal="left" vertical="center"/>
    </xf>
    <xf numFmtId="0" fontId="33" fillId="15" borderId="4" applyAlignment="1" pivotButton="0" quotePrefix="0" xfId="0">
      <alignment horizontal="left" vertical="center"/>
    </xf>
    <xf numFmtId="165" fontId="38" fillId="19" borderId="4" applyAlignment="1" pivotButton="0" quotePrefix="0" xfId="0">
      <alignment horizontal="center" vertical="center"/>
    </xf>
    <xf numFmtId="165" fontId="38" fillId="19" borderId="0" applyAlignment="1" pivotButton="0" quotePrefix="0" xfId="0">
      <alignment horizontal="center" vertical="center"/>
    </xf>
    <xf numFmtId="0" fontId="8" fillId="5" borderId="1" applyAlignment="1" applyProtection="1" pivotButton="0" quotePrefix="0" xfId="0">
      <alignment horizontal="center" vertical="center"/>
      <protection locked="0" hidden="0"/>
    </xf>
    <xf numFmtId="164" fontId="8" fillId="5" borderId="1" applyAlignment="1" applyProtection="1" pivotButton="0" quotePrefix="0" xfId="0">
      <alignment horizontal="center" vertical="center"/>
      <protection locked="0" hidden="0"/>
    </xf>
    <xf numFmtId="3" fontId="8" fillId="5" borderId="1" applyAlignment="1" applyProtection="1" pivotButton="0" quotePrefix="0" xfId="0">
      <alignment horizontal="center" vertical="center"/>
      <protection locked="0" hidden="0"/>
    </xf>
    <xf numFmtId="49" fontId="31" fillId="16" borderId="1" applyAlignment="1" applyProtection="1" pivotButton="0" quotePrefix="0" xfId="0">
      <alignment horizontal="center" vertical="center"/>
      <protection locked="0" hidden="0"/>
    </xf>
    <xf numFmtId="0" fontId="31" fillId="16" borderId="0" applyAlignment="1" applyProtection="1" pivotButton="0" quotePrefix="0" xfId="0">
      <alignment horizontal="center" vertical="center"/>
      <protection locked="0" hidden="0"/>
    </xf>
    <xf numFmtId="9" fontId="31" fillId="16" borderId="0" applyAlignment="1" applyProtection="1" pivotButton="0" quotePrefix="0" xfId="0">
      <alignment horizontal="center" vertical="center"/>
      <protection locked="0" hidden="0"/>
    </xf>
    <xf numFmtId="165"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5" fontId="8" fillId="5" borderId="1" applyAlignment="1" applyProtection="1" pivotButton="0" quotePrefix="0" xfId="0">
      <alignment horizontal="center" vertical="center"/>
      <protection locked="0" hidden="0"/>
    </xf>
    <xf numFmtId="0" fontId="20" fillId="9" borderId="1" applyAlignment="1" applyProtection="1" pivotButton="0" quotePrefix="0" xfId="0">
      <alignment horizontal="center" vertical="center"/>
      <protection locked="0" hidden="0"/>
    </xf>
    <xf numFmtId="167" fontId="8" fillId="5" borderId="1" applyAlignment="1" applyProtection="1" pivotButton="0" quotePrefix="0" xfId="0">
      <alignment horizontal="center" vertical="center"/>
      <protection locked="0" hidden="0"/>
    </xf>
    <xf numFmtId="0" fontId="10" fillId="7" borderId="1" applyAlignment="1" applyProtection="1" pivotButton="0" quotePrefix="0" xfId="0">
      <alignment horizontal="left" vertical="center"/>
      <protection locked="0" hidden="0"/>
    </xf>
    <xf numFmtId="0" fontId="35" fillId="16" borderId="1" applyAlignment="1" applyProtection="1" pivotButton="0" quotePrefix="0" xfId="0">
      <alignment horizontal="left" vertical="center"/>
      <protection locked="0" hidden="0"/>
    </xf>
    <xf numFmtId="0" fontId="23" fillId="10" borderId="1" applyAlignment="1" applyProtection="1" pivotButton="0" quotePrefix="0" xfId="0">
      <alignment horizontal="left" vertical="center" wrapText="1"/>
      <protection locked="0" hidden="0"/>
    </xf>
    <xf numFmtId="0" fontId="9" fillId="7" borderId="1" applyAlignment="1" applyProtection="1" pivotButton="0" quotePrefix="0" xfId="0">
      <alignment horizontal="left" vertical="center" wrapText="1"/>
      <protection locked="0" hidden="0"/>
    </xf>
    <xf numFmtId="0" fontId="37" fillId="18" borderId="0" applyAlignment="1" applyProtection="1" pivotButton="0" quotePrefix="0" xfId="0">
      <alignment horizontal="center" vertical="center"/>
      <protection locked="0" hidden="0"/>
    </xf>
    <xf numFmtId="0" fontId="38" fillId="19" borderId="0" applyAlignment="1" applyProtection="1" pivotButton="0" quotePrefix="0" xfId="0">
      <alignment horizontal="center" vertical="center"/>
      <protection locked="0" hidden="0"/>
    </xf>
    <xf numFmtId="169" fontId="31" fillId="16" borderId="0" applyAlignment="1" applyProtection="1" pivotButton="0" quotePrefix="0" xfId="0">
      <alignment horizontal="center" vertical="center"/>
      <protection locked="0" hidden="0"/>
    </xf>
    <xf numFmtId="0" fontId="0" fillId="0" borderId="0" applyProtection="1" pivotButton="0" quotePrefix="0" xfId="0">
      <protection locked="0" hidden="0"/>
    </xf>
    <xf numFmtId="169" fontId="38" fillId="19" borderId="0" applyAlignment="1" applyProtection="1" pivotButton="0" quotePrefix="0" xfId="0">
      <alignment horizontal="center" vertical="center"/>
      <protection locked="0" hidden="0"/>
    </xf>
    <xf numFmtId="0" fontId="10" fillId="7" borderId="1" applyAlignment="1" applyProtection="1" pivotButton="0" quotePrefix="0" xfId="0">
      <alignment horizontal="general" vertical="bottom"/>
      <protection locked="0" hidden="0"/>
    </xf>
    <xf numFmtId="0" fontId="29" fillId="7" borderId="1" applyAlignment="1" applyProtection="1" pivotButton="0" quotePrefix="0" xfId="0">
      <alignment horizontal="general" vertical="bottom"/>
      <protection locked="0" hidden="0"/>
    </xf>
    <xf numFmtId="0" fontId="9" fillId="7" borderId="1" applyAlignment="1" applyProtection="1" pivotButton="0" quotePrefix="0" xfId="0">
      <alignment horizontal="general" vertical="bottom"/>
      <protection locked="0" hidden="0"/>
    </xf>
    <xf numFmtId="0" fontId="35" fillId="16" borderId="0" applyAlignment="1" applyProtection="1" pivotButton="0" quotePrefix="0" xfId="0">
      <alignment horizontal="left" vertical="center"/>
      <protection locked="0" hidden="0"/>
    </xf>
    <xf numFmtId="0" fontId="0" fillId="0" borderId="10" applyProtection="1" pivotButton="0" quotePrefix="0" xfId="0">
      <protection locked="0" hidden="0"/>
    </xf>
    <xf numFmtId="0" fontId="4" fillId="22" borderId="1" applyAlignment="1" pivotButton="0" quotePrefix="0" xfId="0">
      <alignment horizontal="general" vertical="bottom"/>
    </xf>
    <xf numFmtId="0" fontId="0" fillId="22" borderId="9" pivotButton="0" quotePrefix="0" xfId="0"/>
    <xf numFmtId="0" fontId="0" fillId="22" borderId="10" pivotButton="0" quotePrefix="0" xfId="0"/>
    <xf numFmtId="0" fontId="4" fillId="22" borderId="0" applyAlignment="1" pivotButton="0" quotePrefix="0" xfId="0">
      <alignment horizontal="general" vertical="bottom"/>
    </xf>
    <xf numFmtId="0" fontId="39" fillId="23" borderId="1" applyAlignment="1" pivotButton="0" quotePrefix="0" xfId="0">
      <alignment horizontal="left" vertical="center"/>
    </xf>
    <xf numFmtId="0" fontId="39" fillId="23" borderId="9" pivotButton="0" quotePrefix="0" xfId="0"/>
    <xf numFmtId="0" fontId="39" fillId="23" borderId="10" pivotButton="0" quotePrefix="0" xfId="0"/>
    <xf numFmtId="0" fontId="39" fillId="23" borderId="0" applyAlignment="1" pivotButton="0" quotePrefix="0" xfId="0">
      <alignment horizontal="general" vertical="bottom"/>
    </xf>
    <xf numFmtId="0" fontId="4" fillId="23" borderId="0" applyAlignment="1" pivotButton="0" quotePrefix="0" xfId="0">
      <alignment horizontal="general" vertical="bottom"/>
    </xf>
    <xf numFmtId="0" fontId="40" fillId="22" borderId="1" applyAlignment="1" pivotButton="0" quotePrefix="0" xfId="0">
      <alignment horizontal="left" vertical="center"/>
    </xf>
    <xf numFmtId="0" fontId="40" fillId="22" borderId="9" pivotButton="0" quotePrefix="0" xfId="0"/>
    <xf numFmtId="0" fontId="40" fillId="22" borderId="10" pivotButton="0" quotePrefix="0" xfId="0"/>
    <xf numFmtId="0" fontId="40" fillId="22" borderId="0" applyAlignment="1" pivotButton="0" quotePrefix="0" xfId="0">
      <alignment horizontal="general" vertical="bottom"/>
    </xf>
    <xf numFmtId="0" fontId="41" fillId="4" borderId="1" applyAlignment="1" pivotButton="0" quotePrefix="0" xfId="0">
      <alignment horizontal="left" vertical="center"/>
    </xf>
    <xf numFmtId="0" fontId="43" fillId="24" borderId="15" applyAlignment="1" applyProtection="1" pivotButton="0" quotePrefix="0" xfId="0">
      <alignment horizontal="center" vertical="center"/>
      <protection locked="0" hidden="0"/>
    </xf>
    <xf numFmtId="0" fontId="43" fillId="24" borderId="15" applyProtection="1" pivotButton="0" quotePrefix="0" xfId="0">
      <protection locked="0" hidden="0"/>
    </xf>
    <xf numFmtId="0" fontId="43" fillId="4" borderId="1" applyAlignment="1" pivotButton="0" quotePrefix="0" xfId="0">
      <alignment horizontal="general" vertical="bottom"/>
    </xf>
    <xf numFmtId="0" fontId="43" fillId="23" borderId="0" applyAlignment="1" pivotButton="0" quotePrefix="0" xfId="0">
      <alignment horizontal="general" vertical="bottom"/>
    </xf>
    <xf numFmtId="164" fontId="43" fillId="24" borderId="15" applyAlignment="1" applyProtection="1" pivotButton="0" quotePrefix="0" xfId="0">
      <alignment horizontal="center" vertical="center"/>
      <protection locked="0" hidden="0"/>
    </xf>
    <xf numFmtId="3" fontId="43" fillId="24" borderId="15" applyAlignment="1" applyProtection="1" pivotButton="0" quotePrefix="0" xfId="0">
      <alignment horizontal="center" vertical="center"/>
      <protection locked="0" hidden="0"/>
    </xf>
    <xf numFmtId="49" fontId="43" fillId="24" borderId="15" applyAlignment="1" applyProtection="1" pivotButton="0" quotePrefix="0" xfId="0">
      <alignment horizontal="center" vertical="center"/>
      <protection locked="0" hidden="0"/>
    </xf>
    <xf numFmtId="0" fontId="41" fillId="15" borderId="0" applyAlignment="1" pivotButton="0" quotePrefix="0" xfId="0">
      <alignment horizontal="left" vertical="center"/>
    </xf>
    <xf numFmtId="0" fontId="43" fillId="15" borderId="0" pivotButton="0" quotePrefix="0" xfId="0"/>
    <xf numFmtId="0" fontId="43" fillId="23" borderId="0" pivotButton="0" quotePrefix="0" xfId="0"/>
    <xf numFmtId="0" fontId="40" fillId="22" borderId="0" pivotButton="0" quotePrefix="0" xfId="0"/>
    <xf numFmtId="0" fontId="43" fillId="5" borderId="1" applyAlignment="1" applyProtection="1" pivotButton="0" quotePrefix="0" xfId="0">
      <alignment horizontal="center" vertical="center"/>
      <protection locked="0" hidden="0"/>
    </xf>
    <xf numFmtId="10" fontId="43" fillId="6" borderId="1" applyAlignment="1" pivotButton="0" quotePrefix="0" xfId="0">
      <alignment horizontal="center" vertical="center"/>
    </xf>
    <xf numFmtId="0" fontId="41" fillId="24" borderId="14" applyAlignment="1" pivotButton="0" quotePrefix="0" xfId="0">
      <alignment horizontal="left" vertical="center"/>
    </xf>
    <xf numFmtId="0" fontId="41" fillId="24" borderId="14" applyAlignment="1" pivotButton="0" quotePrefix="0" xfId="0">
      <alignment horizontal="center" vertical="center"/>
    </xf>
    <xf numFmtId="9" fontId="41" fillId="24" borderId="14" applyAlignment="1" pivotButton="0" quotePrefix="0" xfId="0">
      <alignment horizontal="left" vertical="center"/>
    </xf>
    <xf numFmtId="0" fontId="41" fillId="24" borderId="14" pivotButton="0" quotePrefix="0" xfId="0"/>
    <xf numFmtId="0" fontId="41" fillId="24" borderId="14" applyAlignment="1" pivotButton="0" quotePrefix="0" xfId="0">
      <alignment horizontal="general" vertical="bottom"/>
    </xf>
    <xf numFmtId="0" fontId="33" fillId="23" borderId="15" applyAlignment="1" pivotButton="0" quotePrefix="0" xfId="0">
      <alignment horizontal="left" vertical="center"/>
    </xf>
    <xf numFmtId="9" fontId="31" fillId="23" borderId="15" applyAlignment="1" applyProtection="1" pivotButton="0" quotePrefix="0" xfId="0">
      <alignment horizontal="center" vertical="center"/>
      <protection locked="0" hidden="0"/>
    </xf>
    <xf numFmtId="0" fontId="34" fillId="23" borderId="15" applyAlignment="1" pivotButton="0" quotePrefix="0" xfId="0">
      <alignment horizontal="left" vertical="center"/>
    </xf>
    <xf numFmtId="0" fontId="0" fillId="23" borderId="0" pivotButton="0" quotePrefix="0" xfId="0"/>
    <xf numFmtId="0" fontId="33" fillId="24" borderId="15" applyAlignment="1" pivotButton="0" quotePrefix="0" xfId="0">
      <alignment horizontal="left" vertical="center"/>
    </xf>
    <xf numFmtId="9" fontId="31" fillId="24" borderId="15" applyAlignment="1" applyProtection="1" pivotButton="0" quotePrefix="0" xfId="0">
      <alignment horizontal="center" vertical="center"/>
      <protection locked="0" hidden="0"/>
    </xf>
    <xf numFmtId="0" fontId="34" fillId="24" borderId="15" applyAlignment="1" pivotButton="0" quotePrefix="0" xfId="0">
      <alignment horizontal="left" vertical="center"/>
    </xf>
    <xf numFmtId="0" fontId="42" fillId="18" borderId="0" applyAlignment="1" pivotButton="0" quotePrefix="0" xfId="0">
      <alignment horizontal="left" vertical="center"/>
    </xf>
    <xf numFmtId="0" fontId="41" fillId="24" borderId="15" applyAlignment="1" pivotButton="0" quotePrefix="0" xfId="0">
      <alignment horizontal="left" vertical="center"/>
    </xf>
    <xf numFmtId="165" fontId="43" fillId="24" borderId="15" applyAlignment="1" applyProtection="1" pivotButton="0" quotePrefix="0" xfId="0">
      <alignment horizontal="general" vertical="bottom"/>
      <protection locked="0" hidden="0"/>
    </xf>
    <xf numFmtId="165" fontId="43" fillId="24" borderId="15" applyAlignment="1" pivotButton="0" quotePrefix="0" xfId="0">
      <alignment horizontal="center" vertical="center"/>
    </xf>
    <xf numFmtId="0" fontId="43" fillId="24" borderId="15" applyAlignment="1" pivotButton="0" quotePrefix="0" xfId="0">
      <alignment horizontal="left" vertical="center"/>
    </xf>
    <xf numFmtId="0" fontId="43" fillId="23" borderId="9" pivotButton="0" quotePrefix="0" xfId="0"/>
    <xf numFmtId="0" fontId="43" fillId="23" borderId="10" pivotButton="0" quotePrefix="0" xfId="0"/>
    <xf numFmtId="0" fontId="43" fillId="24" borderId="15" applyAlignment="1" applyProtection="1" pivotButton="0" quotePrefix="0" xfId="0">
      <alignment horizontal="general" vertical="bottom"/>
      <protection locked="0" hidden="0"/>
    </xf>
    <xf numFmtId="9" fontId="43" fillId="24" borderId="15" applyAlignment="1" pivotButton="0" quotePrefix="0" xfId="0">
      <alignment horizontal="center" vertical="center"/>
    </xf>
    <xf numFmtId="165" fontId="43" fillId="24" borderId="15" applyAlignment="1" applyProtection="1" pivotButton="0" quotePrefix="0" xfId="0">
      <alignment horizontal="center" vertical="center"/>
      <protection locked="0" hidden="0"/>
    </xf>
    <xf numFmtId="0" fontId="43" fillId="24" borderId="15" applyAlignment="1" pivotButton="0" quotePrefix="0" xfId="0">
      <alignment horizontal="center" vertical="center"/>
    </xf>
    <xf numFmtId="0" fontId="42" fillId="7" borderId="1" applyAlignment="1" pivotButton="0" quotePrefix="0" xfId="0">
      <alignment horizontal="left" vertical="center" wrapText="1"/>
    </xf>
    <xf numFmtId="0" fontId="0" fillId="23" borderId="9" pivotButton="0" quotePrefix="0" xfId="0"/>
    <xf numFmtId="0" fontId="0" fillId="23" borderId="10" pivotButton="0" quotePrefix="0" xfId="0"/>
    <xf numFmtId="0" fontId="11" fillId="23" borderId="0" applyAlignment="1" pivotButton="0" quotePrefix="0" xfId="0">
      <alignment horizontal="general" vertical="bottom"/>
    </xf>
    <xf numFmtId="0" fontId="12" fillId="23" borderId="0" applyAlignment="1" pivotButton="0" quotePrefix="0" xfId="0">
      <alignment horizontal="general" vertical="bottom"/>
    </xf>
    <xf numFmtId="166" fontId="12" fillId="23" borderId="0" applyAlignment="1" pivotButton="0" quotePrefix="0" xfId="0">
      <alignment horizontal="general" vertical="bottom"/>
    </xf>
    <xf numFmtId="0" fontId="7" fillId="23" borderId="1" applyAlignment="1" pivotButton="0" quotePrefix="0" xfId="0">
      <alignment horizontal="left" vertical="center"/>
    </xf>
    <xf numFmtId="0" fontId="8" fillId="23" borderId="1" applyAlignment="1" applyProtection="1" pivotButton="0" quotePrefix="0" xfId="0">
      <alignment horizontal="center" vertical="center"/>
      <protection locked="0" hidden="0"/>
    </xf>
    <xf numFmtId="0" fontId="0" fillId="23" borderId="10" applyProtection="1" pivotButton="0" quotePrefix="0" xfId="0">
      <protection locked="0" hidden="0"/>
    </xf>
    <xf numFmtId="0" fontId="4" fillId="23" borderId="1" applyAlignment="1" pivotButton="0" quotePrefix="0" xfId="0">
      <alignment horizontal="general" vertical="bottom"/>
    </xf>
    <xf numFmtId="0" fontId="13" fillId="23" borderId="1" applyAlignment="1" pivotButton="0" quotePrefix="0" xfId="0">
      <alignment horizontal="left" vertical="center"/>
    </xf>
    <xf numFmtId="0" fontId="14" fillId="23" borderId="0" applyAlignment="1" pivotButton="0" quotePrefix="0" xfId="0">
      <alignment horizontal="general" vertical="bottom"/>
    </xf>
    <xf numFmtId="3" fontId="8" fillId="23" borderId="1" applyAlignment="1" applyProtection="1" pivotButton="0" quotePrefix="0" xfId="0">
      <alignment horizontal="center" vertical="center"/>
      <protection locked="0" hidden="0"/>
    </xf>
    <xf numFmtId="0" fontId="44" fillId="25" borderId="1" applyAlignment="1" pivotButton="0" quotePrefix="0" xfId="0">
      <alignment horizontal="center" vertical="center"/>
    </xf>
    <xf numFmtId="0" fontId="44" fillId="25" borderId="9" pivotButton="0" quotePrefix="0" xfId="0"/>
    <xf numFmtId="0" fontId="44" fillId="25" borderId="10" pivotButton="0" quotePrefix="0" xfId="0"/>
    <xf numFmtId="0" fontId="16" fillId="23" borderId="1" applyAlignment="1" pivotButton="0" quotePrefix="0" xfId="0">
      <alignment horizontal="left" vertical="center"/>
    </xf>
    <xf numFmtId="0" fontId="17" fillId="23" borderId="1" applyAlignment="1" pivotButton="0" quotePrefix="0" xfId="0">
      <alignment horizontal="right" vertical="center"/>
    </xf>
    <xf numFmtId="0" fontId="18" fillId="23" borderId="1" applyAlignment="1" pivotButton="0" quotePrefix="0" xfId="0">
      <alignment horizontal="center" vertical="center"/>
    </xf>
    <xf numFmtId="0" fontId="17" fillId="23" borderId="1" applyAlignment="1" pivotButton="0" quotePrefix="0" xfId="0">
      <alignment horizontal="left" vertical="center"/>
    </xf>
    <xf numFmtId="3" fontId="18" fillId="23" borderId="1" applyAlignment="1" pivotButton="0" quotePrefix="0" xfId="0">
      <alignment horizontal="center" vertical="center"/>
    </xf>
    <xf numFmtId="0" fontId="44" fillId="25" borderId="14" applyAlignment="1" pivotButton="0" quotePrefix="0" xfId="0">
      <alignment horizontal="left" vertical="center"/>
    </xf>
    <xf numFmtId="0" fontId="44" fillId="25" borderId="14" applyAlignment="1" pivotButton="0" quotePrefix="0" xfId="0">
      <alignment horizontal="center" vertical="center"/>
    </xf>
    <xf numFmtId="0" fontId="33" fillId="23" borderId="0" applyAlignment="1" pivotButton="0" quotePrefix="0" xfId="0">
      <alignment horizontal="left" vertical="center"/>
    </xf>
    <xf numFmtId="0" fontId="43" fillId="23" borderId="15" pivotButton="0" quotePrefix="0" xfId="0"/>
    <xf numFmtId="49" fontId="33" fillId="23" borderId="0" applyAlignment="1" pivotButton="0" quotePrefix="0" xfId="0">
      <alignment horizontal="center" vertical="center"/>
    </xf>
    <xf numFmtId="0" fontId="43" fillId="23" borderId="15" applyAlignment="1" pivotButton="0" quotePrefix="0" xfId="0">
      <alignment horizontal="left" vertical="center"/>
    </xf>
    <xf numFmtId="168" fontId="43" fillId="23" borderId="15" applyAlignment="1" pivotButton="0" quotePrefix="0" xfId="0">
      <alignment horizontal="right" vertical="center"/>
    </xf>
    <xf numFmtId="0" fontId="42" fillId="23" borderId="1" applyAlignment="1" pivotButton="0" quotePrefix="0" xfId="0">
      <alignment horizontal="left" vertical="center"/>
    </xf>
    <xf numFmtId="0" fontId="42" fillId="23" borderId="0" pivotButton="0" quotePrefix="0" xfId="0"/>
    <xf numFmtId="0" fontId="43" fillId="24" borderId="15" applyAlignment="1" pivotButton="0" quotePrefix="0" xfId="0">
      <alignment horizontal="general" vertical="bottom"/>
    </xf>
    <xf numFmtId="0" fontId="43" fillId="24" borderId="15" pivotButton="0" quotePrefix="0" xfId="0"/>
    <xf numFmtId="0" fontId="43" fillId="23" borderId="15" applyAlignment="1" pivotButton="0" quotePrefix="0" xfId="0">
      <alignment horizontal="general" vertical="bottom"/>
    </xf>
    <xf numFmtId="0" fontId="44" fillId="25" borderId="1" applyAlignment="1" pivotButton="0" quotePrefix="0" xfId="0">
      <alignment horizontal="left" vertical="center"/>
    </xf>
    <xf numFmtId="0" fontId="44" fillId="25" borderId="0" pivotButton="0" quotePrefix="0" xfId="0"/>
    <xf numFmtId="0" fontId="47" fillId="22" borderId="16" applyAlignment="1" pivotButton="0" quotePrefix="0" xfId="0">
      <alignment horizontal="left" vertical="center"/>
    </xf>
    <xf numFmtId="168" fontId="47" fillId="22" borderId="16" applyAlignment="1" pivotButton="0" quotePrefix="0" xfId="0">
      <alignment horizontal="right" vertical="center"/>
    </xf>
    <xf numFmtId="0" fontId="10" fillId="23" borderId="15" applyAlignment="1" pivotButton="0" quotePrefix="0" xfId="0">
      <alignment horizontal="left" vertical="center"/>
    </xf>
    <xf numFmtId="3" fontId="10" fillId="23" borderId="15" applyAlignment="1" pivotButton="0" quotePrefix="0" xfId="0">
      <alignment horizontal="center" vertical="center"/>
    </xf>
    <xf numFmtId="167" fontId="8" fillId="23" borderId="15" applyAlignment="1" applyProtection="1" pivotButton="0" quotePrefix="0" xfId="0">
      <alignment horizontal="center" vertical="center"/>
      <protection locked="0" hidden="0"/>
    </xf>
    <xf numFmtId="167" fontId="10" fillId="23" borderId="15" applyAlignment="1" pivotButton="0" quotePrefix="0" xfId="0">
      <alignment horizontal="right" vertical="center"/>
    </xf>
    <xf numFmtId="10" fontId="10" fillId="23" borderId="15" applyAlignment="1" pivotButton="0" quotePrefix="0" xfId="0">
      <alignment horizontal="center" vertical="center"/>
    </xf>
    <xf numFmtId="0" fontId="35" fillId="23" borderId="15" applyAlignment="1" pivotButton="0" quotePrefix="0" xfId="0">
      <alignment horizontal="left" vertical="center"/>
    </xf>
    <xf numFmtId="0" fontId="43" fillId="23" borderId="1" applyAlignment="1" pivotButton="0" quotePrefix="0" xfId="0">
      <alignment horizontal="left" vertical="center"/>
    </xf>
    <xf numFmtId="3" fontId="43" fillId="23" borderId="1" applyAlignment="1" pivotButton="0" quotePrefix="0" xfId="0">
      <alignment horizontal="right" vertical="center"/>
    </xf>
    <xf numFmtId="0" fontId="14" fillId="23" borderId="1" applyAlignment="1" pivotButton="0" quotePrefix="0" xfId="0">
      <alignment horizontal="general" vertical="bottom"/>
    </xf>
    <xf numFmtId="0" fontId="10" fillId="24" borderId="15" applyAlignment="1" pivotButton="0" quotePrefix="0" xfId="0">
      <alignment horizontal="left" vertical="center"/>
    </xf>
    <xf numFmtId="3" fontId="10" fillId="24" borderId="15" applyAlignment="1" pivotButton="0" quotePrefix="0" xfId="0">
      <alignment horizontal="center" vertical="center"/>
    </xf>
    <xf numFmtId="167" fontId="8" fillId="24" borderId="15" applyAlignment="1" applyProtection="1" pivotButton="0" quotePrefix="0" xfId="0">
      <alignment horizontal="center" vertical="center"/>
      <protection locked="0" hidden="0"/>
    </xf>
    <xf numFmtId="167" fontId="10" fillId="24" borderId="15" applyAlignment="1" pivotButton="0" quotePrefix="0" xfId="0">
      <alignment horizontal="right" vertical="center"/>
    </xf>
    <xf numFmtId="10" fontId="10" fillId="24" borderId="15" applyAlignment="1" pivotButton="0" quotePrefix="0" xfId="0">
      <alignment horizontal="center" vertical="center"/>
    </xf>
    <xf numFmtId="0" fontId="35" fillId="24" borderId="15" applyAlignment="1" pivotButton="0" quotePrefix="0" xfId="0">
      <alignment horizontal="left" vertical="center"/>
    </xf>
    <xf numFmtId="0" fontId="14" fillId="23" borderId="3" applyAlignment="1" pivotButton="0" quotePrefix="0" xfId="0">
      <alignment horizontal="general" vertical="bottom"/>
    </xf>
    <xf numFmtId="3" fontId="8" fillId="23" borderId="15" applyAlignment="1" pivotButton="0" quotePrefix="0" xfId="0">
      <alignment horizontal="center" vertical="center"/>
    </xf>
    <xf numFmtId="0" fontId="10" fillId="23" borderId="15" applyAlignment="1" applyProtection="1" pivotButton="0" quotePrefix="0" xfId="0">
      <alignment horizontal="left" vertical="center"/>
      <protection locked="0" hidden="0"/>
    </xf>
    <xf numFmtId="3" fontId="8" fillId="23" borderId="15" applyAlignment="1" applyProtection="1" pivotButton="0" quotePrefix="0" xfId="0">
      <alignment horizontal="center" vertical="center"/>
      <protection locked="0" hidden="0"/>
    </xf>
    <xf numFmtId="0" fontId="35" fillId="23" borderId="15" applyAlignment="1" applyProtection="1" pivotButton="0" quotePrefix="0" xfId="0">
      <alignment horizontal="left" vertical="center"/>
      <protection locked="0" hidden="0"/>
    </xf>
    <xf numFmtId="0" fontId="42" fillId="23" borderId="1" applyAlignment="1" applyProtection="1" pivotButton="0" quotePrefix="0" xfId="0">
      <alignment horizontal="left" vertical="center" wrapText="1"/>
      <protection locked="0" hidden="0"/>
    </xf>
    <xf numFmtId="0" fontId="10" fillId="24" borderId="15" applyAlignment="1" applyProtection="1" pivotButton="0" quotePrefix="0" xfId="0">
      <alignment horizontal="left" vertical="center"/>
      <protection locked="0" hidden="0"/>
    </xf>
    <xf numFmtId="3" fontId="8" fillId="24" borderId="15" applyAlignment="1" applyProtection="1" pivotButton="0" quotePrefix="0" xfId="0">
      <alignment horizontal="center" vertical="center"/>
      <protection locked="0" hidden="0"/>
    </xf>
    <xf numFmtId="0" fontId="35" fillId="24" borderId="15" applyAlignment="1" applyProtection="1" pivotButton="0" quotePrefix="0" xfId="0">
      <alignment horizontal="left" vertical="center"/>
      <protection locked="0" hidden="0"/>
    </xf>
    <xf numFmtId="0" fontId="9" fillId="23" borderId="1" applyAlignment="1" pivotButton="0" quotePrefix="0" xfId="0">
      <alignment horizontal="left" vertical="center" wrapText="1"/>
    </xf>
    <xf numFmtId="0" fontId="41" fillId="23" borderId="15" applyAlignment="1" pivotButton="0" quotePrefix="0" xfId="0">
      <alignment horizontal="left" vertical="center"/>
    </xf>
    <xf numFmtId="167" fontId="43" fillId="23" borderId="15" applyAlignment="1" pivotButton="0" quotePrefix="0" xfId="0">
      <alignment horizontal="right" vertical="center"/>
    </xf>
    <xf numFmtId="0" fontId="45" fillId="24" borderId="16" applyAlignment="1" pivotButton="0" quotePrefix="0" xfId="0">
      <alignment horizontal="left" vertical="center"/>
    </xf>
    <xf numFmtId="0" fontId="45" fillId="24" borderId="16" pivotButton="0" quotePrefix="0" xfId="0"/>
    <xf numFmtId="167" fontId="45" fillId="24" borderId="16" applyAlignment="1" pivotButton="0" quotePrefix="0" xfId="0">
      <alignment horizontal="right" vertical="center"/>
    </xf>
    <xf numFmtId="0" fontId="45" fillId="24" borderId="16" applyAlignment="1" pivotButton="0" quotePrefix="0" xfId="0">
      <alignment horizontal="general" vertical="bottom"/>
    </xf>
    <xf numFmtId="0" fontId="46" fillId="22" borderId="16" applyAlignment="1" pivotButton="0" quotePrefix="0" xfId="0">
      <alignment horizontal="left" vertical="center"/>
    </xf>
    <xf numFmtId="0" fontId="46" fillId="22" borderId="16" pivotButton="0" quotePrefix="0" xfId="0"/>
    <xf numFmtId="167" fontId="46" fillId="22" borderId="16" applyAlignment="1" pivotButton="0" quotePrefix="0" xfId="0">
      <alignment horizontal="right" vertical="center"/>
    </xf>
    <xf numFmtId="0" fontId="46" fillId="22" borderId="16" applyAlignment="1" pivotButton="0" quotePrefix="0" xfId="0">
      <alignment horizontal="general" vertical="bottom"/>
    </xf>
    <xf numFmtId="0" fontId="41" fillId="23" borderId="1" applyAlignment="1" pivotButton="0" quotePrefix="0" xfId="0">
      <alignment horizontal="left" vertical="center"/>
    </xf>
    <xf numFmtId="168" fontId="26" fillId="23" borderId="1" applyAlignment="1" pivotButton="0" quotePrefix="0" xfId="0">
      <alignment horizontal="center" vertical="center"/>
    </xf>
    <xf numFmtId="167" fontId="26" fillId="23" borderId="1" applyAlignment="1" pivotButton="0" quotePrefix="0" xfId="0">
      <alignment horizontal="center" vertical="center"/>
    </xf>
    <xf numFmtId="0" fontId="27" fillId="23" borderId="1" applyAlignment="1" pivotButton="0" quotePrefix="0" xfId="0">
      <alignment horizontal="left" vertical="center"/>
    </xf>
    <xf numFmtId="0" fontId="41" fillId="24" borderId="0" applyAlignment="1" pivotButton="0" quotePrefix="0" xfId="0">
      <alignment horizontal="center" vertical="center"/>
    </xf>
    <xf numFmtId="0" fontId="41" fillId="24" borderId="0" applyAlignment="1" applyProtection="1" pivotButton="0" quotePrefix="0" xfId="0">
      <alignment horizontal="center" vertical="center"/>
      <protection locked="0" hidden="0"/>
    </xf>
    <xf numFmtId="0" fontId="43" fillId="23" borderId="15" applyAlignment="1" applyProtection="1" pivotButton="0" quotePrefix="0" xfId="0">
      <alignment horizontal="center" vertical="center"/>
      <protection locked="0" hidden="0"/>
    </xf>
    <xf numFmtId="169" fontId="43" fillId="23" borderId="15" applyAlignment="1" applyProtection="1" pivotButton="0" quotePrefix="0" xfId="0">
      <alignment horizontal="center" vertical="center"/>
      <protection locked="0" hidden="0"/>
    </xf>
    <xf numFmtId="0" fontId="41" fillId="24" borderId="15" pivotButton="0" quotePrefix="0" xfId="0"/>
    <xf numFmtId="169" fontId="43" fillId="24" borderId="15" applyAlignment="1" applyProtection="1" pivotButton="0" quotePrefix="0" xfId="0">
      <alignment horizontal="center" vertical="center"/>
      <protection locked="0" hidden="0"/>
    </xf>
    <xf numFmtId="169" fontId="43" fillId="23" borderId="15" applyAlignment="1" pivotButton="0" quotePrefix="0" xfId="0">
      <alignment horizontal="center" vertical="center"/>
    </xf>
    <xf numFmtId="169" fontId="45" fillId="24" borderId="16" applyAlignment="1" pivotButton="0" quotePrefix="0" xfId="0">
      <alignment horizontal="center" vertical="center"/>
    </xf>
    <xf numFmtId="9" fontId="43" fillId="23" borderId="15" applyAlignment="1" pivotButton="0" quotePrefix="0" xfId="0">
      <alignment horizontal="right" vertical="center"/>
    </xf>
    <xf numFmtId="165" fontId="43" fillId="23" borderId="15" applyAlignment="1" pivotButton="0" quotePrefix="0" xfId="0">
      <alignment horizontal="right" vertical="center"/>
    </xf>
    <xf numFmtId="165" fontId="43" fillId="23" borderId="15" applyAlignment="1" pivotButton="0" quotePrefix="0" xfId="0">
      <alignment horizontal="center" vertical="center"/>
    </xf>
    <xf numFmtId="0" fontId="14" fillId="23" borderId="4" applyAlignment="1" pivotButton="0" quotePrefix="0" xfId="0">
      <alignment horizontal="general" vertical="bottom"/>
    </xf>
    <xf numFmtId="0" fontId="43" fillId="23" borderId="15" applyAlignment="1" pivotButton="0" quotePrefix="0" xfId="0">
      <alignment horizontal="center" vertical="center"/>
    </xf>
    <xf numFmtId="0" fontId="41" fillId="23" borderId="15" applyAlignment="1" pivotButton="0" quotePrefix="0" xfId="0">
      <alignment horizontal="general" vertical="bottom"/>
    </xf>
    <xf numFmtId="3" fontId="43" fillId="23" borderId="15" applyAlignment="1" pivotButton="0" quotePrefix="0" xfId="0">
      <alignment horizontal="center" vertical="center"/>
    </xf>
    <xf numFmtId="164" fontId="18" fillId="23" borderId="1" applyAlignment="1" pivotButton="0" quotePrefix="0" xfId="0">
      <alignment horizontal="center" vertical="center"/>
    </xf>
    <xf numFmtId="0" fontId="33" fillId="23" borderId="1" applyAlignment="1" pivotButton="0" quotePrefix="0" xfId="0">
      <alignment horizontal="left" vertical="center"/>
    </xf>
    <xf numFmtId="49" fontId="33" fillId="23" borderId="1" applyAlignment="1" pivotButton="0" quotePrefix="0" xfId="0">
      <alignment horizontal="center" vertical="center"/>
    </xf>
    <xf numFmtId="0" fontId="44" fillId="25" borderId="0" applyAlignment="1" pivotButton="0" quotePrefix="0" xfId="0">
      <alignment horizontal="general" vertical="bottom"/>
    </xf>
    <xf numFmtId="0" fontId="10" fillId="23" borderId="15" applyAlignment="1" applyProtection="1" pivotButton="0" quotePrefix="0" xfId="0">
      <alignment horizontal="general" vertical="bottom"/>
      <protection locked="0" hidden="0"/>
    </xf>
    <xf numFmtId="0" fontId="29" fillId="23" borderId="15" applyAlignment="1" applyProtection="1" pivotButton="0" quotePrefix="0" xfId="0">
      <alignment horizontal="general" vertical="bottom"/>
      <protection locked="0" hidden="0"/>
    </xf>
    <xf numFmtId="0" fontId="9" fillId="23" borderId="15" applyAlignment="1" applyProtection="1" pivotButton="0" quotePrefix="0" xfId="0">
      <alignment horizontal="general" vertical="bottom"/>
      <protection locked="0" hidden="0"/>
    </xf>
    <xf numFmtId="0" fontId="10" fillId="24" borderId="15" applyAlignment="1" applyProtection="1" pivotButton="0" quotePrefix="0" xfId="0">
      <alignment horizontal="general" vertical="bottom"/>
      <protection locked="0" hidden="0"/>
    </xf>
    <xf numFmtId="0" fontId="29" fillId="24" borderId="15" applyAlignment="1" applyProtection="1" pivotButton="0" quotePrefix="0" xfId="0">
      <alignment horizontal="general" vertical="bottom"/>
      <protection locked="0" hidden="0"/>
    </xf>
    <xf numFmtId="0" fontId="9" fillId="24" borderId="15" applyAlignment="1" applyProtection="1" pivotButton="0" quotePrefix="0" xfId="0">
      <alignment horizontal="general" vertical="bottom"/>
      <protection locked="0" hidden="0"/>
    </xf>
    <xf numFmtId="0" fontId="4" fillId="23" borderId="2" applyAlignment="1" pivotButton="0" quotePrefix="0" xfId="0">
      <alignment horizontal="general" vertical="bottom"/>
    </xf>
    <xf numFmtId="0" fontId="4" fillId="23" borderId="3" applyAlignment="1" pivotButton="0" quotePrefix="0" xfId="0">
      <alignment horizontal="general" vertical="bottom"/>
    </xf>
    <xf numFmtId="0" fontId="4" fillId="23" borderId="15" applyAlignment="1" pivotButton="0" quotePrefix="0" xfId="0">
      <alignment horizontal="general" vertical="bottom"/>
    </xf>
    <xf numFmtId="0" fontId="4" fillId="24" borderId="15" applyAlignment="1" pivotButton="0" quotePrefix="0" xfId="0">
      <alignment horizontal="general" vertical="bottom"/>
    </xf>
    <xf numFmtId="168" fontId="45" fillId="24" borderId="16" applyAlignment="1" pivotButton="0" quotePrefix="0" xfId="0">
      <alignment horizontal="right" vertical="center"/>
    </xf>
    <xf numFmtId="0" fontId="10" fillId="23" borderId="15" applyAlignment="1" pivotButton="0" quotePrefix="0" xfId="0">
      <alignment horizontal="general" vertical="bottom"/>
    </xf>
    <xf numFmtId="0" fontId="29" fillId="23" borderId="15" applyAlignment="1" pivotButton="0" quotePrefix="0" xfId="0">
      <alignment horizontal="general" vertical="bottom"/>
    </xf>
    <xf numFmtId="167" fontId="8" fillId="23" borderId="15" applyAlignment="1" pivotButton="0" quotePrefix="0" xfId="0">
      <alignment horizontal="center" vertical="center"/>
    </xf>
    <xf numFmtId="0" fontId="9" fillId="23" borderId="15" applyAlignment="1" pivotButton="0" quotePrefix="0" xfId="0">
      <alignment horizontal="general" vertical="bottom"/>
    </xf>
    <xf numFmtId="0" fontId="10" fillId="24" borderId="15" applyAlignment="1" pivotButton="0" quotePrefix="0" xfId="0">
      <alignment horizontal="general" vertical="bottom"/>
    </xf>
    <xf numFmtId="0" fontId="29" fillId="24" borderId="15" applyAlignment="1" pivotButton="0" quotePrefix="0" xfId="0">
      <alignment horizontal="general" vertical="bottom"/>
    </xf>
    <xf numFmtId="3" fontId="8" fillId="24" borderId="15" applyAlignment="1" pivotButton="0" quotePrefix="0" xfId="0">
      <alignment horizontal="center" vertical="center"/>
    </xf>
    <xf numFmtId="167" fontId="8" fillId="24" borderId="15" applyAlignment="1" pivotButton="0" quotePrefix="0" xfId="0">
      <alignment horizontal="center" vertical="center"/>
    </xf>
    <xf numFmtId="0" fontId="9" fillId="24" borderId="15" applyAlignment="1" pivotButton="0" quotePrefix="0" xfId="0">
      <alignment horizontal="general" vertical="bottom"/>
    </xf>
    <xf numFmtId="0" fontId="6" fillId="23" borderId="1" applyAlignment="1" pivotButton="0" quotePrefix="0" xfId="0">
      <alignment horizontal="left" vertical="center"/>
    </xf>
    <xf numFmtId="169" fontId="43" fillId="24" borderId="15" applyAlignment="1" pivotButton="0" quotePrefix="0" xfId="0">
      <alignment horizontal="center" vertical="center"/>
    </xf>
    <xf numFmtId="0" fontId="4" fillId="23" borderId="4" applyAlignment="1" pivotButton="0" quotePrefix="0" xfId="0">
      <alignment horizontal="general" vertical="bottom"/>
    </xf>
    <xf numFmtId="0" fontId="0" fillId="0" borderId="19" applyProtection="1" pivotButton="0" quotePrefix="0" xfId="0">
      <protection locked="0" hidden="0"/>
    </xf>
    <xf numFmtId="0" fontId="0" fillId="0" borderId="20" pivotButton="0" quotePrefix="0" xfId="0"/>
    <xf numFmtId="0" fontId="0" fillId="0" borderId="19" pivotButton="0" quotePrefix="0" xfId="0"/>
    <xf numFmtId="9" fontId="43" fillId="24" borderId="15" applyAlignment="1" applyProtection="1" pivotButton="0" quotePrefix="0" xfId="0">
      <alignment horizontal="general" vertical="bottom"/>
      <protection locked="0" hidden="0"/>
    </xf>
    <xf numFmtId="9" fontId="43" fillId="24" borderId="15" applyAlignment="1" applyProtection="1" pivotButton="0" quotePrefix="0" xfId="0">
      <alignment horizontal="center" vertical="center"/>
      <protection locked="0" hidden="0"/>
    </xf>
    <xf numFmtId="0" fontId="48" fillId="25" borderId="15" applyAlignment="1" pivotButton="0" quotePrefix="0" xfId="0">
      <alignment horizontal="center"/>
    </xf>
    <xf numFmtId="0" fontId="49" fillId="22" borderId="16" applyAlignment="1" pivotButton="0" quotePrefix="0" xfId="0">
      <alignment horizontal="left" vertical="center"/>
    </xf>
    <xf numFmtId="168" fontId="49" fillId="22" borderId="16" applyAlignment="1" pivotButton="0" quotePrefix="0" xfId="0">
      <alignment horizontal="right" vertical="center"/>
    </xf>
    <xf numFmtId="0" fontId="48" fillId="25" borderId="1" applyAlignment="1" pivotButton="0" quotePrefix="0" xfId="0">
      <alignment horizontal="left" vertical="center"/>
    </xf>
    <xf numFmtId="0" fontId="48" fillId="25" borderId="1" applyAlignment="1" pivotButton="0" quotePrefix="0" xfId="0">
      <alignment horizontal="center" vertical="center"/>
    </xf>
    <xf numFmtId="0" fontId="50" fillId="24" borderId="16" applyAlignment="1" pivotButton="0" quotePrefix="0" xfId="0">
      <alignment horizontal="left" vertical="center"/>
    </xf>
    <xf numFmtId="168" fontId="50" fillId="24" borderId="16" applyAlignment="1" pivotButton="0" quotePrefix="0" xfId="0">
      <alignment horizontal="right" vertical="center"/>
    </xf>
    <xf numFmtId="0" fontId="51" fillId="2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00FFE0E0"/>
          <bgColor rgb="00FFE0E0"/>
        </patternFill>
      </fill>
    </dxf>
    <dxf>
      <fill>
        <patternFill patternType="solid">
          <fgColor rgb="00FFFFF0"/>
          <bgColor rgb="00FFFFF0"/>
        </patternFill>
      </fill>
    </dxf>
    <dxf>
      <fill>
        <patternFill patternType="solid">
          <fgColor rgb="00FFE8CC"/>
          <bgColor rgb="00FFE8CC"/>
        </patternFill>
      </fill>
    </dxf>
    <dxf>
      <fill>
        <patternFill patternType="solid">
          <fgColor rgb="00D5F5D5"/>
        </patternFill>
      </fill>
    </dxf>
    <dxf>
      <fill>
        <patternFill patternType="solid">
          <fgColor rgb="00FFF8DC"/>
        </patternFill>
      </fill>
    </dxf>
    <dxf>
      <fill>
        <patternFill patternType="solid">
          <fgColor rgb="00FFE8CC"/>
        </patternFill>
      </fill>
    </dxf>
    <dxf>
      <fill>
        <patternFill patternType="solid">
          <fgColor rgb="00FFD5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2.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3.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comments/comment4.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_rels/drawing5.xml.rels><Relationships xmlns="http://schemas.openxmlformats.org/package/2006/relationships"><Relationship Type="http://schemas.openxmlformats.org/officeDocument/2006/relationships/image" Target="/xl/media/image5.jpeg" Id="rId1" /></Relationships>
</file>

<file path=xl/drawings/_rels/drawing6.xml.rels><Relationships xmlns="http://schemas.openxmlformats.org/package/2006/relationships"><Relationship Type="http://schemas.openxmlformats.org/officeDocument/2006/relationships/image" Target="/xl/media/image6.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5.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6.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filterMode="0">
    <outlinePr summaryBelow="1" summaryRight="1"/>
    <pageSetUpPr fitToPage="1"/>
  </sheetPr>
  <dimension ref="A1:Z101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92" t="n"/>
      <c r="C2" s="92" t="n"/>
      <c r="D2" s="92" t="n"/>
      <c r="E2" s="92" t="n"/>
      <c r="F2" s="92" t="n"/>
      <c r="G2" s="93"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92" t="n"/>
      <c r="C4" s="92" t="n"/>
      <c r="D4" s="92" t="n"/>
      <c r="E4" s="92" t="n"/>
      <c r="F4" s="92" t="n"/>
      <c r="G4" s="93"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inlineStr">
        <is>
          <t>TEST CLIENT</t>
        </is>
      </c>
      <c r="C5" s="413"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inlineStr">
        <is>
          <t>2026-06-15</t>
        </is>
      </c>
      <c r="C6" s="413"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v>100</v>
      </c>
      <c r="C7" s="413"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inlineStr">
        <is>
          <t>Plated</t>
        </is>
      </c>
      <c r="C8" s="413"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inlineStr">
        <is>
          <t>Full Bar</t>
        </is>
      </c>
      <c r="C9" s="413"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inlineStr">
        <is>
          <t>6-10</t>
        </is>
      </c>
      <c r="C10" s="413"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inlineStr">
        <is>
          <t>Acme Corp</t>
        </is>
      </c>
      <c r="C11" s="413" t="n"/>
      <c r="D11" s="267" t="n"/>
      <c r="E11" s="267" t="n"/>
      <c r="F11" s="267" t="n"/>
      <c r="G11" s="267" t="n"/>
      <c r="H11" s="268" t="n"/>
    </row>
    <row r="12" ht="20" customHeight="1" s="90">
      <c r="A12" s="266" t="inlineStr">
        <is>
          <t>Program Name:</t>
        </is>
      </c>
      <c r="B12" s="259" t="inlineStr">
        <is>
          <t>Summer Gala 2026</t>
        </is>
      </c>
      <c r="C12" s="413" t="n"/>
      <c r="D12" s="267" t="n"/>
      <c r="E12" s="267" t="n"/>
      <c r="F12" s="267" t="n"/>
      <c r="G12" s="267" t="n"/>
      <c r="H12" s="268" t="n"/>
    </row>
    <row r="13" ht="20" customHeight="1" s="90">
      <c r="A13" s="266" t="inlineStr">
        <is>
          <t>Client Hotel:</t>
        </is>
      </c>
      <c r="B13" s="259" t="inlineStr">
        <is>
          <t>The Watergate Hotel</t>
        </is>
      </c>
      <c r="C13" s="413"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inlineStr">
        <is>
          <t>DC</t>
        </is>
      </c>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0.54</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87" t="n">
        <v>0.035</v>
      </c>
      <c r="D35" s="288" t="inlineStr">
        <is>
          <t>Applied to subtotal</t>
        </is>
      </c>
      <c r="E35" s="414" t="n"/>
      <c r="F35" s="414" t="n"/>
      <c r="G35" s="415"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Third-Party Commission:</t>
        </is>
      </c>
      <c r="B36" s="291" t="inlineStr">
        <is>
          <t>5%</t>
        </is>
      </c>
      <c r="C36" s="292" t="n">
        <v>0.05</v>
      </c>
      <c r="D36" s="288" t="inlineStr">
        <is>
          <t>Select commission rate</t>
        </is>
      </c>
      <c r="E36" s="414" t="n"/>
      <c r="F36" s="414" t="n"/>
      <c r="G36" s="415"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t>
        </is>
      </c>
      <c r="B37" s="291" t="inlineStr">
        <is>
          <t>Yes</t>
        </is>
      </c>
      <c r="C37" s="293" t="n">
        <v>0.065</v>
      </c>
      <c r="D37" s="288" t="inlineStr">
        <is>
          <t>Toggle Yes/No; rate in C37</t>
        </is>
      </c>
      <c r="E37" s="414" t="n"/>
      <c r="F37" s="414" t="n"/>
      <c r="G37" s="415"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92" t="n"/>
      <c r="C39" s="92" t="n"/>
      <c r="D39" s="92" t="n"/>
      <c r="E39" s="92" t="n"/>
      <c r="F39" s="92" t="n"/>
      <c r="G39" s="93"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416" t="n">
        <v>0.2</v>
      </c>
      <c r="C40" s="292" t="n">
        <v>0.2</v>
      </c>
      <c r="D40" s="288" t="inlineStr">
        <is>
          <t>20%, 21.5%, or None</t>
        </is>
      </c>
      <c r="E40" s="414" t="n"/>
      <c r="F40" s="414" t="n"/>
      <c r="G40" s="415"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416" t="n">
        <v>0.2</v>
      </c>
      <c r="C41" s="292" t="n">
        <v>0.2</v>
      </c>
      <c r="D41" s="288" t="inlineStr">
        <is>
          <t>20% or None</t>
        </is>
      </c>
      <c r="E41" s="414" t="n"/>
      <c r="F41" s="414" t="n"/>
      <c r="G41" s="415"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416" t="n">
        <v>0.05</v>
      </c>
      <c r="C42" s="292" t="n">
        <v>0.05</v>
      </c>
      <c r="D42" s="288" t="inlineStr">
        <is>
          <t>5% or None</t>
        </is>
      </c>
      <c r="E42" s="414" t="n"/>
      <c r="F42" s="414" t="n"/>
      <c r="G42" s="415"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92" t="n"/>
      <c r="C44" s="92" t="n"/>
      <c r="D44" s="92" t="n"/>
      <c r="E44" s="92" t="n"/>
      <c r="F44" s="92" t="n"/>
      <c r="G44" s="93"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92" t="n"/>
      <c r="C45" s="92" t="n"/>
      <c r="D45" s="92" t="n"/>
      <c r="E45" s="92" t="n"/>
      <c r="F45" s="92" t="n"/>
      <c r="G45" s="93"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92" t="n"/>
      <c r="C46" s="92" t="n"/>
      <c r="D46" s="92" t="n"/>
      <c r="E46" s="92" t="n"/>
      <c r="F46" s="92" t="n"/>
      <c r="G46" s="93"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92" t="n"/>
      <c r="C47" s="92" t="n"/>
      <c r="D47" s="92" t="n"/>
      <c r="E47" s="92" t="n"/>
      <c r="F47" s="92" t="n"/>
      <c r="G47" s="93"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92" t="n"/>
      <c r="C48" s="92" t="n"/>
      <c r="D48" s="92" t="n"/>
      <c r="E48" s="92" t="n"/>
      <c r="F48" s="92" t="n"/>
      <c r="G48" s="93"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92" t="n"/>
      <c r="C49" s="92" t="n"/>
      <c r="D49" s="92" t="n"/>
      <c r="E49" s="92" t="n"/>
      <c r="F49" s="92" t="n"/>
      <c r="G49" s="93"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92" t="n"/>
      <c r="C50" s="92" t="n"/>
      <c r="D50" s="92" t="n"/>
      <c r="E50" s="92" t="n"/>
      <c r="F50" s="92" t="n"/>
      <c r="G50" s="93"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errorStyle="stop" operator="between">
      <formula1>"20%,None"</formula1>
      <formula2>0</formula2>
    </dataValidation>
    <dataValidation sqref="C27" showDropDown="0" showInputMessage="0" showErrorMessage="0" allowBlank="1" type="list" errorStyle="stop" operator="between">
      <formula1>"5%,None"</formula1>
      <formula2>0</formula2>
    </dataValidation>
    <dataValidation sqref="C21" showDropDown="0" showInputMessage="0" showErrorMessage="0" allowBlank="1" type="list" errorStyle="stop" operator="between">
      <formula1>"0.00,0.05,0.07,0.08,0.10,0.12,0.15"</formula1>
      <formula2>0</formula2>
    </dataValidation>
    <dataValidation sqref="C25"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"Plated,Buffet,Family Style,Stations,Passed,Reception"</formula1>
      <formula2>0</formula2>
    </dataValidation>
    <dataValidation sqref="B9" showDropDown="0" showInputMessage="0" showErrorMessage="0" allowBlank="1" type="list" errorStyle="stop" operator="between">
      <formula1>"Beer and Wine,2 Glasses of Wine PP,Full Bar,On Consumption"</formula1>
      <formula2>0</formula2>
    </dataValidation>
    <dataValidation sqref="C22" showDropDown="0" showInputMessage="0" showErrorMessage="0" allowBlank="1" type="list" errorStyle="stop" operator="between">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Z1015"/>
  <sheetViews>
    <sheetView workbookViewId="0">
      <selection activeCell="A1"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92" t="n"/>
      <c r="C2" s="92" t="n"/>
      <c r="D2" s="92" t="n"/>
      <c r="E2" s="92" t="n"/>
      <c r="F2" s="92" t="n"/>
      <c r="G2" s="93"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92" t="n"/>
      <c r="C4" s="92" t="n"/>
      <c r="D4" s="92" t="n"/>
      <c r="E4" s="92" t="n"/>
      <c r="F4" s="92" t="n"/>
      <c r="G4" s="93"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n"/>
      <c r="C5" s="413"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n"/>
      <c r="C6" s="413"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c r="C7" s="413"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n"/>
      <c r="C8" s="413"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n"/>
      <c r="C9" s="413"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n"/>
      <c r="C10" s="413"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n"/>
      <c r="C11" s="413" t="n"/>
      <c r="D11" s="267" t="n"/>
      <c r="E11" s="267" t="n"/>
      <c r="F11" s="267" t="n"/>
      <c r="G11" s="267" t="n"/>
      <c r="H11" s="268" t="n"/>
    </row>
    <row r="12" ht="20" customHeight="1" s="90">
      <c r="A12" s="266" t="inlineStr">
        <is>
          <t>Program Name:</t>
        </is>
      </c>
      <c r="B12" s="259" t="n"/>
      <c r="C12" s="413" t="n"/>
      <c r="D12" s="267" t="n"/>
      <c r="E12" s="267" t="n"/>
      <c r="F12" s="267" t="n"/>
      <c r="G12" s="267" t="n"/>
      <c r="H12" s="268" t="n"/>
    </row>
    <row r="13" ht="20" customHeight="1" s="90">
      <c r="A13" s="266" t="inlineStr">
        <is>
          <t>Client Hotel:</t>
        </is>
      </c>
      <c r="B13" s="259" t="n"/>
      <c r="C13" s="413"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n"/>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0.54</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87" t="n">
        <v>0.035</v>
      </c>
      <c r="D35" s="288" t="inlineStr">
        <is>
          <t>Applied to subtotal</t>
        </is>
      </c>
      <c r="E35" s="414" t="n"/>
      <c r="F35" s="414" t="n"/>
      <c r="G35" s="415"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Third-Party Commission:</t>
        </is>
      </c>
      <c r="B36" s="416" t="n">
        <v>0</v>
      </c>
      <c r="C36" s="292" t="n">
        <v>0.05</v>
      </c>
      <c r="D36" s="288" t="inlineStr">
        <is>
          <t>Select commission rate</t>
        </is>
      </c>
      <c r="E36" s="414" t="n"/>
      <c r="F36" s="414" t="n"/>
      <c r="G36" s="415"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t>
        </is>
      </c>
      <c r="B37" s="291" t="inlineStr">
        <is>
          <t>Yes</t>
        </is>
      </c>
      <c r="C37" s="293" t="n">
        <v>0.065</v>
      </c>
      <c r="D37" s="288" t="inlineStr">
        <is>
          <t>Toggle Yes/No; rate in C37</t>
        </is>
      </c>
      <c r="E37" s="414" t="n"/>
      <c r="F37" s="414" t="n"/>
      <c r="G37" s="415"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92" t="n"/>
      <c r="C39" s="92" t="n"/>
      <c r="D39" s="92" t="n"/>
      <c r="E39" s="92" t="n"/>
      <c r="F39" s="92" t="n"/>
      <c r="G39" s="93"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416" t="n">
        <v>0.2</v>
      </c>
      <c r="C40" s="292" t="n">
        <v>0.2</v>
      </c>
      <c r="D40" s="288" t="inlineStr">
        <is>
          <t>20%, 21.5%, or None</t>
        </is>
      </c>
      <c r="E40" s="414" t="n"/>
      <c r="F40" s="414" t="n"/>
      <c r="G40" s="415"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416" t="n">
        <v>0.2</v>
      </c>
      <c r="C41" s="292" t="n">
        <v>0.2</v>
      </c>
      <c r="D41" s="288" t="inlineStr">
        <is>
          <t>20% or None</t>
        </is>
      </c>
      <c r="E41" s="414" t="n"/>
      <c r="F41" s="414" t="n"/>
      <c r="G41" s="415"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416" t="n">
        <v>0.05</v>
      </c>
      <c r="C42" s="292" t="n">
        <v>0.05</v>
      </c>
      <c r="D42" s="288" t="inlineStr">
        <is>
          <t>5% or None</t>
        </is>
      </c>
      <c r="E42" s="414" t="n"/>
      <c r="F42" s="414" t="n"/>
      <c r="G42" s="415"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92" t="n"/>
      <c r="C44" s="92" t="n"/>
      <c r="D44" s="92" t="n"/>
      <c r="E44" s="92" t="n"/>
      <c r="F44" s="92" t="n"/>
      <c r="G44" s="93"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92" t="n"/>
      <c r="C45" s="92" t="n"/>
      <c r="D45" s="92" t="n"/>
      <c r="E45" s="92" t="n"/>
      <c r="F45" s="92" t="n"/>
      <c r="G45" s="93"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92" t="n"/>
      <c r="C46" s="92" t="n"/>
      <c r="D46" s="92" t="n"/>
      <c r="E46" s="92" t="n"/>
      <c r="F46" s="92" t="n"/>
      <c r="G46" s="93"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92" t="n"/>
      <c r="C47" s="92" t="n"/>
      <c r="D47" s="92" t="n"/>
      <c r="E47" s="92" t="n"/>
      <c r="F47" s="92" t="n"/>
      <c r="G47" s="93"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92" t="n"/>
      <c r="C48" s="92" t="n"/>
      <c r="D48" s="92" t="n"/>
      <c r="E48" s="92" t="n"/>
      <c r="F48" s="92" t="n"/>
      <c r="G48" s="93"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92" t="n"/>
      <c r="C49" s="92" t="n"/>
      <c r="D49" s="92" t="n"/>
      <c r="E49" s="92" t="n"/>
      <c r="F49" s="92" t="n"/>
      <c r="G49" s="93"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92" t="n"/>
      <c r="C50" s="92" t="n"/>
      <c r="D50" s="92" t="n"/>
      <c r="E50" s="92" t="n"/>
      <c r="F50" s="92" t="n"/>
      <c r="G50" s="93"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formula1>"20%,None"</formula1>
      <formula2>0</formula2>
    </dataValidation>
    <dataValidation sqref="C27" showDropDown="0" showInputMessage="0" showErrorMessage="0" allowBlank="1" type="list">
      <formula1>"5%,None"</formula1>
      <formula2>0</formula2>
    </dataValidation>
    <dataValidation sqref="C21" showDropDown="0" showInputMessage="0" showErrorMessage="0" allowBlank="1" type="list">
      <formula1>"0.00,0.05,0.07,0.08,0.10,0.12,0.15"</formula1>
      <formula2>0</formula2>
    </dataValidation>
    <dataValidation sqref="C25" showDropDown="0" showInputMessage="0" showErrorMessage="0" allowBlank="1" type="list">
      <formula1>"20%,21.5%,None"</formula1>
      <formula2>0</formula2>
    </dataValidation>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C22" showDropDown="0" showInputMessage="0" showErrorMessage="0" allowBlank="1" type="list">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92" t="n"/>
      <c r="C2" s="92" t="n"/>
      <c r="D2" s="92" t="n"/>
      <c r="E2" s="92" t="n"/>
      <c r="F2" s="92" t="n"/>
      <c r="G2" s="93"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92" t="n"/>
      <c r="C4" s="92" t="n"/>
      <c r="D4" s="92" t="n"/>
      <c r="E4" s="92" t="n"/>
      <c r="F4" s="92" t="n"/>
      <c r="G4" s="93" t="n"/>
      <c r="H4" s="257" t="n"/>
      <c r="I4" s="254"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inlineStr">
        <is>
          <t>TEST RESTAURANT</t>
        </is>
      </c>
      <c r="C5" s="244" t="n"/>
      <c r="D5" s="304" t="n"/>
      <c r="E5" s="304" t="n"/>
      <c r="F5" s="304" t="n"/>
      <c r="G5" s="304" t="n"/>
      <c r="H5" s="253" t="n"/>
      <c r="I5" s="305"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inlineStr">
        <is>
          <t>Main Dining Room</t>
        </is>
      </c>
      <c r="C6" s="244"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v>15000</v>
      </c>
      <c r="C7" s="244" t="n"/>
      <c r="D7" s="304" t="n"/>
      <c r="E7" s="304" t="n"/>
      <c r="F7" s="304" t="n"/>
      <c r="G7" s="304" t="n"/>
      <c r="H7" s="253" t="n"/>
      <c r="I7" s="308"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inlineStr">
        <is>
          <t>Yes</t>
        </is>
      </c>
      <c r="C8" s="244" t="n"/>
      <c r="D8" s="304" t="n"/>
      <c r="E8" s="304" t="n"/>
      <c r="F8" s="304" t="n"/>
      <c r="G8" s="304" t="n"/>
      <c r="H8" s="253" t="n"/>
      <c r="I8" s="311">
        <f>'Client Setup - Sample'!B5</f>
        <v/>
      </c>
      <c r="J8" s="93"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Sample'!B5</f>
        <v/>
      </c>
      <c r="C9" s="93" t="n"/>
      <c r="D9" s="304" t="n"/>
      <c r="E9" s="304" t="n"/>
      <c r="F9" s="304" t="n"/>
      <c r="G9" s="304" t="n"/>
      <c r="H9" s="253" t="n"/>
      <c r="I9" s="314">
        <f>TEXT('Client Setup - Sample'!B6,"MMMM D, YYYY")</f>
        <v/>
      </c>
      <c r="J9" s="93" t="n"/>
      <c r="K9" s="312">
        <f>'Client Setup - Sample'!B7&amp;"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Sample'!B7</f>
        <v/>
      </c>
      <c r="C10" s="93"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Sample'!B16</f>
        <v/>
      </c>
      <c r="C11" s="93"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Sample'!B11</f>
        <v/>
      </c>
      <c r="C12" s="280" t="n"/>
      <c r="D12" s="280" t="n"/>
      <c r="E12" s="280" t="n"/>
      <c r="F12" s="280" t="n"/>
      <c r="G12" s="280" t="n"/>
      <c r="H12" s="280" t="n"/>
      <c r="I12" s="319" t="n"/>
      <c r="J12" s="319" t="n"/>
      <c r="K12" s="319" t="n"/>
    </row>
    <row r="13" ht="25.5" customHeight="1" s="90">
      <c r="A13" s="318" t="inlineStr">
        <is>
          <t>Program:</t>
        </is>
      </c>
      <c r="B13" s="318">
        <f>'Client Setup - Sample'!B12</f>
        <v/>
      </c>
      <c r="C13" s="280" t="n"/>
      <c r="D13" s="280" t="n"/>
      <c r="E13" s="280" t="n"/>
      <c r="F13" s="280" t="n"/>
      <c r="G13" s="280" t="n"/>
      <c r="H13" s="280" t="n"/>
      <c r="I13" s="319" t="n"/>
      <c r="J13" s="319" t="n"/>
      <c r="K13" s="319" t="n"/>
    </row>
    <row r="14" ht="25.5" customHeight="1" s="90">
      <c r="A14" s="318" t="inlineStr">
        <is>
          <t>Client Hotel:</t>
        </is>
      </c>
      <c r="B14" s="318">
        <f>'Client Setup - Sample'!B13</f>
        <v/>
      </c>
      <c r="C14" s="280" t="n"/>
      <c r="D14" s="280" t="n"/>
      <c r="E14" s="280" t="n"/>
      <c r="F14" s="280" t="n"/>
      <c r="G14" s="280" t="n"/>
      <c r="H14" s="280" t="n"/>
      <c r="I14" s="418" t="inlineStr">
        <is>
          <t>CATEGORY</t>
        </is>
      </c>
      <c r="J14" s="418" t="inlineStr">
        <is>
          <t>AMOUNT</t>
        </is>
      </c>
      <c r="K14" s="418" t="inlineStr">
        <is>
          <t>PER PERSON</t>
        </is>
      </c>
    </row>
    <row r="15" ht="25.5" customHeight="1" s="90">
      <c r="A15" s="318" t="inlineStr">
        <is>
          <t>Event Time:</t>
        </is>
      </c>
      <c r="B15" s="320">
        <f>'Client Setup - Sample'!B10</f>
        <v/>
      </c>
      <c r="C15" s="253" t="n"/>
      <c r="D15" s="253" t="n"/>
      <c r="E15" s="253" t="n"/>
      <c r="F15" s="253" t="n"/>
      <c r="G15" s="253" t="n"/>
      <c r="H15" s="253" t="n"/>
      <c r="I15" s="321" t="inlineStr">
        <is>
          <t>Menu</t>
        </is>
      </c>
      <c r="J15" s="322">
        <f>ROUNDUP((E24+E26)/50,0)*50</f>
        <v/>
      </c>
      <c r="K15" s="322">
        <f>IF('Client Setup - Sample'!B7&gt;0,CEILING(J15/'Client Setup - Sample'!B7,1),0)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Sample'!B7&gt;0,CEILING(J16/'Client Setup - Sample'!B7,1),0)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417">
        <f>'Client Setup - Sample'!C40</f>
        <v/>
      </c>
      <c r="D17" s="325" t="inlineStr">
        <is>
          <t>20%, 21.5%, or None</t>
        </is>
      </c>
      <c r="E17" s="326" t="n"/>
      <c r="F17" s="326" t="n"/>
      <c r="G17" s="326" t="n"/>
      <c r="H17" s="253" t="n"/>
      <c r="I17" s="321" t="inlineStr">
        <is>
          <t>Staffing</t>
        </is>
      </c>
      <c r="J17" s="322">
        <f>ROUNDUP((E28+SUM(E38:E40))/50,0)*50</f>
        <v/>
      </c>
      <c r="K17" s="322">
        <f>IF('Client Setup - Sample'!B7&gt;0,CEILING(J17/'Client Setup - Sample'!B7,1),0)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417">
        <f>'Client Setup - Sample'!C41</f>
        <v/>
      </c>
      <c r="D18" s="325" t="inlineStr">
        <is>
          <t>20% or None</t>
        </is>
      </c>
      <c r="E18" s="326" t="n"/>
      <c r="F18" s="326" t="n"/>
      <c r="G18" s="326" t="n"/>
      <c r="H18" s="253" t="n"/>
      <c r="I18" s="321" t="inlineStr">
        <is>
          <t>Equipment</t>
        </is>
      </c>
      <c r="J18" s="322">
        <f>ROUNDUP((E29+E30+E31)/50,0)*50</f>
        <v/>
      </c>
      <c r="K18" s="322">
        <f>IF('Client Setup - Sample'!B7&gt;0,CEILING(J18/'Client Setup - Sample'!B7,1),0)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417">
        <f>'Client Setup - Sample'!C42</f>
        <v/>
      </c>
      <c r="D19" s="325" t="inlineStr">
        <is>
          <t>5% or None</t>
        </is>
      </c>
      <c r="E19" s="326" t="n"/>
      <c r="F19" s="326" t="n"/>
      <c r="G19" s="326" t="n"/>
      <c r="H19" s="253" t="n"/>
      <c r="I19" s="321" t="inlineStr">
        <is>
          <t>Venue Rental</t>
        </is>
      </c>
      <c r="J19" s="322">
        <f>ROUNDUP((E33+E34+E35)/50,0)*50</f>
        <v/>
      </c>
      <c r="K19" s="322">
        <f>IF('Client Setup - Sample'!B7&gt;0,CEILING(J19/'Client Setup - Sample'!B7,1),0)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Sample'!B7&gt;0,CEILING(J20/'Client Setup - Sample'!B7,1),0)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Sample'!B7&gt;0,CEILING(J21/'Client Setup - Sample'!B7,1),0)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419" t="inlineStr">
        <is>
          <t>TOTAL ESTIMATE</t>
        </is>
      </c>
      <c r="J23" s="420">
        <f>SUM(J15:J21)</f>
        <v/>
      </c>
      <c r="K23" s="420">
        <f>IF('Client Setup - Sample'!B7&gt;0,CEILING(J23/'Client Setup - Sample'!B7,1),0)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Sample'!B7</f>
        <v/>
      </c>
      <c r="C24" s="334" t="n">
        <v>100</v>
      </c>
      <c r="D24" s="335">
        <f>B24*C24</f>
        <v/>
      </c>
      <c r="E24" s="335">
        <f>IFERROR(D24*(1+VLOOKUP(G24,CategoryTable,2,FALSE)),0)</f>
        <v/>
      </c>
      <c r="F24" s="336">
        <f>'Client Setup - Sample'!B17</f>
        <v/>
      </c>
      <c r="G24" s="337" t="inlineStr">
        <is>
          <t>Catering &amp; F&amp;B</t>
        </is>
      </c>
      <c r="H24" s="253" t="n"/>
      <c r="I24" s="338" t="inlineStr">
        <is>
          <t>Guest Count</t>
        </is>
      </c>
      <c r="J24" s="339">
        <f>'Client Setup - Sample'!B7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Sample'!B7</f>
        <v/>
      </c>
      <c r="C25" s="343" t="n">
        <v>30</v>
      </c>
      <c r="D25" s="344">
        <f>B25*C25</f>
        <v/>
      </c>
      <c r="E25" s="344">
        <f>IFERROR(D25*(1+VLOOKUP(G25,CategoryTable,2,FALSE)),0)</f>
        <v/>
      </c>
      <c r="F25" s="345">
        <f>'Client Setup - Sample'!B18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Sample'!B7</f>
        <v/>
      </c>
      <c r="C26" s="334" t="n">
        <v>10</v>
      </c>
      <c r="D26" s="335">
        <f>B26*C26</f>
        <v/>
      </c>
      <c r="E26" s="335">
        <f>IFERROR(D26*(1+VLOOKUP(G26,CategoryTable,2,FALSE)),0)</f>
        <v/>
      </c>
      <c r="F26" s="336">
        <f>'Client Setup - Sample'!B17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53" t="inlineStr">
        <is>
          <t>Staffing</t>
        </is>
      </c>
      <c r="B28" s="354" t="n">
        <v>2</v>
      </c>
      <c r="C28" s="343" t="n">
        <v>300</v>
      </c>
      <c r="D28" s="344">
        <f>B28*C28</f>
        <v/>
      </c>
      <c r="E28" s="344">
        <f>IFERROR(D28*(1+VLOOKUP(G28,CategoryTable,2,FALSE)),0)</f>
        <v/>
      </c>
      <c r="F28" s="345">
        <f>'Client Setup - Sample'!B19</f>
        <v/>
      </c>
      <c r="G28" s="355" t="inlineStr">
        <is>
          <t>Staffing &amp; Labor</t>
        </is>
      </c>
      <c r="H28" s="253" t="n"/>
      <c r="I28" s="352" t="inlineStr">
        <is>
          <t>Venue Contact:</t>
        </is>
      </c>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49" t="inlineStr">
        <is>
          <t>Catering Equipment</t>
        </is>
      </c>
      <c r="B29" s="350" t="n">
        <v>1</v>
      </c>
      <c r="C29" s="334" t="n">
        <v>500</v>
      </c>
      <c r="D29" s="335">
        <f>B29*C29</f>
        <v/>
      </c>
      <c r="E29" s="335">
        <f>IFERROR(D29*(1+VLOOKUP(G29,CategoryTable,2,FALSE)),0)</f>
        <v/>
      </c>
      <c r="F29" s="336">
        <f>'Client Setup - Sample'!B19</f>
        <v/>
      </c>
      <c r="G29" s="351" t="inlineStr">
        <is>
          <t>AV &amp; Production</t>
        </is>
      </c>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53" t="inlineStr">
        <is>
          <t>Rental Equipment</t>
        </is>
      </c>
      <c r="B30" s="354" t="n">
        <v>1</v>
      </c>
      <c r="C30" s="343" t="n">
        <v>400</v>
      </c>
      <c r="D30" s="344">
        <f>B30*C30</f>
        <v/>
      </c>
      <c r="E30" s="344">
        <f>IFERROR(D30*(1+VLOOKUP(G30,CategoryTable,2,FALSE)),0)</f>
        <v/>
      </c>
      <c r="F30" s="345">
        <f>'Client Setup - Sample'!B19</f>
        <v/>
      </c>
      <c r="G30" s="355" t="inlineStr">
        <is>
          <t>Décor &amp; Design</t>
        </is>
      </c>
      <c r="H30" s="253" t="n"/>
      <c r="I30" s="352" t="inlineStr">
        <is>
          <t>Menu Notes:</t>
        </is>
      </c>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49" t="inlineStr">
        <is>
          <t>Additional Equipment</t>
        </is>
      </c>
      <c r="B31" s="350" t="n">
        <v>1</v>
      </c>
      <c r="C31" s="334" t="n">
        <v>200</v>
      </c>
      <c r="D31" s="335">
        <f>B31*C31</f>
        <v/>
      </c>
      <c r="E31" s="335">
        <f>IFERROR(D31*(1+VLOOKUP(G31,CategoryTable,2,FALSE)),0)</f>
        <v/>
      </c>
      <c r="F31" s="336">
        <f>'Client Setup - Sample'!B19</f>
        <v/>
      </c>
      <c r="G31" s="351" t="inlineStr">
        <is>
          <t>AV &amp; Production</t>
        </is>
      </c>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53" t="inlineStr">
        <is>
          <t>Venue / Room Rental</t>
        </is>
      </c>
      <c r="B33" s="354" t="n">
        <v>1</v>
      </c>
      <c r="C33" s="343" t="n">
        <v>2000</v>
      </c>
      <c r="D33" s="344">
        <f>B33*C33</f>
        <v/>
      </c>
      <c r="E33" s="344">
        <f>IFERROR(D33*(1+VLOOKUP(G33,CategoryTable,2,FALSE)),0)</f>
        <v/>
      </c>
      <c r="F33" s="345">
        <f>IF(B8="Yes",'Client Setup - Sample'!B19,0)</f>
        <v/>
      </c>
      <c r="G33" s="355" t="inlineStr">
        <is>
          <t>Venues &amp; Room Rentals</t>
        </is>
      </c>
      <c r="H33" s="253" t="n"/>
      <c r="I33" s="352" t="inlineStr">
        <is>
          <t>Logistics:</t>
        </is>
      </c>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49" t="inlineStr">
        <is>
          <t>Additional Venue Space</t>
        </is>
      </c>
      <c r="B34" s="350" t="n">
        <v>1</v>
      </c>
      <c r="C34" s="334" t="n">
        <v>500</v>
      </c>
      <c r="D34" s="335">
        <f>B34*C34</f>
        <v/>
      </c>
      <c r="E34" s="335">
        <f>IFERROR(D34*(1+VLOOKUP(G34,CategoryTable,2,FALSE)),0)</f>
        <v/>
      </c>
      <c r="F34" s="336">
        <f>IF(B8="Yes",'Client Setup - Sample'!B19,0)</f>
        <v/>
      </c>
      <c r="G34" s="351" t="inlineStr">
        <is>
          <t>Venues &amp; Room Rentals</t>
        </is>
      </c>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53" t="inlineStr">
        <is>
          <t>Additional Services</t>
        </is>
      </c>
      <c r="B35" s="354" t="n">
        <v>0</v>
      </c>
      <c r="C35" s="343" t="n">
        <v>0</v>
      </c>
      <c r="D35" s="344">
        <f>B35*C35</f>
        <v/>
      </c>
      <c r="E35" s="344">
        <f>IFERROR(D35*(1+VLOOKUP(G35,CategoryTable,2,FALSE)),0)</f>
        <v/>
      </c>
      <c r="F35" s="345">
        <f>IF(B8="Yes",'Client Setup - Sample'!B19,0)</f>
        <v/>
      </c>
      <c r="G35" s="355" t="inlineStr">
        <is>
          <t>Venues &amp; Room Rentals</t>
        </is>
      </c>
      <c r="H35" s="253" t="n"/>
      <c r="I35" s="352" t="inlineStr">
        <is>
          <t>Additional Notes:</t>
        </is>
      </c>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inlineStr">
        <is>
          <t>QC Event Staff</t>
        </is>
      </c>
      <c r="B38" s="350" t="n">
        <v>2</v>
      </c>
      <c r="C38" s="334" t="n">
        <v>500</v>
      </c>
      <c r="D38" s="335">
        <f>B38*C38</f>
        <v/>
      </c>
      <c r="E38" s="335">
        <f>IFERROR(D38*(1+VLOOKUP(G38,CategoryTable,2,FALSE)),0)</f>
        <v/>
      </c>
      <c r="F38" s="336" t="n">
        <v>0</v>
      </c>
      <c r="G38" s="351" t="inlineStr">
        <is>
          <t>Staffing &amp; Labor</t>
        </is>
      </c>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v>1</v>
      </c>
      <c r="C39" s="343" t="n">
        <v>250</v>
      </c>
      <c r="D39" s="344">
        <f>B39*C39</f>
        <v/>
      </c>
      <c r="E39" s="344">
        <f>IFERROR(D39*(1+VLOOKUP(G39,CategoryTable,2,FALSE)),0)</f>
        <v/>
      </c>
      <c r="F39" s="345" t="n">
        <v>0</v>
      </c>
      <c r="G39" s="355" t="inlineStr">
        <is>
          <t>Staffing &amp; Labor</t>
        </is>
      </c>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v>1</v>
      </c>
      <c r="C40" s="334" t="n">
        <v>150</v>
      </c>
      <c r="D40" s="335">
        <f>B40*C40</f>
        <v/>
      </c>
      <c r="E40" s="335">
        <f>IFERROR(D40*(1+VLOOKUP(G40,CategoryTable,2,FALSE)),0)</f>
        <v/>
      </c>
      <c r="F40" s="336" t="n">
        <v>0</v>
      </c>
      <c r="G40" s="351" t="inlineStr">
        <is>
          <t>Staffing &amp; Labor</t>
        </is>
      </c>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Sample'!C35,0)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Sample'!C36,0)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Sample'!B7&gt;0,CEILING(E57/'Client Setup - Sample'!B7,1),0)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Sample'!B7&gt;0,B60*'Client Setup - Sample'!B7,0)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inlineStr">
        <is>
          <t>Event Day</t>
        </is>
      </c>
      <c r="C66" s="372" t="inlineStr">
        <is>
          <t>Site Visit</t>
        </is>
      </c>
      <c r="D66" s="372" t="inlineStr">
        <is>
          <t>Trip 3</t>
        </is>
      </c>
      <c r="E66" s="280" t="n"/>
      <c r="F66" s="280" t="n"/>
      <c r="G66" s="280" t="n"/>
      <c r="H66" s="280" t="n"/>
      <c r="I66" s="280" t="n"/>
      <c r="J66" s="280" t="n"/>
      <c r="K66" s="280" t="n"/>
    </row>
    <row r="67" ht="20" customHeight="1" s="90">
      <c r="A67" s="357" t="inlineStr">
        <is>
          <t>Trip Label</t>
        </is>
      </c>
      <c r="B67" s="373" t="inlineStr">
        <is>
          <t>DC</t>
        </is>
      </c>
      <c r="C67" s="373" t="inlineStr">
        <is>
          <t>Charlotte</t>
        </is>
      </c>
      <c r="D67" s="373" t="n"/>
      <c r="E67" s="280" t="n"/>
      <c r="F67" s="280" t="n"/>
      <c r="G67" s="280" t="n"/>
      <c r="H67" s="280" t="n"/>
      <c r="I67" s="280" t="n"/>
      <c r="J67" s="280" t="n"/>
      <c r="K67" s="280" t="n"/>
    </row>
    <row r="68" ht="20" customHeight="1" s="90">
      <c r="A68" s="285" t="inlineStr">
        <is>
          <t>Destination</t>
        </is>
      </c>
      <c r="B68" s="259" t="inlineStr">
        <is>
          <t>DC</t>
        </is>
      </c>
      <c r="C68" s="259" t="inlineStr">
        <is>
          <t>Charlotte</t>
        </is>
      </c>
      <c r="D68" s="259" t="n"/>
      <c r="E68" s="280" t="n"/>
      <c r="F68" s="280" t="n"/>
      <c r="G68" s="280" t="n"/>
      <c r="H68" s="280" t="n"/>
      <c r="I68" s="280" t="n"/>
      <c r="J68" s="280" t="n"/>
      <c r="K68" s="280" t="n"/>
    </row>
    <row r="69" ht="20" customHeight="1" s="90">
      <c r="A69" s="357" t="inlineStr">
        <is>
          <t>Travel Type</t>
        </is>
      </c>
      <c r="B69" s="373">
        <f>IF(B68&lt;&gt;"",VLOOKUP(B68,TravelRates,2,FALSE),"")</f>
        <v/>
      </c>
      <c r="C69" s="373">
        <f>IF(C68&lt;&gt;"",VLOOKUP(C68,TravelRates,2,FALSE),"")</f>
        <v/>
      </c>
      <c r="D69" s="373">
        <f>IF(D68&lt;&gt;"",VLOOKUP(D68,TravelRates,2,FALSE),"")</f>
        <v/>
      </c>
      <c r="E69" s="280" t="n"/>
      <c r="F69" s="280" t="n"/>
      <c r="G69" s="280" t="n"/>
      <c r="H69" s="280" t="n"/>
      <c r="I69" s="280" t="n"/>
      <c r="J69" s="280" t="n"/>
      <c r="K69" s="280" t="n"/>
    </row>
    <row r="70" ht="20" customHeight="1" s="90">
      <c r="A70" s="285" t="inlineStr">
        <is>
          <t>Staff Traveling</t>
        </is>
      </c>
      <c r="B70" s="259" t="n">
        <v>2</v>
      </c>
      <c r="C70" s="259" t="n">
        <v>1</v>
      </c>
      <c r="D70" s="259" t="n"/>
      <c r="E70" s="280" t="n"/>
      <c r="F70" s="280" t="n"/>
      <c r="G70" s="280" t="n"/>
      <c r="H70" s="280" t="n"/>
      <c r="I70" s="280" t="n"/>
      <c r="J70" s="280" t="n"/>
      <c r="K70" s="280" t="n"/>
    </row>
    <row r="71" ht="20" customHeight="1" s="90">
      <c r="A71" s="357" t="inlineStr">
        <is>
          <t>Nights</t>
        </is>
      </c>
      <c r="B71" s="373" t="n">
        <v>1</v>
      </c>
      <c r="C71" s="373" t="n">
        <v>0</v>
      </c>
      <c r="D71" s="373" t="n"/>
      <c r="E71" s="280" t="n"/>
      <c r="F71" s="280" t="n"/>
      <c r="G71" s="280" t="n"/>
      <c r="H71" s="280" t="n"/>
      <c r="I71" s="280" t="n"/>
      <c r="J71" s="280" t="n"/>
      <c r="K71" s="280" t="n"/>
    </row>
    <row r="72" ht="20" customHeight="1" s="90">
      <c r="A72" s="285" t="inlineStr">
        <is>
          <t>On-Site Vehicle</t>
        </is>
      </c>
      <c r="B72" s="259" t="inlineStr">
        <is>
          <t>None</t>
        </is>
      </c>
      <c r="C72" s="259" t="inlineStr">
        <is>
          <t>None</t>
        </is>
      </c>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IF(OR(B68="",B70=""),0,IF(B69="Flight",VLOOKUP(B68,TravelRates,4,FALSE)*B70,IF(B69="Drive",VLOOKUP(B68,TravelRates,3,FALSE),0)))</f>
        <v/>
      </c>
      <c r="C75" s="374">
        <f>IF(OR(C68="",C70=""),0,IF(C69="Flight",VLOOKUP(C68,TravelRates,4,FALSE)*C70,IF(C69="Drive",VLOOKUP(C68,TravelRates,3,FALSE),0)))</f>
        <v/>
      </c>
      <c r="D75" s="374">
        <f>IF(OR(D68="",D70=""),0,IF(D69="Flight",VLOOKUP(D68,TravelRates,4,FALSE)*D70,IF(D69="Drive",VLOOKUP(D68,TravelRates,3,FALSE),0)))</f>
        <v/>
      </c>
      <c r="E75" s="280" t="n"/>
      <c r="F75" s="280" t="n"/>
      <c r="G75" s="280" t="n"/>
      <c r="H75" s="280" t="n"/>
      <c r="I75" s="280" t="n"/>
      <c r="J75" s="280" t="n"/>
      <c r="K75" s="280" t="n"/>
    </row>
    <row r="76" ht="20" customHeight="1" s="90">
      <c r="A76" s="285" t="inlineStr">
        <is>
          <t>Hotel Cost</t>
        </is>
      </c>
      <c r="B76" s="376">
        <f>IF(OR(B68="",B70="",B71=""),0,VLOOKUP(B68,TravelRates,5,FALSE)*B71*B70)</f>
        <v/>
      </c>
      <c r="C76" s="376">
        <f>IF(OR(C68="",C70="",C71=""),0,VLOOKUP(C68,TravelRates,5,FALSE)*C71*C70)</f>
        <v/>
      </c>
      <c r="D76" s="376">
        <f>IF(OR(D68="",D70="",D71=""),0,VLOOKUP(D68,TravelRates,5,FALSE)*D71*D70)</f>
        <v/>
      </c>
      <c r="E76" s="280" t="n"/>
      <c r="F76" s="280" t="n"/>
      <c r="G76" s="280" t="n"/>
      <c r="H76" s="280" t="n"/>
      <c r="I76" s="280" t="n"/>
      <c r="J76" s="280" t="n"/>
      <c r="K76" s="280" t="n"/>
    </row>
    <row r="77" ht="20" customHeight="1" s="90">
      <c r="A77" s="357" t="inlineStr">
        <is>
          <t>Per Diem Cost</t>
        </is>
      </c>
      <c r="B77" s="374">
        <f>IF(OR(B68="",B70=""),0,VLOOKUP(B68,TravelRates,6,FALSE)*(B71+1)*B70)</f>
        <v/>
      </c>
      <c r="C77" s="374">
        <f>IF(OR(C68="",C70=""),0,VLOOKUP(C68,TravelRates,6,FALSE)*(C71+1)*C70)</f>
        <v/>
      </c>
      <c r="D77" s="374">
        <f>IF(OR(D68="",D70=""),0,VLOOKUP(D68,TravelRates,6,FALSE)*(D71+1)*D70)</f>
        <v/>
      </c>
      <c r="E77" s="280" t="n"/>
      <c r="F77" s="280" t="n"/>
      <c r="G77" s="280" t="n"/>
      <c r="H77" s="280" t="n"/>
      <c r="I77" s="280" t="n"/>
      <c r="J77" s="280" t="n"/>
      <c r="K77" s="280" t="n"/>
    </row>
    <row r="78" ht="20" customHeight="1" s="90">
      <c r="A78" s="285" t="inlineStr">
        <is>
          <t>Vehicle Cost</t>
        </is>
      </c>
      <c r="B78" s="376">
        <f>IF(OR(B72="",B72="None"),0,IF(B72="Custom",IF(ISNUMBER(B73),B73,0),IFERROR(VLOOKUP(B72,VehicleRates,2,FALSE),0)))</f>
        <v/>
      </c>
      <c r="C78" s="376">
        <f>IF(OR(C72="",C72="None"),0,IF(C72="Custom",IF(ISNUMBER(C73),C73,0),IFERROR(VLOOKUP(C72,VehicleRates,2,FALSE),0)))</f>
        <v/>
      </c>
      <c r="D78" s="376">
        <f>IF(OR(D72="",D72="None"),0,IF(D72="Custom",IF(ISNUMBER(D73),D73,0),IFERROR(VLOOKUP(D72,VehicleRates,2,FALSE),0)))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Sample'!C36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Sample'!B37="Yes",'Client Setup - Sample'!C37,0)</f>
        <v/>
      </c>
      <c r="D84" s="377">
        <f>IF('Client Setup - Sample'!B37="Yes",(E43+E46+E48+E49+E51+E52+E53)*'Client Setup - Sample'!C37,0)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G28:G31">
    <cfRule type="expression" priority="1" dxfId="0">
      <formula>AND(G28&lt;&gt;"",ISBLANK(G28))</formula>
    </cfRule>
    <cfRule type="expression" priority="2" dxfId="0">
      <formula>AND(OR($B28&lt;&gt;"",$C28&lt;&gt;""),G28="")</formula>
    </cfRule>
    <cfRule type="expression" priority="7" dxfId="0">
      <formula>AND(OR($B28&lt;&gt;"",$C28&lt;&gt;""),G28="")</formula>
    </cfRule>
  </conditionalFormatting>
  <conditionalFormatting sqref="G33:G35">
    <cfRule type="expression" priority="3" dxfId="0">
      <formula>AND(G33&lt;&gt;"",ISBLANK(G33))</formula>
    </cfRule>
    <cfRule type="expression" priority="4" dxfId="0">
      <formula>AND(OR($B33&lt;&gt;"",$C33&lt;&gt;""),G33="")</formula>
    </cfRule>
    <cfRule type="expression" priority="8" dxfId="0">
      <formula>AND(OR($B33&lt;&gt;"",$C33&lt;&gt;""),G33="")</formula>
    </cfRule>
  </conditionalFormatting>
  <conditionalFormatting sqref="G38:G40">
    <cfRule type="expression" priority="5" dxfId="0">
      <formula>AND(G38&lt;&gt;"",ISBLANK(G38))</formula>
    </cfRule>
    <cfRule type="expression" priority="6" dxfId="0">
      <formula>AND(OR($B38&lt;&gt;"",$C38&lt;&gt;""),G38="")</formula>
    </cfRule>
    <cfRule type="expression" priority="9" dxfId="0">
      <formula>AND(OR($B38&lt;&gt;"",$C38&lt;&gt;""),G38="")</formula>
    </cfRule>
  </conditionalFormatting>
  <conditionalFormatting sqref="B28:C31">
    <cfRule type="expression" priority="10" dxfId="1">
      <formula>AND(OR($B28&lt;&gt;"",$C28&lt;&gt;""),OR($B28="",$C28=""))</formula>
    </cfRule>
  </conditionalFormatting>
  <conditionalFormatting sqref="B33:C35">
    <cfRule type="expression" priority="11" dxfId="1">
      <formula>AND(OR($B33&lt;&gt;"",$C33&lt;&gt;""),OR($B33="",$C33=""))</formula>
    </cfRule>
  </conditionalFormatting>
  <conditionalFormatting sqref="B38:C40">
    <cfRule type="expression" priority="12" dxfId="1">
      <formula>AND(OR($B38&lt;&gt;"",$C38&lt;&gt;""),OR($B38="",$C38=""))</formula>
    </cfRule>
  </conditionalFormatting>
  <conditionalFormatting sqref="C17">
    <cfRule type="expression" priority="13" dxfId="2">
      <formula>AND(C17&lt;&gt;"",C17&lt;&gt;"20%",C17&lt;&gt;"21.5%",C17&lt;&gt;"None",C17&lt;&gt;0.2,C17&lt;&gt;0.215)</formula>
    </cfRule>
  </conditionalFormatting>
  <conditionalFormatting sqref="C18">
    <cfRule type="expression" priority="14" dxfId="2">
      <formula>AND(C18&lt;&gt;"",C18&lt;&gt;"20%",C18&lt;&gt;"None",C18&lt;&gt;0.2)</formula>
    </cfRule>
  </conditionalFormatting>
  <conditionalFormatting sqref="C19">
    <cfRule type="expression" priority="15" dxfId="2">
      <formula>AND(C19&lt;&gt;"",C19&lt;&gt;"5%",C19&lt;&gt;"None",C19&lt;&gt;0.05)</formula>
    </cfRule>
  </conditionalFormatting>
  <conditionalFormatting sqref="D88">
    <cfRule type="expression" priority="16" dxfId="3">
      <formula>SEARCH("STRONG",D88)&gt;0</formula>
    </cfRule>
    <cfRule type="expression" priority="17" dxfId="4">
      <formula>SEARCH("TARGET",D88)&gt;0</formula>
    </cfRule>
    <cfRule type="expression" priority="18" dxfId="5">
      <formula>SEARCH("REVIEW",D88)&gt;0</formula>
    </cfRule>
    <cfRule type="expression" priority="19" dxfId="6">
      <formula>SEARCH("BELOW",D88)&gt;0</formula>
    </cfRule>
    <cfRule type="expression" priority="20" dxfId="5">
      <formula>SEARCH("THIN",D88)&gt;0</formula>
    </cfRule>
    <cfRule type="expression" priority="21" dxfId="6">
      <formula>SEARCH("LOSING",D88)&gt;0</formula>
    </cfRule>
  </conditionalFormatting>
  <conditionalFormatting sqref="D93">
    <cfRule type="expression" priority="22" dxfId="3">
      <formula>SEARCH("STRONG",D93)&gt;0</formula>
    </cfRule>
    <cfRule type="expression" priority="23" dxfId="4">
      <formula>SEARCH("TARGET",D93)&gt;0</formula>
    </cfRule>
    <cfRule type="expression" priority="24" dxfId="5">
      <formula>SEARCH("REVIEW",D93)&gt;0</formula>
    </cfRule>
    <cfRule type="expression" priority="25" dxfId="6">
      <formula>SEARCH("BELOW",D93)&gt;0</formula>
    </cfRule>
    <cfRule type="expression" priority="26" dxfId="5">
      <formula>SEARCH("THIN",D93)&gt;0</formula>
    </cfRule>
    <cfRule type="expression" priority="27" dxfId="6">
      <formula>SEARCH("LOSING",D93)&gt;0</formula>
    </cfRule>
  </conditionalFormatting>
  <dataValidations count="11">
    <dataValidation sqref="B8" showDropDown="0" showInputMessage="0" showErrorMessage="0" allowBlank="1" type="list" errorStyle="stop" operator="between">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DestinationList</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VehicleList</formula1>
    </dataValidation>
    <dataValidation sqref="C17" showDropDown="0" showInputMessage="0" showErrorMessage="0" allowBlank="1" type="list">
      <formula1>"20%,21.5%,None"</formula1>
    </dataValidation>
    <dataValidation sqref="C18" showDropDown="0" showInputMessage="0" showErrorMessage="0" allowBlank="1" type="list">
      <formula1>"20%,None"</formula1>
    </dataValidation>
    <dataValidation sqref="C19" showDropDown="0" showInputMessage="0" showErrorMessage="0"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Z1021"/>
  <sheetViews>
    <sheetView workbookViewId="0">
      <selection activeCell="A1"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92" t="n"/>
      <c r="C2" s="92" t="n"/>
      <c r="D2" s="92" t="n"/>
      <c r="E2" s="92" t="n"/>
      <c r="F2" s="92" t="n"/>
      <c r="G2" s="93"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92" t="n"/>
      <c r="C4" s="92" t="n"/>
      <c r="D4" s="92" t="n"/>
      <c r="E4" s="92" t="n"/>
      <c r="F4" s="92" t="n"/>
      <c r="G4" s="93" t="n"/>
      <c r="H4" s="257" t="n"/>
      <c r="I4" s="254"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n"/>
      <c r="C5" s="244" t="n"/>
      <c r="D5" s="304" t="n"/>
      <c r="E5" s="304" t="n"/>
      <c r="F5" s="304" t="n"/>
      <c r="G5" s="304" t="n"/>
      <c r="H5" s="253" t="n"/>
      <c r="I5" s="305"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n"/>
      <c r="C6" s="244"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c r="C7" s="244" t="n"/>
      <c r="D7" s="304" t="n"/>
      <c r="E7" s="304" t="n"/>
      <c r="F7" s="304" t="n"/>
      <c r="G7" s="304" t="n"/>
      <c r="H7" s="253" t="n"/>
      <c r="I7" s="308"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n"/>
      <c r="C8" s="244" t="n"/>
      <c r="D8" s="304" t="n"/>
      <c r="E8" s="304" t="n"/>
      <c r="F8" s="304" t="n"/>
      <c r="G8" s="304" t="n"/>
      <c r="H8" s="253" t="n"/>
      <c r="I8" s="311">
        <f>'Client Setup - Blank'!B5</f>
        <v/>
      </c>
      <c r="J8" s="93"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Blank'!B5</f>
        <v/>
      </c>
      <c r="C9" s="93" t="n"/>
      <c r="D9" s="304" t="n"/>
      <c r="E9" s="304" t="n"/>
      <c r="F9" s="304" t="n"/>
      <c r="G9" s="304" t="n"/>
      <c r="H9" s="253" t="n"/>
      <c r="I9" s="314">
        <f>TEXT('Client Setup - Blank'!B6,"MMMM D, YYYY")</f>
        <v/>
      </c>
      <c r="J9" s="93" t="n"/>
      <c r="K9" s="312">
        <f>'Client Setup - Blank'!B7&amp;"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Blank'!B7</f>
        <v/>
      </c>
      <c r="C10" s="93"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Blank'!B16</f>
        <v/>
      </c>
      <c r="C11" s="93"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Blank'!B11</f>
        <v/>
      </c>
      <c r="C12" s="280" t="n"/>
      <c r="D12" s="280" t="n"/>
      <c r="E12" s="280" t="n"/>
      <c r="F12" s="280" t="n"/>
      <c r="G12" s="280" t="n"/>
      <c r="H12" s="280" t="n"/>
      <c r="I12" s="319" t="n"/>
      <c r="J12" s="319" t="n"/>
      <c r="K12" s="319" t="n"/>
    </row>
    <row r="13" ht="25.5" customHeight="1" s="90">
      <c r="A13" s="318" t="inlineStr">
        <is>
          <t>Program:</t>
        </is>
      </c>
      <c r="B13" s="318">
        <f>'Client Setup - Blank'!B12</f>
        <v/>
      </c>
      <c r="C13" s="280" t="n"/>
      <c r="D13" s="280" t="n"/>
      <c r="E13" s="280" t="n"/>
      <c r="F13" s="280" t="n"/>
      <c r="G13" s="280" t="n"/>
      <c r="H13" s="280" t="n"/>
      <c r="I13" s="319" t="n"/>
      <c r="J13" s="319" t="n"/>
      <c r="K13" s="319" t="n"/>
    </row>
    <row r="14" ht="25.5" customHeight="1" s="90">
      <c r="A14" s="318" t="inlineStr">
        <is>
          <t>Client Hotel:</t>
        </is>
      </c>
      <c r="B14" s="318">
        <f>'Client Setup - Blank'!B13</f>
        <v/>
      </c>
      <c r="C14" s="280" t="n"/>
      <c r="D14" s="280" t="n"/>
      <c r="E14" s="280" t="n"/>
      <c r="F14" s="280" t="n"/>
      <c r="G14" s="280" t="n"/>
      <c r="H14" s="280" t="n"/>
      <c r="I14" s="418" t="inlineStr">
        <is>
          <t>CATEGORY</t>
        </is>
      </c>
      <c r="J14" s="418" t="inlineStr">
        <is>
          <t>AMOUNT</t>
        </is>
      </c>
      <c r="K14" s="418" t="inlineStr">
        <is>
          <t>PER PERSON</t>
        </is>
      </c>
    </row>
    <row r="15" ht="25.5" customHeight="1" s="90">
      <c r="A15" s="318" t="inlineStr">
        <is>
          <t>Event Time:</t>
        </is>
      </c>
      <c r="B15" s="320">
        <f>'Client Setup - Blank'!B10</f>
        <v/>
      </c>
      <c r="C15" s="253" t="n"/>
      <c r="D15" s="253" t="n"/>
      <c r="E15" s="253" t="n"/>
      <c r="F15" s="253" t="n"/>
      <c r="G15" s="253" t="n"/>
      <c r="H15" s="253" t="n"/>
      <c r="I15" s="321" t="inlineStr">
        <is>
          <t>Menu</t>
        </is>
      </c>
      <c r="J15" s="322">
        <f>ROUNDUP((E24+E26)/50,0)*50</f>
        <v/>
      </c>
      <c r="K15" s="322">
        <f>IF('Client Setup - Blank'!B7&gt;0,CEILING(J15/'Client Setup - Blank'!B7,1),0)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Blank'!B7&gt;0,CEILING(J16/'Client Setup - Blank'!B7,1),0)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417">
        <f>'Client Setup - Blank'!C40</f>
        <v/>
      </c>
      <c r="D17" s="325" t="inlineStr">
        <is>
          <t>20%, 21.5%, or None</t>
        </is>
      </c>
      <c r="E17" s="326" t="n"/>
      <c r="F17" s="326" t="n"/>
      <c r="G17" s="326" t="n"/>
      <c r="H17" s="253" t="n"/>
      <c r="I17" s="321" t="inlineStr">
        <is>
          <t>Staffing</t>
        </is>
      </c>
      <c r="J17" s="322">
        <f>ROUNDUP((E28+SUM(E38:E40))/50,0)*50</f>
        <v/>
      </c>
      <c r="K17" s="322">
        <f>IF('Client Setup - Blank'!B7&gt;0,CEILING(J17/'Client Setup - Blank'!B7,1),0)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417">
        <f>'Client Setup - Blank'!C41</f>
        <v/>
      </c>
      <c r="D18" s="325" t="inlineStr">
        <is>
          <t>20% or None</t>
        </is>
      </c>
      <c r="E18" s="326" t="n"/>
      <c r="F18" s="326" t="n"/>
      <c r="G18" s="326" t="n"/>
      <c r="H18" s="253" t="n"/>
      <c r="I18" s="321" t="inlineStr">
        <is>
          <t>Equipment</t>
        </is>
      </c>
      <c r="J18" s="322">
        <f>ROUNDUP((E29+E30+E31)/50,0)*50</f>
        <v/>
      </c>
      <c r="K18" s="322">
        <f>IF('Client Setup - Blank'!B7&gt;0,CEILING(J18/'Client Setup - Blank'!B7,1),0)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417">
        <f>'Client Setup - Blank'!C42</f>
        <v/>
      </c>
      <c r="D19" s="325" t="inlineStr">
        <is>
          <t>5% or None</t>
        </is>
      </c>
      <c r="E19" s="326" t="n"/>
      <c r="F19" s="326" t="n"/>
      <c r="G19" s="326" t="n"/>
      <c r="H19" s="253" t="n"/>
      <c r="I19" s="321" t="inlineStr">
        <is>
          <t>Venue Rental</t>
        </is>
      </c>
      <c r="J19" s="322">
        <f>ROUNDUP((E33+E34+E35)/50,0)*50</f>
        <v/>
      </c>
      <c r="K19" s="322">
        <f>IF('Client Setup - Blank'!B7&gt;0,CEILING(J19/'Client Setup - Blank'!B7,1),0)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Blank'!B7&gt;0,CEILING(J20/'Client Setup - Blank'!B7,1),0)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Blank'!B7&gt;0,CEILING(J21/'Client Setup - Blank'!B7,1),0)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419" t="inlineStr">
        <is>
          <t>TOTAL ESTIMATE</t>
        </is>
      </c>
      <c r="J23" s="420">
        <f>SUM(J15:J21)</f>
        <v/>
      </c>
      <c r="K23" s="420">
        <f>IF('Client Setup - Blank'!B7&gt;0,CEILING(J23/'Client Setup - Blank'!B7,1),0)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Blank'!B7</f>
        <v/>
      </c>
      <c r="C24" s="334" t="n"/>
      <c r="D24" s="335">
        <f>B24*C24</f>
        <v/>
      </c>
      <c r="E24" s="335">
        <f>IFERROR(D24*(1+VLOOKUP(G24,CategoryTable,2,FALSE)),0)</f>
        <v/>
      </c>
      <c r="F24" s="336">
        <f>'Client Setup - Blank'!B17</f>
        <v/>
      </c>
      <c r="G24" s="337" t="inlineStr">
        <is>
          <t>Catering &amp; F&amp;B</t>
        </is>
      </c>
      <c r="H24" s="253" t="n"/>
      <c r="I24" s="338" t="inlineStr">
        <is>
          <t>Guest Count</t>
        </is>
      </c>
      <c r="J24" s="339">
        <f>'Client Setup - Blank'!B7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Blank'!B7</f>
        <v/>
      </c>
      <c r="C25" s="343" t="n"/>
      <c r="D25" s="344">
        <f>B25*C25</f>
        <v/>
      </c>
      <c r="E25" s="344">
        <f>IFERROR(D25*(1+VLOOKUP(G25,CategoryTable,2,FALSE)),0)</f>
        <v/>
      </c>
      <c r="F25" s="345">
        <f>'Client Setup - Blank'!B18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Blank'!B7</f>
        <v/>
      </c>
      <c r="C26" s="334" t="n"/>
      <c r="D26" s="335">
        <f>B26*C26</f>
        <v/>
      </c>
      <c r="E26" s="335">
        <f>IFERROR(D26*(1+VLOOKUP(G26,CategoryTable,2,FALSE)),0)</f>
        <v/>
      </c>
      <c r="F26" s="336">
        <f>'Client Setup - Blank'!B17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53" t="n"/>
      <c r="B28" s="354" t="n"/>
      <c r="C28" s="343" t="n"/>
      <c r="D28" s="344">
        <f>B28*C28</f>
        <v/>
      </c>
      <c r="E28" s="344">
        <f>IFERROR(D28*(1+VLOOKUP(G28,CategoryTable,2,FALSE)),0)</f>
        <v/>
      </c>
      <c r="F28" s="345">
        <f>'Client Setup - Blank'!B19</f>
        <v/>
      </c>
      <c r="G28" s="355" t="n"/>
      <c r="H28" s="253" t="n"/>
      <c r="I28" s="352" t="n"/>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49" t="n"/>
      <c r="B29" s="350" t="n"/>
      <c r="C29" s="334" t="n"/>
      <c r="D29" s="335">
        <f>B29*C29</f>
        <v/>
      </c>
      <c r="E29" s="335">
        <f>IFERROR(D29*(1+VLOOKUP(G29,CategoryTable,2,FALSE)),0)</f>
        <v/>
      </c>
      <c r="F29" s="336">
        <f>'Client Setup - Blank'!B19</f>
        <v/>
      </c>
      <c r="G29" s="351" t="n"/>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53" t="n"/>
      <c r="B30" s="354" t="n"/>
      <c r="C30" s="343" t="n"/>
      <c r="D30" s="344">
        <f>B30*C30</f>
        <v/>
      </c>
      <c r="E30" s="344">
        <f>IFERROR(D30*(1+VLOOKUP(G30,CategoryTable,2,FALSE)),0)</f>
        <v/>
      </c>
      <c r="F30" s="345">
        <f>'Client Setup - Blank'!B19</f>
        <v/>
      </c>
      <c r="G30" s="355" t="n"/>
      <c r="H30" s="253" t="n"/>
      <c r="I30" s="352" t="n"/>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49" t="n"/>
      <c r="B31" s="350" t="n"/>
      <c r="C31" s="334" t="n"/>
      <c r="D31" s="335">
        <f>B31*C31</f>
        <v/>
      </c>
      <c r="E31" s="335">
        <f>IFERROR(D31*(1+VLOOKUP(G31,CategoryTable,2,FALSE)),0)</f>
        <v/>
      </c>
      <c r="F31" s="336">
        <f>'Client Setup - Blank'!B19</f>
        <v/>
      </c>
      <c r="G31" s="351" t="n"/>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53" t="n"/>
      <c r="B33" s="354" t="n"/>
      <c r="C33" s="343" t="n"/>
      <c r="D33" s="344">
        <f>B33*C33</f>
        <v/>
      </c>
      <c r="E33" s="344">
        <f>IFERROR(D33*(1+VLOOKUP(G33,CategoryTable,2,FALSE)),0)</f>
        <v/>
      </c>
      <c r="F33" s="345">
        <f>IF(B8="Yes",'Client Setup - Blank'!B19,0)</f>
        <v/>
      </c>
      <c r="G33" s="355" t="n"/>
      <c r="H33" s="253" t="n"/>
      <c r="I33" s="352" t="n"/>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49" t="n"/>
      <c r="B34" s="350" t="n"/>
      <c r="C34" s="334" t="n"/>
      <c r="D34" s="335">
        <f>B34*C34</f>
        <v/>
      </c>
      <c r="E34" s="335">
        <f>IFERROR(D34*(1+VLOOKUP(G34,CategoryTable,2,FALSE)),0)</f>
        <v/>
      </c>
      <c r="F34" s="336">
        <f>IF(B8="Yes",'Client Setup - Blank'!B19,0)</f>
        <v/>
      </c>
      <c r="G34" s="351" t="n"/>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53" t="n"/>
      <c r="B35" s="354" t="n"/>
      <c r="C35" s="343" t="n"/>
      <c r="D35" s="344">
        <f>B35*C35</f>
        <v/>
      </c>
      <c r="E35" s="344">
        <f>IFERROR(D35*(1+VLOOKUP(G35,CategoryTable,2,FALSE)),0)</f>
        <v/>
      </c>
      <c r="F35" s="345">
        <f>IF(B8="Yes",'Client Setup - Blank'!B19,0)</f>
        <v/>
      </c>
      <c r="G35" s="355" t="n"/>
      <c r="H35" s="253" t="n"/>
      <c r="I35" s="352" t="n"/>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n"/>
      <c r="B38" s="350" t="n"/>
      <c r="C38" s="334" t="n"/>
      <c r="D38" s="335">
        <f>B38*C38</f>
        <v/>
      </c>
      <c r="E38" s="335">
        <f>IFERROR(D38*(1+VLOOKUP(G38,CategoryTable,2,FALSE)),0)</f>
        <v/>
      </c>
      <c r="F38" s="336" t="n">
        <v>0</v>
      </c>
      <c r="G38" s="351" t="n"/>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c r="C39" s="343" t="n"/>
      <c r="D39" s="344">
        <f>B39*C39</f>
        <v/>
      </c>
      <c r="E39" s="344">
        <f>IFERROR(D39*(1+VLOOKUP(G39,CategoryTable,2,FALSE)),0)</f>
        <v/>
      </c>
      <c r="F39" s="345" t="n">
        <v>0</v>
      </c>
      <c r="G39" s="355" t="n"/>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c r="C40" s="334" t="n"/>
      <c r="D40" s="335">
        <f>B40*C40</f>
        <v/>
      </c>
      <c r="E40" s="335">
        <f>IFERROR(D40*(1+VLOOKUP(G40,CategoryTable,2,FALSE)),0)</f>
        <v/>
      </c>
      <c r="F40" s="336" t="n">
        <v>0</v>
      </c>
      <c r="G40" s="351" t="n"/>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Blank'!C35,0)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Blank'!C36,0)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Blank'!B7&gt;0,CEILING(E57/'Client Setup - Blank'!B7,1),0)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Blank'!B7&gt;0,B60*'Client Setup - Blank'!B7,0)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n"/>
      <c r="C66" s="372" t="n"/>
      <c r="D66" s="372" t="n"/>
      <c r="E66" s="280" t="n"/>
      <c r="F66" s="280" t="n"/>
      <c r="G66" s="280" t="n"/>
      <c r="H66" s="280" t="n"/>
      <c r="I66" s="280" t="n"/>
      <c r="J66" s="280" t="n"/>
      <c r="K66" s="280" t="n"/>
    </row>
    <row r="67" ht="20" customHeight="1" s="90">
      <c r="A67" s="357" t="inlineStr">
        <is>
          <t>Trip Label</t>
        </is>
      </c>
      <c r="B67" s="373" t="n"/>
      <c r="C67" s="373" t="n"/>
      <c r="D67" s="373" t="n"/>
      <c r="E67" s="280" t="n"/>
      <c r="F67" s="280" t="n"/>
      <c r="G67" s="280" t="n"/>
      <c r="H67" s="280" t="n"/>
      <c r="I67" s="280" t="n"/>
      <c r="J67" s="280" t="n"/>
      <c r="K67" s="280" t="n"/>
    </row>
    <row r="68" ht="20" customHeight="1" s="90">
      <c r="A68" s="285" t="inlineStr">
        <is>
          <t>Destination</t>
        </is>
      </c>
      <c r="B68" s="259" t="n"/>
      <c r="C68" s="259" t="n"/>
      <c r="D68" s="259" t="n"/>
      <c r="E68" s="280" t="n"/>
      <c r="F68" s="280" t="n"/>
      <c r="G68" s="280" t="n"/>
      <c r="H68" s="280" t="n"/>
      <c r="I68" s="280" t="n"/>
      <c r="J68" s="280" t="n"/>
      <c r="K68" s="280" t="n"/>
    </row>
    <row r="69" ht="20" customHeight="1" s="90">
      <c r="A69" s="357" t="inlineStr">
        <is>
          <t>Travel Type</t>
        </is>
      </c>
      <c r="B69" s="373">
        <f>IF(B68&lt;&gt;"",VLOOKUP(B68,TravelRates,2,FALSE),"")</f>
        <v/>
      </c>
      <c r="C69" s="373">
        <f>IF(C68&lt;&gt;"",VLOOKUP(C68,TravelRates,2,FALSE),"")</f>
        <v/>
      </c>
      <c r="D69" s="373">
        <f>IF(D68&lt;&gt;"",VLOOKUP(D68,TravelRates,2,FALSE),"")</f>
        <v/>
      </c>
      <c r="E69" s="280" t="n"/>
      <c r="F69" s="280" t="n"/>
      <c r="G69" s="280" t="n"/>
      <c r="H69" s="280" t="n"/>
      <c r="I69" s="280" t="n"/>
      <c r="J69" s="280" t="n"/>
      <c r="K69" s="280" t="n"/>
    </row>
    <row r="70" ht="20" customHeight="1" s="90">
      <c r="A70" s="285" t="inlineStr">
        <is>
          <t>Staff Traveling</t>
        </is>
      </c>
      <c r="B70" s="259" t="n"/>
      <c r="C70" s="259" t="n"/>
      <c r="D70" s="259" t="n"/>
      <c r="E70" s="280" t="n"/>
      <c r="F70" s="280" t="n"/>
      <c r="G70" s="280" t="n"/>
      <c r="H70" s="280" t="n"/>
      <c r="I70" s="280" t="n"/>
      <c r="J70" s="280" t="n"/>
      <c r="K70" s="280" t="n"/>
    </row>
    <row r="71" ht="20" customHeight="1" s="90">
      <c r="A71" s="357" t="inlineStr">
        <is>
          <t>Nights</t>
        </is>
      </c>
      <c r="B71" s="373" t="n"/>
      <c r="C71" s="373" t="n"/>
      <c r="D71" s="373" t="n"/>
      <c r="E71" s="280" t="n"/>
      <c r="F71" s="280" t="n"/>
      <c r="G71" s="280" t="n"/>
      <c r="H71" s="280" t="n"/>
      <c r="I71" s="280" t="n"/>
      <c r="J71" s="280" t="n"/>
      <c r="K71" s="280" t="n"/>
    </row>
    <row r="72" ht="20" customHeight="1" s="90">
      <c r="A72" s="285" t="inlineStr">
        <is>
          <t>On-Site Vehicle</t>
        </is>
      </c>
      <c r="B72" s="259" t="n"/>
      <c r="C72" s="259" t="n"/>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IF(OR(B68="",B70=""),0,IF(B69="Flight",VLOOKUP(B68,TravelRates,4,FALSE)*B70,IF(B69="Drive",VLOOKUP(B68,TravelRates,3,FALSE),0)))</f>
        <v/>
      </c>
      <c r="C75" s="374">
        <f>IF(OR(C68="",C70=""),0,IF(C69="Flight",VLOOKUP(C68,TravelRates,4,FALSE)*C70,IF(C69="Drive",VLOOKUP(C68,TravelRates,3,FALSE),0)))</f>
        <v/>
      </c>
      <c r="D75" s="374">
        <f>IF(OR(D68="",D70=""),0,IF(D69="Flight",VLOOKUP(D68,TravelRates,4,FALSE)*D70,IF(D69="Drive",VLOOKUP(D68,TravelRates,3,FALSE),0)))</f>
        <v/>
      </c>
      <c r="E75" s="280" t="n"/>
      <c r="F75" s="280" t="n"/>
      <c r="G75" s="280" t="n"/>
      <c r="H75" s="280" t="n"/>
      <c r="I75" s="280" t="n"/>
      <c r="J75" s="280" t="n"/>
      <c r="K75" s="280" t="n"/>
    </row>
    <row r="76" ht="20" customHeight="1" s="90">
      <c r="A76" s="285" t="inlineStr">
        <is>
          <t>Hotel Cost</t>
        </is>
      </c>
      <c r="B76" s="376">
        <f>IF(OR(B68="",B70="",B71=""),0,VLOOKUP(B68,TravelRates,5,FALSE)*B71*B70)</f>
        <v/>
      </c>
      <c r="C76" s="376">
        <f>IF(OR(C68="",C70="",C71=""),0,VLOOKUP(C68,TravelRates,5,FALSE)*C71*C70)</f>
        <v/>
      </c>
      <c r="D76" s="376">
        <f>IF(OR(D68="",D70="",D71=""),0,VLOOKUP(D68,TravelRates,5,FALSE)*D71*D70)</f>
        <v/>
      </c>
      <c r="E76" s="280" t="n"/>
      <c r="F76" s="280" t="n"/>
      <c r="G76" s="280" t="n"/>
      <c r="H76" s="280" t="n"/>
      <c r="I76" s="280" t="n"/>
      <c r="J76" s="280" t="n"/>
      <c r="K76" s="280" t="n"/>
    </row>
    <row r="77" ht="20" customHeight="1" s="90">
      <c r="A77" s="357" t="inlineStr">
        <is>
          <t>Per Diem Cost</t>
        </is>
      </c>
      <c r="B77" s="374">
        <f>IF(OR(B68="",B70=""),0,VLOOKUP(B68,TravelRates,6,FALSE)*(B71+1)*B70)</f>
        <v/>
      </c>
      <c r="C77" s="374">
        <f>IF(OR(C68="",C70=""),0,VLOOKUP(C68,TravelRates,6,FALSE)*(C71+1)*C70)</f>
        <v/>
      </c>
      <c r="D77" s="374">
        <f>IF(OR(D68="",D70=""),0,VLOOKUP(D68,TravelRates,6,FALSE)*(D71+1)*D70)</f>
        <v/>
      </c>
      <c r="E77" s="280" t="n"/>
      <c r="F77" s="280" t="n"/>
      <c r="G77" s="280" t="n"/>
      <c r="H77" s="280" t="n"/>
      <c r="I77" s="280" t="n"/>
      <c r="J77" s="280" t="n"/>
      <c r="K77" s="280" t="n"/>
    </row>
    <row r="78" ht="20" customHeight="1" s="90">
      <c r="A78" s="285" t="inlineStr">
        <is>
          <t>Vehicle Cost</t>
        </is>
      </c>
      <c r="B78" s="376">
        <f>IF(OR(B72="",B72="None"),0,IF(B72="Custom",IF(ISNUMBER(B73),B73,0),IFERROR(VLOOKUP(B72,VehicleRates,2,FALSE),0)))</f>
        <v/>
      </c>
      <c r="C78" s="376">
        <f>IF(OR(C72="",C72="None"),0,IF(C72="Custom",IF(ISNUMBER(C73),C73,0),IFERROR(VLOOKUP(C72,VehicleRates,2,FALSE),0)))</f>
        <v/>
      </c>
      <c r="D78" s="376">
        <f>IF(OR(D72="",D72="None"),0,IF(D72="Custom",IF(ISNUMBER(D73),D73,0),IFERROR(VLOOKUP(D72,VehicleRates,2,FALSE),0)))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Blank'!C36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Blank'!B37="Yes",'Client Setup - Blank'!C37,0)</f>
        <v/>
      </c>
      <c r="D84" s="377">
        <f>IF('Client Setup - Blank'!B37="Yes",(E43+E46+E48+E49+E51+E52+E53)*'Client Setup - Blank'!C37,0)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D88">
    <cfRule type="expression" priority="1" dxfId="3">
      <formula>SEARCH("STRONG",D88)&gt;0</formula>
    </cfRule>
    <cfRule type="expression" priority="2" dxfId="4">
      <formula>SEARCH("TARGET",D88)&gt;0</formula>
    </cfRule>
    <cfRule type="expression" priority="3" dxfId="5">
      <formula>SEARCH("REVIEW",D88)&gt;0</formula>
    </cfRule>
    <cfRule type="expression" priority="4" dxfId="6">
      <formula>SEARCH("BELOW",D88)&gt;0</formula>
    </cfRule>
    <cfRule type="expression" priority="5" dxfId="5">
      <formula>SEARCH("THIN",D88)&gt;0</formula>
    </cfRule>
    <cfRule type="expression" priority="6" dxfId="6">
      <formula>SEARCH("LOSING",D88)&gt;0</formula>
    </cfRule>
  </conditionalFormatting>
  <conditionalFormatting sqref="D93">
    <cfRule type="expression" priority="7" dxfId="3">
      <formula>SEARCH("STRONG",D93)&gt;0</formula>
    </cfRule>
    <cfRule type="expression" priority="8" dxfId="4">
      <formula>SEARCH("TARGET",D93)&gt;0</formula>
    </cfRule>
    <cfRule type="expression" priority="9" dxfId="5">
      <formula>SEARCH("REVIEW",D93)&gt;0</formula>
    </cfRule>
    <cfRule type="expression" priority="10" dxfId="6">
      <formula>SEARCH("BELOW",D93)&gt;0</formula>
    </cfRule>
    <cfRule type="expression" priority="11" dxfId="5">
      <formula>SEARCH("THIN",D93)&gt;0</formula>
    </cfRule>
    <cfRule type="expression" priority="12" dxfId="6">
      <formula>SEARCH("LOSING",D93)&gt;0</formula>
    </cfRule>
  </conditionalFormatting>
  <dataValidations count="11">
    <dataValidation sqref="B8" showDropDown="0" showInputMessage="0" showErrorMessage="0" allowBlank="1" type="list">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DestinationList</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VehicleList</formula1>
    </dataValidation>
    <dataValidation sqref="C17" showDropDown="0" showInputMessage="0" showErrorMessage="0" allowBlank="1" type="list">
      <formula1>"20%,21.5%,None"</formula1>
    </dataValidation>
    <dataValidation sqref="C18" showDropDown="0" showInputMessage="0" showErrorMessage="0" allowBlank="1" type="list">
      <formula1>"20%,None"</formula1>
    </dataValidation>
    <dataValidation sqref="C19" showDropDown="0" showInputMessage="0" showErrorMessage="0"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92" t="n"/>
      <c r="C1" s="92" t="n"/>
      <c r="D1" s="92" t="n"/>
      <c r="E1" s="92" t="n"/>
      <c r="F1" s="92" t="n"/>
      <c r="G1" s="92" t="n"/>
      <c r="H1" s="93"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92" t="n"/>
      <c r="C2" s="92" t="n"/>
      <c r="D2" s="92" t="n"/>
      <c r="E2" s="92" t="n"/>
      <c r="F2" s="92" t="n"/>
      <c r="G2" s="92" t="n"/>
      <c r="H2" s="93"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92" t="n"/>
      <c r="C4" s="92" t="n"/>
      <c r="D4" s="92" t="n"/>
      <c r="E4" s="92" t="n"/>
      <c r="F4" s="92" t="n"/>
      <c r="G4" s="92" t="n"/>
      <c r="H4" s="93" t="n"/>
      <c r="I4" s="257" t="n"/>
      <c r="J4" s="254" t="inlineStr">
        <is>
          <t>DETAILED CLIENT VIEW</t>
        </is>
      </c>
      <c r="K4" s="93" t="n"/>
      <c r="L4" s="253" t="n"/>
      <c r="M4" s="254" t="inlineStr">
        <is>
          <t>SUMMARY VIEW</t>
        </is>
      </c>
      <c r="N4" s="93" t="n"/>
      <c r="O4" s="94" t="n"/>
      <c r="P4" s="94" t="n"/>
      <c r="Q4" s="94" t="n"/>
      <c r="R4" s="94" t="n"/>
      <c r="S4" s="94" t="n"/>
      <c r="T4" s="94" t="n"/>
      <c r="U4" s="94" t="n"/>
      <c r="V4" s="94" t="n"/>
      <c r="W4" s="94" t="n"/>
      <c r="X4" s="94" t="n"/>
      <c r="Y4" s="94" t="n"/>
      <c r="Z4" s="94" t="n"/>
    </row>
    <row r="5" ht="21.75" customHeight="1" s="90">
      <c r="A5" s="305" t="inlineStr">
        <is>
          <t>Client:</t>
        </is>
      </c>
      <c r="B5" s="313">
        <f>'Client Setup - Sample'!B5</f>
        <v/>
      </c>
      <c r="C5" s="93" t="n"/>
      <c r="D5" s="304" t="n"/>
      <c r="E5" s="304" t="n"/>
      <c r="F5" s="304" t="n"/>
      <c r="G5" s="304" t="n"/>
      <c r="H5" s="304" t="n"/>
      <c r="I5" s="253" t="n"/>
      <c r="J5" s="305" t="inlineStr">
        <is>
          <t>Itemized — each section is one Canva slide</t>
        </is>
      </c>
      <c r="K5" s="93" t="n"/>
      <c r="L5" s="253" t="n"/>
      <c r="M5" s="305" t="inlineStr">
        <is>
          <t>Category totals for client</t>
        </is>
      </c>
      <c r="N5" s="93" t="n"/>
      <c r="O5" s="94" t="n"/>
      <c r="P5" s="94" t="n"/>
      <c r="Q5" s="94" t="n"/>
      <c r="R5" s="94" t="n"/>
      <c r="S5" s="94" t="n"/>
      <c r="T5" s="94" t="n"/>
      <c r="U5" s="94" t="n"/>
      <c r="V5" s="94" t="n"/>
      <c r="W5" s="94" t="n"/>
      <c r="X5" s="94" t="n"/>
      <c r="Y5" s="94" t="n"/>
      <c r="Z5" s="94" t="n"/>
    </row>
    <row r="6" ht="21.75" customHeight="1" s="90">
      <c r="A6" s="305" t="inlineStr">
        <is>
          <t>Event Date:</t>
        </is>
      </c>
      <c r="B6" s="386">
        <f>'Client Setup - Sample'!B6</f>
        <v/>
      </c>
      <c r="C6" s="93"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Sample'!B7</f>
        <v/>
      </c>
      <c r="C7" s="93" t="n"/>
      <c r="D7" s="304" t="n"/>
      <c r="E7" s="304" t="n"/>
      <c r="F7" s="304" t="n"/>
      <c r="G7" s="304" t="n"/>
      <c r="H7" s="304" t="n"/>
      <c r="I7" s="253" t="n"/>
      <c r="J7" s="308" t="inlineStr">
        <is>
          <t>DECOR &amp; PRODUCTION ESTIMATE</t>
        </is>
      </c>
      <c r="K7" s="93" t="n"/>
      <c r="L7" s="253" t="n"/>
      <c r="M7" s="308" t="inlineStr">
        <is>
          <t>DECOR &amp; PRODUCTION ESTIMATE</t>
        </is>
      </c>
      <c r="N7" s="93" t="n"/>
      <c r="O7" s="94" t="n"/>
      <c r="P7" s="94" t="n"/>
      <c r="Q7" s="94" t="n"/>
      <c r="R7" s="94" t="n"/>
      <c r="S7" s="94" t="n"/>
      <c r="T7" s="94" t="n"/>
      <c r="U7" s="94" t="n"/>
      <c r="V7" s="94" t="n"/>
      <c r="W7" s="94" t="n"/>
      <c r="X7" s="94" t="n"/>
      <c r="Y7" s="94" t="n"/>
      <c r="Z7" s="94" t="n"/>
    </row>
    <row r="8" ht="21.75" customHeight="1" s="90">
      <c r="A8" s="305" t="inlineStr">
        <is>
          <t>Location:</t>
        </is>
      </c>
      <c r="B8" s="313">
        <f>'Client Setup - Sample'!B16</f>
        <v/>
      </c>
      <c r="C8" s="93" t="n"/>
      <c r="D8" s="304" t="n"/>
      <c r="E8" s="304" t="n"/>
      <c r="F8" s="304" t="n"/>
      <c r="G8" s="304" t="n"/>
      <c r="H8" s="304" t="n"/>
      <c r="I8" s="253" t="n"/>
      <c r="J8" s="311">
        <f>'Client Setup - Sample'!B5</f>
        <v/>
      </c>
      <c r="K8" s="312">
        <f>'Client Setup - Sample'!B7&amp;" Guests"</f>
        <v/>
      </c>
      <c r="L8" s="253" t="n"/>
      <c r="M8" s="311">
        <f>'Client Setup - Sample'!B5</f>
        <v/>
      </c>
      <c r="N8" s="312">
        <f>'Client Setup - Sample'!B7&amp;" Guests"</f>
        <v/>
      </c>
      <c r="O8" s="94" t="n"/>
      <c r="P8" s="94" t="n"/>
      <c r="Q8" s="94" t="n"/>
      <c r="R8" s="94" t="n"/>
      <c r="S8" s="94" t="n"/>
      <c r="T8" s="94" t="n"/>
      <c r="U8" s="94" t="n"/>
      <c r="V8" s="94" t="n"/>
      <c r="W8" s="94" t="n"/>
      <c r="X8" s="94" t="n"/>
      <c r="Y8" s="94" t="n"/>
      <c r="Z8" s="94" t="n"/>
    </row>
    <row r="9" ht="21.75" customHeight="1" s="90">
      <c r="A9" s="305" t="inlineStr">
        <is>
          <t>Venue:</t>
        </is>
      </c>
      <c r="B9" s="302" t="inlineStr">
        <is>
          <t>101 Constitution Ave NW, Washington DC</t>
        </is>
      </c>
      <c r="C9" s="244" t="n"/>
      <c r="D9" s="304" t="n"/>
      <c r="E9" s="387" t="inlineStr">
        <is>
          <t>Event Time:</t>
        </is>
      </c>
      <c r="F9" s="388">
        <f>'Client Setup - Sample'!B10</f>
        <v/>
      </c>
      <c r="G9" s="304" t="n"/>
      <c r="H9" s="304" t="n"/>
      <c r="I9" s="253" t="n"/>
      <c r="J9" s="314">
        <f>TEXT('Client Setup - Sample'!B6,"MMMM D, YYYY")</f>
        <v/>
      </c>
      <c r="K9" s="304" t="n"/>
      <c r="L9" s="253" t="n"/>
      <c r="M9" s="314">
        <f>TEXT('Client Setup - Sample'!B6,"MMMM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Sample'!B11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Sample'!B12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Sample'!B13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421" t="inlineStr">
        <is>
          <t>ITEM</t>
        </is>
      </c>
      <c r="K14" s="422"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inlineStr">
        <is>
          <t>4ft Table Florals</t>
        </is>
      </c>
      <c r="B16" s="391" t="inlineStr">
        <is>
          <t>Flowers at 38</t>
        </is>
      </c>
      <c r="C16" s="350" t="n">
        <v>14</v>
      </c>
      <c r="D16" s="334" t="n">
        <v>90</v>
      </c>
      <c r="E16" s="335">
        <f>C16*D16</f>
        <v/>
      </c>
      <c r="F16" s="335">
        <f>IFERROR(E16*(1+VLOOKUP(I16,CategoryTable,2,FALSE)),0)</f>
        <v/>
      </c>
      <c r="G16" s="336">
        <f>'Client Setup - Sample'!B19</f>
        <v/>
      </c>
      <c r="H16" s="392" t="inlineStr">
        <is>
          <t>Trio gold bud vases, cherry blossom, ranunculus, astilbe + 2 votives</t>
        </is>
      </c>
      <c r="I16" s="351" t="inlineStr">
        <is>
          <t>Décor &amp; Design</t>
        </is>
      </c>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inlineStr">
        <is>
          <t>Cocktail Table Florals</t>
        </is>
      </c>
      <c r="B17" s="394" t="inlineStr">
        <is>
          <t>Flowers at 38</t>
        </is>
      </c>
      <c r="C17" s="354" t="n">
        <v>14</v>
      </c>
      <c r="D17" s="343" t="n">
        <v>31</v>
      </c>
      <c r="E17" s="344">
        <f>C17*D17</f>
        <v/>
      </c>
      <c r="F17" s="344">
        <f>IFERROR(E17*(1+VLOOKUP(I17,CategoryTable,2,FALSE)),0)</f>
        <v/>
      </c>
      <c r="G17" s="345">
        <f>'Client Setup - Sample'!B19</f>
        <v/>
      </c>
      <c r="H17" s="395" t="inlineStr">
        <is>
          <t>Single bud vase + single ribbed votive</t>
        </is>
      </c>
      <c r="I17" s="355" t="inlineStr">
        <is>
          <t>Décor &amp; Design</t>
        </is>
      </c>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inlineStr">
        <is>
          <t>Side Table Florals</t>
        </is>
      </c>
      <c r="B18" s="391" t="inlineStr">
        <is>
          <t>Flowers at 38</t>
        </is>
      </c>
      <c r="C18" s="350" t="n">
        <v>2</v>
      </c>
      <c r="D18" s="334" t="n">
        <v>96</v>
      </c>
      <c r="E18" s="335">
        <f>C18*D18</f>
        <v/>
      </c>
      <c r="F18" s="335">
        <f>IFERROR(E18*(1+VLOOKUP(I18,CategoryTable,2,FALSE)),0)</f>
        <v/>
      </c>
      <c r="G18" s="336">
        <f>'Client Setup - Sample'!B19</f>
        <v/>
      </c>
      <c r="H18" s="392" t="inlineStr">
        <is>
          <t>Trio gold bud vases, cherry blossom, ranunculus, astilbe + 4 votives</t>
        </is>
      </c>
      <c r="I18" s="351" t="inlineStr">
        <is>
          <t>Décor &amp; Design</t>
        </is>
      </c>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IFERROR(E19*(1+VLOOKUP(I19,CategoryTable,2,FALSE)),0)</f>
        <v/>
      </c>
      <c r="G19" s="345">
        <f>'Client Setup - Sample'!B19</f>
        <v/>
      </c>
      <c r="H19" s="395" t="n"/>
      <c r="I19" s="355" t="inlineStr">
        <is>
          <t>Décor &amp; Design</t>
        </is>
      </c>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IFERROR(E20*(1+VLOOKUP(I20,CategoryTable,2,FALSE)),0)</f>
        <v/>
      </c>
      <c r="G20" s="336">
        <f>'Client Setup - Sample'!B19</f>
        <v/>
      </c>
      <c r="H20" s="392" t="n"/>
      <c r="I20" s="351" t="inlineStr">
        <is>
          <t>Décor &amp; Design</t>
        </is>
      </c>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IFERROR(E21*(1+VLOOKUP(I21,CategoryTable,2,FALSE)),0)</f>
        <v/>
      </c>
      <c r="G21" s="345">
        <f>'Client Setup - Sample'!B19</f>
        <v/>
      </c>
      <c r="H21" s="395" t="n"/>
      <c r="I21" s="355" t="inlineStr">
        <is>
          <t>Décor &amp; Design</t>
        </is>
      </c>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IFERROR(E22*(1+VLOOKUP(I22,CategoryTable,2,FALSE)),0)</f>
        <v/>
      </c>
      <c r="G22" s="336">
        <f>'Client Setup - Sample'!B19</f>
        <v/>
      </c>
      <c r="H22" s="392" t="n"/>
      <c r="I22" s="351" t="inlineStr">
        <is>
          <t>Décor &amp; Design</t>
        </is>
      </c>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IFERROR(E23*(1+VLOOKUP(I23,CategoryTable,2,FALSE)),0)</f>
        <v/>
      </c>
      <c r="G23" s="345">
        <f>'Client Setup - Sample'!B19</f>
        <v/>
      </c>
      <c r="H23" s="395" t="n"/>
      <c r="I23" s="355" t="inlineStr">
        <is>
          <t>Décor &amp; Design</t>
        </is>
      </c>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IFERROR(E24*(1+VLOOKUP(I24,CategoryTable,2,FALSE)),0)</f>
        <v/>
      </c>
      <c r="G24" s="336">
        <f>'Client Setup - Sample'!B19</f>
        <v/>
      </c>
      <c r="H24" s="392" t="n"/>
      <c r="I24" s="351" t="inlineStr">
        <is>
          <t>Décor &amp; Design</t>
        </is>
      </c>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IFERROR(E25*(1+VLOOKUP(I25,CategoryTable,2,FALSE)),0)</f>
        <v/>
      </c>
      <c r="G25" s="345">
        <f>'Client Setup - Sample'!B19</f>
        <v/>
      </c>
      <c r="H25" s="395" t="n"/>
      <c r="I25" s="355" t="inlineStr">
        <is>
          <t>Décor &amp; Design</t>
        </is>
      </c>
      <c r="J25" s="321">
        <f>IF(A25="","",A25&amp;" x"&amp;C25)</f>
        <v/>
      </c>
      <c r="K25" s="322">
        <f>IF(A25="","",ROUNDUP(F25/10,0)*10)</f>
        <v/>
      </c>
      <c r="L25" s="253" t="n"/>
      <c r="M25" s="338" t="inlineStr">
        <is>
          <t>Guest Count</t>
        </is>
      </c>
      <c r="N25" s="339">
        <f>'Client Setup - Sample'!B7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inlineStr">
        <is>
          <t>Delivery/Setup &amp; Strike</t>
        </is>
      </c>
      <c r="B27" s="391" t="inlineStr">
        <is>
          <t>Flowers at 38</t>
        </is>
      </c>
      <c r="C27" s="398" t="n"/>
      <c r="D27" s="334" t="n">
        <v>188.6</v>
      </c>
      <c r="E27" s="335">
        <f>D27</f>
        <v/>
      </c>
      <c r="F27" s="335">
        <f>IFERROR(E27*(1+VLOOKUP(I27,CategoryTable,2,FALSE)),0)</f>
        <v/>
      </c>
      <c r="G27" s="336" t="n">
        <v>0</v>
      </c>
      <c r="H27" s="392" t="inlineStr">
        <is>
          <t>Tax exempt on vendor invoice — resale on file</t>
        </is>
      </c>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IFERROR(E28*(1+VLOOKUP(I28,CategoryTable,2,FALSE)),0)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IFERROR(E29*(1+VLOOKUP(I29,CategoryTable,2,FALSE)),0)</f>
        <v/>
      </c>
      <c r="G29" s="336" t="n">
        <v>0</v>
      </c>
      <c r="H29" s="392" t="n"/>
      <c r="I29" s="351" t="inlineStr">
        <is>
          <t>Delivery &amp; Logistics</t>
        </is>
      </c>
      <c r="J29" s="423" t="inlineStr">
        <is>
          <t>Floral Subtotal</t>
        </is>
      </c>
      <c r="K29" s="424">
        <f>SUM(K16:K28)</f>
        <v/>
      </c>
      <c r="L29" s="253" t="n"/>
      <c r="M29" s="352" t="inlineStr">
        <is>
          <t>Floral Vendor:</t>
        </is>
      </c>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inlineStr">
        <is>
          <t>Rental Vendor(s):</t>
        </is>
      </c>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inlineStr">
        <is>
          <t>AV Vendor:</t>
        </is>
      </c>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inlineStr">
        <is>
          <t>Paris Oval Back Chair</t>
        </is>
      </c>
      <c r="B35" s="391" t="inlineStr">
        <is>
          <t>White Glove</t>
        </is>
      </c>
      <c r="C35" s="350" t="n">
        <v>84</v>
      </c>
      <c r="D35" s="334" t="n">
        <v>21</v>
      </c>
      <c r="E35" s="335">
        <f>C35*D35</f>
        <v/>
      </c>
      <c r="F35" s="335">
        <f>IFERROR(E35*(1+VLOOKUP(I35,CategoryTable,2,FALSE)),0)</f>
        <v/>
      </c>
      <c r="G35" s="336">
        <f>'Client Setup - Sample'!B19</f>
        <v/>
      </c>
      <c r="H35" s="392" t="n"/>
      <c r="I35" s="351" t="inlineStr">
        <is>
          <t>Décor &amp; Design</t>
        </is>
      </c>
      <c r="J35" s="321">
        <f>IF(A38="","",A38&amp;" x"&amp;C38)</f>
        <v/>
      </c>
      <c r="K35" s="322">
        <f>IF(A38="","",ROUNDUP(F38/10,0)*10)</f>
        <v/>
      </c>
      <c r="L35" s="253" t="n"/>
      <c r="M35" s="352" t="inlineStr">
        <is>
          <t>Design Concept:</t>
        </is>
      </c>
      <c r="N35" s="324" t="n"/>
      <c r="O35" s="94" t="n"/>
      <c r="P35" s="94" t="n"/>
      <c r="Q35" s="94" t="n"/>
      <c r="R35" s="94" t="n"/>
      <c r="S35" s="94" t="n"/>
      <c r="T35" s="94" t="n"/>
      <c r="U35" s="94" t="n"/>
      <c r="V35" s="94" t="n"/>
      <c r="W35" s="94" t="n"/>
      <c r="X35" s="94" t="n"/>
      <c r="Y35" s="94" t="n"/>
      <c r="Z35" s="94" t="n"/>
    </row>
    <row r="36" ht="20" customHeight="1" s="90">
      <c r="A36" s="393" t="inlineStr">
        <is>
          <t>Ritz Mauve Circular Banquette</t>
        </is>
      </c>
      <c r="B36" s="394" t="inlineStr">
        <is>
          <t>White Glove</t>
        </is>
      </c>
      <c r="C36" s="354" t="n">
        <v>2</v>
      </c>
      <c r="D36" s="343" t="n">
        <v>395</v>
      </c>
      <c r="E36" s="344">
        <f>C36*D36</f>
        <v/>
      </c>
      <c r="F36" s="344">
        <f>IFERROR(E36*(1+VLOOKUP(I36,CategoryTable,2,FALSE)),0)</f>
        <v/>
      </c>
      <c r="G36" s="345">
        <f>'Client Setup - Sample'!B19</f>
        <v/>
      </c>
      <c r="H36" s="395" t="n"/>
      <c r="I36" s="355" t="inlineStr">
        <is>
          <t>Décor &amp; Design</t>
        </is>
      </c>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IFERROR(E37*(1+VLOOKUP(I37,CategoryTable,2,FALSE)),0)</f>
        <v/>
      </c>
      <c r="G37" s="336">
        <f>'Client Setup - Sample'!B19</f>
        <v/>
      </c>
      <c r="H37" s="392" t="n"/>
      <c r="I37" s="351" t="inlineStr">
        <is>
          <t>Décor &amp; Design</t>
        </is>
      </c>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IFERROR(E38*(1+VLOOKUP(I38,CategoryTable,2,FALSE)),0)</f>
        <v/>
      </c>
      <c r="G38" s="345">
        <f>'Client Setup - Sample'!B19</f>
        <v/>
      </c>
      <c r="H38" s="395" t="n"/>
      <c r="I38" s="355" t="inlineStr">
        <is>
          <t>Décor &amp; Design</t>
        </is>
      </c>
      <c r="J38" s="321">
        <f>IF(A41="","",A41&amp;" x"&amp;C41)</f>
        <v/>
      </c>
      <c r="K38" s="322">
        <f>IF(A41="","",ROUNDUP(F41/10,0)*10)</f>
        <v/>
      </c>
      <c r="L38" s="253" t="n"/>
      <c r="M38" s="352" t="inlineStr">
        <is>
          <t>Logistics:</t>
        </is>
      </c>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IFERROR(E39*(1+VLOOKUP(I39,CategoryTable,2,FALSE)),0)</f>
        <v/>
      </c>
      <c r="G39" s="336">
        <f>'Client Setup - Sample'!B19</f>
        <v/>
      </c>
      <c r="H39" s="392" t="n"/>
      <c r="I39" s="351" t="inlineStr">
        <is>
          <t>Décor &amp; Design</t>
        </is>
      </c>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IFERROR(E40*(1+VLOOKUP(I40,CategoryTable,2,FALSE)),0)</f>
        <v/>
      </c>
      <c r="G40" s="345">
        <f>'Client Setup - Sample'!B19</f>
        <v/>
      </c>
      <c r="H40" s="395" t="n"/>
      <c r="I40" s="355" t="inlineStr">
        <is>
          <t>Décor &amp; Design</t>
        </is>
      </c>
      <c r="J40" s="321">
        <f>IF(A44="","",A44&amp;" x"&amp;C44)</f>
        <v/>
      </c>
      <c r="K40" s="322">
        <f>IF(A44="","",ROUNDUP(F44/10,0)*10)</f>
        <v/>
      </c>
      <c r="L40" s="253" t="n"/>
      <c r="M40" s="352" t="inlineStr">
        <is>
          <t>Additional Notes:</t>
        </is>
      </c>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IFERROR(E41*(1+VLOOKUP(I41,CategoryTable,2,FALSE)),0)</f>
        <v/>
      </c>
      <c r="G41" s="336">
        <f>'Client Setup - Sample'!B19</f>
        <v/>
      </c>
      <c r="H41" s="392" t="n"/>
      <c r="I41" s="351" t="inlineStr">
        <is>
          <t>Décor &amp; Design</t>
        </is>
      </c>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IFERROR(E42*(1+VLOOKUP(I42,CategoryTable,2,FALSE)),0)</f>
        <v/>
      </c>
      <c r="G42" s="345">
        <f>'Client Setup - Sample'!B19</f>
        <v/>
      </c>
      <c r="H42" s="395" t="n"/>
      <c r="I42" s="355" t="inlineStr">
        <is>
          <t>Décor &amp; Design</t>
        </is>
      </c>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inlineStr">
        <is>
          <t>Gillian Club Chair</t>
        </is>
      </c>
      <c r="B44" s="391" t="inlineStr">
        <is>
          <t>White Glove</t>
        </is>
      </c>
      <c r="C44" s="350" t="n">
        <v>4</v>
      </c>
      <c r="D44" s="334" t="n">
        <v>165</v>
      </c>
      <c r="E44" s="335">
        <f>C44*D44</f>
        <v/>
      </c>
      <c r="F44" s="335">
        <f>IFERROR(E44*(1+VLOOKUP(I44,CategoryTable,2,FALSE)),0)</f>
        <v/>
      </c>
      <c r="G44" s="336">
        <f>'Client Setup - Sample'!B19</f>
        <v/>
      </c>
      <c r="H44" s="392" t="n"/>
      <c r="I44" s="351" t="inlineStr">
        <is>
          <t>Décor &amp; Design</t>
        </is>
      </c>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inlineStr">
        <is>
          <t>Drift LEFT ARM Section</t>
        </is>
      </c>
      <c r="B45" s="394" t="inlineStr">
        <is>
          <t>White Glove</t>
        </is>
      </c>
      <c r="C45" s="354" t="n">
        <v>2</v>
      </c>
      <c r="D45" s="343" t="n">
        <v>237.5</v>
      </c>
      <c r="E45" s="344">
        <f>C45*D45</f>
        <v/>
      </c>
      <c r="F45" s="344">
        <f>IFERROR(E45*(1+VLOOKUP(I45,CategoryTable,2,FALSE)),0)</f>
        <v/>
      </c>
      <c r="G45" s="345">
        <f>'Client Setup - Sample'!B19</f>
        <v/>
      </c>
      <c r="H45" s="395" t="inlineStr">
        <is>
          <t>Creating (2) 3-piece sectionals</t>
        </is>
      </c>
      <c r="I45" s="355" t="inlineStr">
        <is>
          <t>Décor &amp; Design</t>
        </is>
      </c>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inlineStr">
        <is>
          <t>Drift CENTER Section</t>
        </is>
      </c>
      <c r="B46" s="391" t="inlineStr">
        <is>
          <t>White Glove</t>
        </is>
      </c>
      <c r="C46" s="350" t="n">
        <v>2</v>
      </c>
      <c r="D46" s="334" t="n">
        <v>237.5</v>
      </c>
      <c r="E46" s="335">
        <f>C46*D46</f>
        <v/>
      </c>
      <c r="F46" s="335">
        <f>IFERROR(E46*(1+VLOOKUP(I46,CategoryTable,2,FALSE)),0)</f>
        <v/>
      </c>
      <c r="G46" s="336">
        <f>'Client Setup - Sample'!B19</f>
        <v/>
      </c>
      <c r="H46" s="392" t="inlineStr">
        <is>
          <t>Creating (2) 3-piece sectionals</t>
        </is>
      </c>
      <c r="I46" s="351" t="inlineStr">
        <is>
          <t>Décor &amp; Design</t>
        </is>
      </c>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inlineStr">
        <is>
          <t>Drift RIGHT ARM Section</t>
        </is>
      </c>
      <c r="B47" s="394" t="inlineStr">
        <is>
          <t>White Glove</t>
        </is>
      </c>
      <c r="C47" s="354" t="n">
        <v>2</v>
      </c>
      <c r="D47" s="343" t="n">
        <v>237.5</v>
      </c>
      <c r="E47" s="344">
        <f>C47*D47</f>
        <v/>
      </c>
      <c r="F47" s="344">
        <f>IFERROR(E47*(1+VLOOKUP(I47,CategoryTable,2,FALSE)),0)</f>
        <v/>
      </c>
      <c r="G47" s="345">
        <f>'Client Setup - Sample'!B19</f>
        <v/>
      </c>
      <c r="H47" s="395" t="inlineStr">
        <is>
          <t>Creating (2) 3-piece sectionals</t>
        </is>
      </c>
      <c r="I47" s="355" t="inlineStr">
        <is>
          <t>Décor &amp; Design</t>
        </is>
      </c>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IFERROR(E48*(1+VLOOKUP(I48,CategoryTable,2,FALSE)),0)</f>
        <v/>
      </c>
      <c r="G48" s="336">
        <f>'Client Setup - Sample'!B19</f>
        <v/>
      </c>
      <c r="H48" s="392" t="n"/>
      <c r="I48" s="351" t="inlineStr">
        <is>
          <t>Décor &amp; Design</t>
        </is>
      </c>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IFERROR(E49*(1+VLOOKUP(I49,CategoryTable,2,FALSE)),0)</f>
        <v/>
      </c>
      <c r="G49" s="345">
        <f>'Client Setup - Sample'!B19</f>
        <v/>
      </c>
      <c r="H49" s="395" t="n"/>
      <c r="I49" s="355" t="inlineStr">
        <is>
          <t>Décor &amp; Design</t>
        </is>
      </c>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IFERROR(E50*(1+VLOOKUP(I50,CategoryTable,2,FALSE)),0)</f>
        <v/>
      </c>
      <c r="G50" s="336">
        <f>'Client Setup - Sample'!B19</f>
        <v/>
      </c>
      <c r="H50" s="392" t="n"/>
      <c r="I50" s="351" t="inlineStr">
        <is>
          <t>Décor &amp; Design</t>
        </is>
      </c>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IFERROR(E51*(1+VLOOKUP(I51,CategoryTable,2,FALSE)),0)</f>
        <v/>
      </c>
      <c r="G51" s="345">
        <f>'Client Setup - Sample'!B19</f>
        <v/>
      </c>
      <c r="H51" s="395" t="n"/>
      <c r="I51" s="355" t="inlineStr">
        <is>
          <t>Décor &amp; Design</t>
        </is>
      </c>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inlineStr">
        <is>
          <t>Branch &amp; Root Side Table</t>
        </is>
      </c>
      <c r="B53" s="391" t="inlineStr">
        <is>
          <t>White Glove</t>
        </is>
      </c>
      <c r="C53" s="350" t="n">
        <v>4</v>
      </c>
      <c r="D53" s="334" t="n">
        <v>69</v>
      </c>
      <c r="E53" s="335">
        <f>C53*D53</f>
        <v/>
      </c>
      <c r="F53" s="335">
        <f>IFERROR(E53*(1+VLOOKUP(I53,CategoryTable,2,FALSE)),0)</f>
        <v/>
      </c>
      <c r="G53" s="336">
        <f>'Client Setup - Sample'!B19</f>
        <v/>
      </c>
      <c r="H53" s="392" t="n"/>
      <c r="I53" s="351" t="inlineStr">
        <is>
          <t>Décor &amp; Design</t>
        </is>
      </c>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inlineStr">
        <is>
          <t>Belmont Coffee Table</t>
        </is>
      </c>
      <c r="B54" s="394" t="inlineStr">
        <is>
          <t>White Glove</t>
        </is>
      </c>
      <c r="C54" s="354" t="n">
        <v>2</v>
      </c>
      <c r="D54" s="343" t="n">
        <v>129</v>
      </c>
      <c r="E54" s="344">
        <f>C54*D54</f>
        <v/>
      </c>
      <c r="F54" s="344">
        <f>IFERROR(E54*(1+VLOOKUP(I54,CategoryTable,2,FALSE)),0)</f>
        <v/>
      </c>
      <c r="G54" s="345">
        <f>'Client Setup - Sample'!B19</f>
        <v/>
      </c>
      <c r="H54" s="395" t="n"/>
      <c r="I54" s="355" t="inlineStr">
        <is>
          <t>Décor &amp; Design</t>
        </is>
      </c>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inlineStr">
        <is>
          <t>Talia Cocktail Table</t>
        </is>
      </c>
      <c r="B55" s="391" t="inlineStr">
        <is>
          <t>White Glove</t>
        </is>
      </c>
      <c r="C55" s="350" t="n">
        <v>14</v>
      </c>
      <c r="D55" s="334" t="n">
        <v>129</v>
      </c>
      <c r="E55" s="335">
        <f>C55*D55</f>
        <v/>
      </c>
      <c r="F55" s="335">
        <f>IFERROR(E55*(1+VLOOKUP(I55,CategoryTable,2,FALSE)),0)</f>
        <v/>
      </c>
      <c r="G55" s="336">
        <f>'Client Setup - Sample'!B19</f>
        <v/>
      </c>
      <c r="H55" s="392" t="n"/>
      <c r="I55" s="351" t="inlineStr">
        <is>
          <t>Décor &amp; Design</t>
        </is>
      </c>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IFERROR(E56*(1+VLOOKUP(I56,CategoryTable,2,FALSE)),0)</f>
        <v/>
      </c>
      <c r="G56" s="345">
        <f>'Client Setup - Sample'!B19</f>
        <v/>
      </c>
      <c r="H56" s="395" t="n"/>
      <c r="I56" s="355" t="inlineStr">
        <is>
          <t>Décor &amp; Design</t>
        </is>
      </c>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IFERROR(E57*(1+VLOOKUP(I57,CategoryTable,2,FALSE)),0)</f>
        <v/>
      </c>
      <c r="G57" s="336">
        <f>'Client Setup - Sample'!B19</f>
        <v/>
      </c>
      <c r="H57" s="392" t="n"/>
      <c r="I57" s="351" t="inlineStr">
        <is>
          <t>Décor &amp; Design</t>
        </is>
      </c>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IFERROR(E58*(1+VLOOKUP(I58,CategoryTable,2,FALSE)),0)</f>
        <v/>
      </c>
      <c r="G58" s="345">
        <f>'Client Setup - Sample'!B19</f>
        <v/>
      </c>
      <c r="H58" s="395" t="n"/>
      <c r="I58" s="355" t="inlineStr">
        <is>
          <t>Décor &amp; Design</t>
        </is>
      </c>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IFERROR(E59*(1+VLOOKUP(I59,CategoryTable,2,FALSE)),0)</f>
        <v/>
      </c>
      <c r="G59" s="336">
        <f>'Client Setup - Sample'!B19</f>
        <v/>
      </c>
      <c r="H59" s="392" t="n"/>
      <c r="I59" s="351" t="inlineStr">
        <is>
          <t>Décor &amp; Design</t>
        </is>
      </c>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IFERROR(E60*(1+VLOOKUP(I60,CategoryTable,2,FALSE)),0)</f>
        <v/>
      </c>
      <c r="G60" s="345">
        <f>'Client Setup - Sample'!B19</f>
        <v/>
      </c>
      <c r="H60" s="395" t="n"/>
      <c r="I60" s="355" t="inlineStr">
        <is>
          <t>Décor &amp; Design</t>
        </is>
      </c>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inlineStr">
        <is>
          <t>Edith Pink Medallion Rug (5x8)</t>
        </is>
      </c>
      <c r="B62" s="391" t="inlineStr">
        <is>
          <t>White Glove</t>
        </is>
      </c>
      <c r="C62" s="350" t="n">
        <v>2</v>
      </c>
      <c r="D62" s="334" t="n">
        <v>69</v>
      </c>
      <c r="E62" s="335">
        <f>C62*D62</f>
        <v/>
      </c>
      <c r="F62" s="335">
        <f>IFERROR(E62*(1+VLOOKUP(I62,CategoryTable,2,FALSE)),0)</f>
        <v/>
      </c>
      <c r="G62" s="336">
        <f>'Client Setup - Sample'!B19</f>
        <v/>
      </c>
      <c r="H62" s="392" t="n"/>
      <c r="I62" s="351" t="inlineStr">
        <is>
          <t>Décor &amp; Design</t>
        </is>
      </c>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inlineStr">
        <is>
          <t>11ft Grand Arch Cherry Blossom Tree</t>
        </is>
      </c>
      <c r="B63" s="394" t="inlineStr">
        <is>
          <t>Dalissa Events</t>
        </is>
      </c>
      <c r="C63" s="354" t="n">
        <v>2</v>
      </c>
      <c r="D63" s="343" t="n">
        <v>450</v>
      </c>
      <c r="E63" s="344">
        <f>C63*D63</f>
        <v/>
      </c>
      <c r="F63" s="344">
        <f>IFERROR(E63*(1+VLOOKUP(I63,CategoryTable,2,FALSE)),0)</f>
        <v/>
      </c>
      <c r="G63" s="345">
        <f>'Client Setup - Sample'!B19</f>
        <v/>
      </c>
      <c r="H63" s="395" t="inlineStr">
        <is>
          <t>Blush/Light Pink, 11ft H x 8ft W</t>
        </is>
      </c>
      <c r="I63" s="355" t="inlineStr">
        <is>
          <t>Décor &amp; Design</t>
        </is>
      </c>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inlineStr">
        <is>
          <t>Canopy Weight (2lb)</t>
        </is>
      </c>
      <c r="B64" s="391" t="inlineStr">
        <is>
          <t>Dalissa Events</t>
        </is>
      </c>
      <c r="C64" s="350" t="n">
        <v>12</v>
      </c>
      <c r="D64" s="334" t="n">
        <v>0</v>
      </c>
      <c r="E64" s="335">
        <f>C64*D64</f>
        <v/>
      </c>
      <c r="F64" s="335">
        <f>IFERROR(E64*(1+VLOOKUP(I64,CategoryTable,2,FALSE)),0)</f>
        <v/>
      </c>
      <c r="G64" s="336">
        <f>'Client Setup - Sample'!B19</f>
        <v/>
      </c>
      <c r="H64" s="392" t="inlineStr">
        <is>
          <t>Included with trees</t>
        </is>
      </c>
      <c r="I64" s="351" t="inlineStr">
        <is>
          <t>Décor &amp; Design</t>
        </is>
      </c>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IFERROR(E65*(1+VLOOKUP(I65,CategoryTable,2,FALSE)),0)</f>
        <v/>
      </c>
      <c r="G65" s="345">
        <f>'Client Setup - Sample'!B19</f>
        <v/>
      </c>
      <c r="H65" s="395" t="n"/>
      <c r="I65" s="355" t="inlineStr">
        <is>
          <t>Décor &amp; Design</t>
        </is>
      </c>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IFERROR(E66*(1+VLOOKUP(I66,CategoryTable,2,FALSE)),0)</f>
        <v/>
      </c>
      <c r="G66" s="336">
        <f>'Client Setup - Sample'!B19</f>
        <v/>
      </c>
      <c r="H66" s="392" t="n"/>
      <c r="I66" s="351" t="inlineStr">
        <is>
          <t>Décor &amp; Design</t>
        </is>
      </c>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IFERROR(E67*(1+VLOOKUP(I67,CategoryTable,2,FALSE)),0)</f>
        <v/>
      </c>
      <c r="G67" s="345">
        <f>'Client Setup - Sample'!B19</f>
        <v/>
      </c>
      <c r="H67" s="395" t="n"/>
      <c r="I67" s="355" t="inlineStr">
        <is>
          <t>Décor &amp; Design</t>
        </is>
      </c>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423" t="inlineStr">
        <is>
          <t>Rentals &amp; Lounge Subtotal</t>
        </is>
      </c>
      <c r="K68" s="424">
        <f>SUM(K32:K67)</f>
        <v/>
      </c>
      <c r="L68" s="253" t="n"/>
      <c r="M68" s="253" t="n"/>
      <c r="N68" s="253" t="n"/>
      <c r="O68" s="94" t="n"/>
      <c r="P68" s="94" t="n"/>
      <c r="Q68" s="94" t="n"/>
      <c r="R68" s="94" t="n"/>
      <c r="S68" s="94" t="n"/>
      <c r="T68" s="94" t="n"/>
      <c r="U68" s="94" t="n"/>
      <c r="V68" s="94" t="n"/>
      <c r="W68" s="94" t="n"/>
      <c r="X68" s="94" t="n"/>
      <c r="Y68" s="94" t="n"/>
      <c r="Z68" s="94" t="n"/>
    </row>
    <row r="69" ht="20" customHeight="1" s="90">
      <c r="A69" s="390" t="inlineStr">
        <is>
          <t>Delivery / Pickup</t>
        </is>
      </c>
      <c r="B69" s="391" t="inlineStr">
        <is>
          <t>White Glove</t>
        </is>
      </c>
      <c r="C69" s="398" t="n"/>
      <c r="D69" s="334" t="n">
        <v>1636.91</v>
      </c>
      <c r="E69" s="335">
        <f>D69</f>
        <v/>
      </c>
      <c r="F69" s="335">
        <f>IFERROR(E69*(1+VLOOKUP(I69,CategoryTable,2,FALSE)),0)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inlineStr">
        <is>
          <t>Damage Waiver</t>
        </is>
      </c>
      <c r="B70" s="394" t="inlineStr">
        <is>
          <t>White Glove</t>
        </is>
      </c>
      <c r="C70" s="399" t="n"/>
      <c r="D70" s="343" t="n">
        <v>793.54</v>
      </c>
      <c r="E70" s="344">
        <f>D70</f>
        <v/>
      </c>
      <c r="F70" s="344">
        <f>IFERROR(E70*(1+VLOOKUP(I70,CategoryTable,2,FALSE)),0)</f>
        <v/>
      </c>
      <c r="G70" s="345" t="n">
        <v>0</v>
      </c>
      <c r="H70" s="395" t="inlineStr">
        <is>
          <t>11% damage waiver — not taxed</t>
        </is>
      </c>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inlineStr">
        <is>
          <t>Chair Pull / Placement</t>
        </is>
      </c>
      <c r="B71" s="391" t="inlineStr">
        <is>
          <t>White Glove</t>
        </is>
      </c>
      <c r="C71" s="398" t="n"/>
      <c r="D71" s="334" t="n">
        <v>84</v>
      </c>
      <c r="E71" s="335">
        <f>D71</f>
        <v/>
      </c>
      <c r="F71" s="335">
        <f>IFERROR(E71*(1+VLOOKUP(I71,CategoryTable,2,FALSE)),0)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inlineStr">
        <is>
          <t>Chair Placement</t>
        </is>
      </c>
      <c r="B72" s="394" t="inlineStr">
        <is>
          <t>White Glove</t>
        </is>
      </c>
      <c r="C72" s="399" t="n"/>
      <c r="D72" s="343" t="n">
        <v>84</v>
      </c>
      <c r="E72" s="344">
        <f>D72</f>
        <v/>
      </c>
      <c r="F72" s="344">
        <f>IFERROR(E72*(1+VLOOKUP(I72,CategoryTable,2,FALSE)),0)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inlineStr">
        <is>
          <t>Damage Waiver</t>
        </is>
      </c>
      <c r="B73" s="391" t="inlineStr">
        <is>
          <t>Dalissa Events</t>
        </is>
      </c>
      <c r="C73" s="398" t="n"/>
      <c r="D73" s="334" t="n">
        <v>91.84</v>
      </c>
      <c r="E73" s="335">
        <f>D73</f>
        <v/>
      </c>
      <c r="F73" s="335">
        <f>IFERROR(E73*(1+VLOOKUP(I73,CategoryTable,2,FALSE)),0)</f>
        <v/>
      </c>
      <c r="G73" s="336" t="n">
        <v>0</v>
      </c>
      <c r="H73" s="392" t="inlineStr">
        <is>
          <t>Unintentional damage waiver</t>
        </is>
      </c>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inlineStr">
        <is>
          <t>Delivery &amp; Pickup</t>
        </is>
      </c>
      <c r="B74" s="394" t="inlineStr">
        <is>
          <t>Dalissa Events</t>
        </is>
      </c>
      <c r="C74" s="399" t="n"/>
      <c r="D74" s="343" t="n">
        <v>248.02</v>
      </c>
      <c r="E74" s="344">
        <f>D74</f>
        <v/>
      </c>
      <c r="F74" s="344">
        <f>IFERROR(E74*(1+VLOOKUP(I74,CategoryTable,2,FALSE)),0)</f>
        <v/>
      </c>
      <c r="G74" s="345" t="n">
        <v>0</v>
      </c>
      <c r="H74" s="395" t="inlineStr">
        <is>
          <t>Drop-off $124.01 + Pickup $124.01</t>
        </is>
      </c>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IFERROR(E80*(1+VLOOKUP(I80,CategoryTable,2,FALSE)),0)</f>
        <v/>
      </c>
      <c r="G80" s="336">
        <f>'Client Setup - Sample'!B19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IFERROR(E81*(1+VLOOKUP(I81,CategoryTable,2,FALSE)),0)</f>
        <v/>
      </c>
      <c r="G81" s="345">
        <f>'Client Setup - Sample'!B19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IFERROR(E82*(1+VLOOKUP(I82,CategoryTable,2,FALSE)),0)</f>
        <v/>
      </c>
      <c r="G82" s="336">
        <f>'Client Setup - Sample'!B19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IFERROR(E83*(1+VLOOKUP(I83,CategoryTable,2,FALSE)),0)</f>
        <v/>
      </c>
      <c r="G83" s="345">
        <f>'Client Setup - Sample'!B19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IFERROR(E84*(1+VLOOKUP(I84,CategoryTable,2,FALSE)),0)</f>
        <v/>
      </c>
      <c r="G84" s="336">
        <f>'Client Setup - Sample'!B19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IFERROR(E85*(1+VLOOKUP(I85,CategoryTable,2,FALSE)),0)</f>
        <v/>
      </c>
      <c r="G85" s="345">
        <f>'Client Setup - Sample'!B19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IFERROR(E86*(1+VLOOKUP(I86,CategoryTable,2,FALSE)),0)</f>
        <v/>
      </c>
      <c r="G86" s="336">
        <f>'Client Setup - Sample'!B19</f>
        <v/>
      </c>
      <c r="H86" s="404" t="n"/>
      <c r="I86" s="337" t="inlineStr">
        <is>
          <t>AV &amp; Production</t>
        </is>
      </c>
      <c r="J86" s="423" t="inlineStr">
        <is>
          <t>AV / Production Subtotal</t>
        </is>
      </c>
      <c r="K86" s="424">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IFERROR(E87*(1+VLOOKUP(I87,CategoryTable,2,FALSE)),0)</f>
        <v/>
      </c>
      <c r="G87" s="345">
        <f>'Client Setup - Sample'!B19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IFERROR(E88*(1+VLOOKUP(I88,CategoryTable,2,FALSE)),0)</f>
        <v/>
      </c>
      <c r="G88" s="336">
        <f>'Client Setup - Sample'!B19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IFERROR(E89*(1+VLOOKUP(I89,CategoryTable,2,FALSE)),0)</f>
        <v/>
      </c>
      <c r="G89" s="345">
        <f>'Client Setup - Sample'!B19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419" t="inlineStr">
        <is>
          <t>TOTAL</t>
        </is>
      </c>
      <c r="K90" s="420">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IFERROR(E91*(1+VLOOKUP(I91,CategoryTable,2,FALSE)),0)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IFERROR(E92*(1+VLOOKUP(I92,CategoryTable,2,FALSE)),0)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IFERROR(E93*(1+VLOOKUP(I93,CategoryTable,2,FALSE)),0)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IFERROR(E94*(1+VLOOKUP(I94,CategoryTable,2,FALSE)),0)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IFERROR(E95*(1+VLOOKUP(I95,CategoryTable,2,FALSE)),0)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Sample'!B19,0)</f>
        <v/>
      </c>
      <c r="F100" s="358">
        <f>IFERROR(F99*'Client Setup - Sample'!B19,0)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Sample'!C35,0)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Sample'!C36,0)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425" t="n"/>
      <c r="K104" s="425"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IF(B113&lt;&gt;"",VLOOKUP(B113,TravelRates,2,FALSE),"")</f>
        <v/>
      </c>
      <c r="C114" s="383">
        <f>IF(C113&lt;&gt;"",VLOOKUP(C113,TravelRates,2,FALSE),"")</f>
        <v/>
      </c>
      <c r="D114" s="383">
        <f>IF(D113&lt;&gt;"",VLOOKUP(D113,TravelRates,2,FALSE),"")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IF(OR(B113="",B115=""),0,IF(B114="Flight",VLOOKUP(B113,TravelRates,4,FALSE)*B115,IF(B114="Drive",VLOOKUP(B113,TravelRates,3,FALSE),0)))</f>
        <v/>
      </c>
      <c r="C120" s="377">
        <f>IF(OR(C113="",C115=""),0,IF(C114="Flight",VLOOKUP(C113,TravelRates,4,FALSE)*C115,IF(C114="Drive",VLOOKUP(C113,TravelRates,3,FALSE),0)))</f>
        <v/>
      </c>
      <c r="D120" s="377">
        <f>IF(OR(D113="",D115=""),0,IF(D114="Flight",VLOOKUP(D113,TravelRates,4,FALSE)*D115,IF(D114="Drive",VLOOKUP(D113,TravelRates,3,FALSE),0)))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IF(OR(B113="",B115="",B116=""),0,VLOOKUP(B113,TravelRates,5,FALSE)*B116*B115)</f>
        <v/>
      </c>
      <c r="C121" s="411">
        <f>IF(OR(C113="",C115="",C116=""),0,VLOOKUP(C113,TravelRates,5,FALSE)*C116*C115)</f>
        <v/>
      </c>
      <c r="D121" s="411">
        <f>IF(OR(D113="",D115="",D116=""),0,VLOOKUP(D113,TravelRates,5,FALSE)*D116*D115)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IF(OR(B113="",B115=""),0,VLOOKUP(B113,TravelRates,6,FALSE)*(B116+1)*B115)</f>
        <v/>
      </c>
      <c r="C122" s="377">
        <f>IF(OR(C113="",C115=""),0,VLOOKUP(C113,TravelRates,6,FALSE)*(C116+1)*C115)</f>
        <v/>
      </c>
      <c r="D122" s="377">
        <f>IF(OR(D113="",D115=""),0,VLOOKUP(D113,TravelRates,6,FALSE)*(D116+1)*D115)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IF(OR(B117="",B117="None"),0,IF(B117="Custom",IF(ISNUMBER(B118),B118,0),IFERROR(VLOOKUP(B117,VehicleRates,2,FALSE),0)))</f>
        <v/>
      </c>
      <c r="C123" s="411">
        <f>IF(OR(C117="",C117="None"),0,IF(C117="Custom",IF(ISNUMBER(C118),C118,0),IFERROR(VLOOKUP(C117,VehicleRates,2,FALSE),0)))</f>
        <v/>
      </c>
      <c r="D123" s="411">
        <f>IF(OR(D117="",D117="None"),0,IF(D117="Custom",IF(ISNUMBER(D118),D118,0),IFERROR(VLOOKUP(D117,VehicleRates,2,FALSE),0)))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Sample'!C36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Sample'!B37="Yes",'Client Setup - Sample'!C37,0)</f>
        <v/>
      </c>
      <c r="D129" s="377">
        <f>IF('Client Setup - Sample'!B37="Yes",F104*'Client Setup - Sample'!C37,0)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VehicleList</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92" t="n"/>
      <c r="C1" s="92" t="n"/>
      <c r="D1" s="92" t="n"/>
      <c r="E1" s="92" t="n"/>
      <c r="F1" s="92" t="n"/>
      <c r="G1" s="92" t="n"/>
      <c r="H1" s="93"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92" t="n"/>
      <c r="C2" s="92" t="n"/>
      <c r="D2" s="92" t="n"/>
      <c r="E2" s="92" t="n"/>
      <c r="F2" s="92" t="n"/>
      <c r="G2" s="92" t="n"/>
      <c r="H2" s="93"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92" t="n"/>
      <c r="C4" s="92" t="n"/>
      <c r="D4" s="92" t="n"/>
      <c r="E4" s="92" t="n"/>
      <c r="F4" s="92" t="n"/>
      <c r="G4" s="92" t="n"/>
      <c r="H4" s="93" t="n"/>
      <c r="I4" s="257" t="n"/>
      <c r="J4" s="254" t="inlineStr">
        <is>
          <t>DETAILED CLIENT VIEW</t>
        </is>
      </c>
      <c r="K4" s="93" t="n"/>
      <c r="L4" s="253" t="n"/>
      <c r="M4" s="254" t="inlineStr">
        <is>
          <t>SUMMARY VIEW</t>
        </is>
      </c>
      <c r="N4" s="93" t="n"/>
      <c r="O4" s="94" t="n"/>
      <c r="P4" s="94" t="n"/>
      <c r="Q4" s="94" t="n"/>
      <c r="R4" s="94" t="n"/>
      <c r="S4" s="94" t="n"/>
      <c r="T4" s="94" t="n"/>
      <c r="U4" s="94" t="n"/>
      <c r="V4" s="94" t="n"/>
      <c r="W4" s="94" t="n"/>
      <c r="X4" s="94" t="n"/>
      <c r="Y4" s="94" t="n"/>
      <c r="Z4" s="94" t="n"/>
    </row>
    <row r="5" ht="21.75" customHeight="1" s="90">
      <c r="A5" s="305" t="inlineStr">
        <is>
          <t>Client:</t>
        </is>
      </c>
      <c r="B5" s="313">
        <f>'Client Setup - Blank'!B5</f>
        <v/>
      </c>
      <c r="C5" s="93" t="n"/>
      <c r="D5" s="304" t="n"/>
      <c r="E5" s="304" t="n"/>
      <c r="F5" s="304" t="n"/>
      <c r="G5" s="304" t="n"/>
      <c r="H5" s="304" t="n"/>
      <c r="I5" s="253" t="n"/>
      <c r="J5" s="305" t="inlineStr">
        <is>
          <t>Itemized — each section is one Canva slide</t>
        </is>
      </c>
      <c r="K5" s="93" t="n"/>
      <c r="L5" s="253" t="n"/>
      <c r="M5" s="305" t="inlineStr">
        <is>
          <t>Category totals for client</t>
        </is>
      </c>
      <c r="N5" s="93" t="n"/>
      <c r="O5" s="94" t="n"/>
      <c r="P5" s="94" t="n"/>
      <c r="Q5" s="94" t="n"/>
      <c r="R5" s="94" t="n"/>
      <c r="S5" s="94" t="n"/>
      <c r="T5" s="94" t="n"/>
      <c r="U5" s="94" t="n"/>
      <c r="V5" s="94" t="n"/>
      <c r="W5" s="94" t="n"/>
      <c r="X5" s="94" t="n"/>
      <c r="Y5" s="94" t="n"/>
      <c r="Z5" s="94" t="n"/>
    </row>
    <row r="6" ht="21.75" customHeight="1" s="90">
      <c r="A6" s="305" t="inlineStr">
        <is>
          <t>Event Date:</t>
        </is>
      </c>
      <c r="B6" s="386">
        <f>'Client Setup - Blank'!B6</f>
        <v/>
      </c>
      <c r="C6" s="93"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Blank'!B7</f>
        <v/>
      </c>
      <c r="C7" s="93" t="n"/>
      <c r="D7" s="304" t="n"/>
      <c r="E7" s="304" t="n"/>
      <c r="F7" s="304" t="n"/>
      <c r="G7" s="304" t="n"/>
      <c r="H7" s="304" t="n"/>
      <c r="I7" s="253" t="n"/>
      <c r="J7" s="308" t="inlineStr">
        <is>
          <t>DECOR &amp; PRODUCTION ESTIMATE</t>
        </is>
      </c>
      <c r="K7" s="93" t="n"/>
      <c r="L7" s="253" t="n"/>
      <c r="M7" s="308" t="inlineStr">
        <is>
          <t>DECOR &amp; PRODUCTION ESTIMATE</t>
        </is>
      </c>
      <c r="N7" s="93" t="n"/>
      <c r="O7" s="94" t="n"/>
      <c r="P7" s="94" t="n"/>
      <c r="Q7" s="94" t="n"/>
      <c r="R7" s="94" t="n"/>
      <c r="S7" s="94" t="n"/>
      <c r="T7" s="94" t="n"/>
      <c r="U7" s="94" t="n"/>
      <c r="V7" s="94" t="n"/>
      <c r="W7" s="94" t="n"/>
      <c r="X7" s="94" t="n"/>
      <c r="Y7" s="94" t="n"/>
      <c r="Z7" s="94" t="n"/>
    </row>
    <row r="8" ht="21.75" customHeight="1" s="90">
      <c r="A8" s="305" t="inlineStr">
        <is>
          <t>Location:</t>
        </is>
      </c>
      <c r="B8" s="313">
        <f>'Client Setup - Blank'!B16</f>
        <v/>
      </c>
      <c r="C8" s="93" t="n"/>
      <c r="D8" s="304" t="n"/>
      <c r="E8" s="304" t="n"/>
      <c r="F8" s="304" t="n"/>
      <c r="G8" s="304" t="n"/>
      <c r="H8" s="304" t="n"/>
      <c r="I8" s="253" t="n"/>
      <c r="J8" s="311">
        <f>'Client Setup - Blank'!B5</f>
        <v/>
      </c>
      <c r="K8" s="312">
        <f>'Client Setup - Blank'!B7&amp;" Guests"</f>
        <v/>
      </c>
      <c r="L8" s="253" t="n"/>
      <c r="M8" s="311">
        <f>'Client Setup - Blank'!B5</f>
        <v/>
      </c>
      <c r="N8" s="312">
        <f>'Client Setup - Blank'!B7&amp;" Guests"</f>
        <v/>
      </c>
      <c r="O8" s="94" t="n"/>
      <c r="P8" s="94" t="n"/>
      <c r="Q8" s="94" t="n"/>
      <c r="R8" s="94" t="n"/>
      <c r="S8" s="94" t="n"/>
      <c r="T8" s="94" t="n"/>
      <c r="U8" s="94" t="n"/>
      <c r="V8" s="94" t="n"/>
      <c r="W8" s="94" t="n"/>
      <c r="X8" s="94" t="n"/>
      <c r="Y8" s="94" t="n"/>
      <c r="Z8" s="94" t="n"/>
    </row>
    <row r="9" ht="21.75" customHeight="1" s="90">
      <c r="A9" s="305" t="inlineStr">
        <is>
          <t>Venue:</t>
        </is>
      </c>
      <c r="B9" s="302" t="n"/>
      <c r="C9" s="244" t="n"/>
      <c r="D9" s="304" t="n"/>
      <c r="E9" s="387" t="inlineStr">
        <is>
          <t>Event Time:</t>
        </is>
      </c>
      <c r="F9" s="388">
        <f>'Client Setup - Blank'!B10</f>
        <v/>
      </c>
      <c r="G9" s="304" t="n"/>
      <c r="H9" s="304" t="n"/>
      <c r="I9" s="253" t="n"/>
      <c r="J9" s="314">
        <f>TEXT('Client Setup - Blank'!B6,"MMMM D, YYYY")</f>
        <v/>
      </c>
      <c r="K9" s="304" t="n"/>
      <c r="L9" s="253" t="n"/>
      <c r="M9" s="314">
        <f>TEXT('Client Setup - Blank'!B6,"MMMM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Blank'!B11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Blank'!B12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Blank'!B13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421" t="inlineStr">
        <is>
          <t>ITEM</t>
        </is>
      </c>
      <c r="K14" s="422"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n"/>
      <c r="B16" s="391" t="n"/>
      <c r="C16" s="350" t="n"/>
      <c r="D16" s="334" t="n"/>
      <c r="E16" s="335">
        <f>C16*D16</f>
        <v/>
      </c>
      <c r="F16" s="335">
        <f>IFERROR(E16*(1+VLOOKUP(I16,CategoryTable,2,FALSE)),0)</f>
        <v/>
      </c>
      <c r="G16" s="336">
        <f>'Client Setup - Blank'!B19</f>
        <v/>
      </c>
      <c r="H16" s="392" t="n"/>
      <c r="I16" s="351" t="n"/>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n"/>
      <c r="B17" s="394" t="n"/>
      <c r="C17" s="354" t="n"/>
      <c r="D17" s="343" t="n"/>
      <c r="E17" s="344">
        <f>C17*D17</f>
        <v/>
      </c>
      <c r="F17" s="344">
        <f>IFERROR(E17*(1+VLOOKUP(I17,CategoryTable,2,FALSE)),0)</f>
        <v/>
      </c>
      <c r="G17" s="345">
        <f>'Client Setup - Blank'!B19</f>
        <v/>
      </c>
      <c r="H17" s="395" t="n"/>
      <c r="I17" s="355" t="n"/>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n"/>
      <c r="B18" s="391" t="n"/>
      <c r="C18" s="350" t="n"/>
      <c r="D18" s="334" t="n"/>
      <c r="E18" s="335">
        <f>C18*D18</f>
        <v/>
      </c>
      <c r="F18" s="335">
        <f>IFERROR(E18*(1+VLOOKUP(I18,CategoryTable,2,FALSE)),0)</f>
        <v/>
      </c>
      <c r="G18" s="336">
        <f>'Client Setup - Blank'!B19</f>
        <v/>
      </c>
      <c r="H18" s="392" t="n"/>
      <c r="I18" s="351" t="n"/>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IFERROR(E19*(1+VLOOKUP(I19,CategoryTable,2,FALSE)),0)</f>
        <v/>
      </c>
      <c r="G19" s="345">
        <f>'Client Setup - Blank'!B19</f>
        <v/>
      </c>
      <c r="H19" s="395" t="n"/>
      <c r="I19" s="355" t="n"/>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IFERROR(E20*(1+VLOOKUP(I20,CategoryTable,2,FALSE)),0)</f>
        <v/>
      </c>
      <c r="G20" s="336">
        <f>'Client Setup - Blank'!B19</f>
        <v/>
      </c>
      <c r="H20" s="392" t="n"/>
      <c r="I20" s="351" t="n"/>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IFERROR(E21*(1+VLOOKUP(I21,CategoryTable,2,FALSE)),0)</f>
        <v/>
      </c>
      <c r="G21" s="345">
        <f>'Client Setup - Blank'!B19</f>
        <v/>
      </c>
      <c r="H21" s="395" t="n"/>
      <c r="I21" s="355" t="n"/>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IFERROR(E22*(1+VLOOKUP(I22,CategoryTable,2,FALSE)),0)</f>
        <v/>
      </c>
      <c r="G22" s="336">
        <f>'Client Setup - Blank'!B19</f>
        <v/>
      </c>
      <c r="H22" s="392" t="n"/>
      <c r="I22" s="351" t="n"/>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IFERROR(E23*(1+VLOOKUP(I23,CategoryTable,2,FALSE)),0)</f>
        <v/>
      </c>
      <c r="G23" s="345">
        <f>'Client Setup - Blank'!B19</f>
        <v/>
      </c>
      <c r="H23" s="395" t="n"/>
      <c r="I23" s="355" t="n"/>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IFERROR(E24*(1+VLOOKUP(I24,CategoryTable,2,FALSE)),0)</f>
        <v/>
      </c>
      <c r="G24" s="336">
        <f>'Client Setup - Blank'!B19</f>
        <v/>
      </c>
      <c r="H24" s="392" t="n"/>
      <c r="I24" s="351" t="n"/>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IFERROR(E25*(1+VLOOKUP(I25,CategoryTable,2,FALSE)),0)</f>
        <v/>
      </c>
      <c r="G25" s="345">
        <f>'Client Setup - Blank'!B19</f>
        <v/>
      </c>
      <c r="H25" s="395" t="n"/>
      <c r="I25" s="355" t="n"/>
      <c r="J25" s="321">
        <f>IF(A25="","",A25&amp;" x"&amp;C25)</f>
        <v/>
      </c>
      <c r="K25" s="322">
        <f>IF(A25="","",ROUNDUP(F25/10,0)*10)</f>
        <v/>
      </c>
      <c r="L25" s="253" t="n"/>
      <c r="M25" s="338" t="inlineStr">
        <is>
          <t>Guest Count</t>
        </is>
      </c>
      <c r="N25" s="339">
        <f>'Client Setup - Blank'!B7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n"/>
      <c r="B27" s="391" t="n"/>
      <c r="C27" s="398" t="n"/>
      <c r="D27" s="334" t="n"/>
      <c r="E27" s="335">
        <f>D27</f>
        <v/>
      </c>
      <c r="F27" s="335">
        <f>IFERROR(E27*(1+VLOOKUP(I27,CategoryTable,2,FALSE)),0)</f>
        <v/>
      </c>
      <c r="G27" s="336" t="n">
        <v>0</v>
      </c>
      <c r="H27" s="392" t="n"/>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IFERROR(E28*(1+VLOOKUP(I28,CategoryTable,2,FALSE)),0)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IFERROR(E29*(1+VLOOKUP(I29,CategoryTable,2,FALSE)),0)</f>
        <v/>
      </c>
      <c r="G29" s="336" t="n">
        <v>0</v>
      </c>
      <c r="H29" s="392" t="n"/>
      <c r="I29" s="351" t="inlineStr">
        <is>
          <t>Delivery &amp; Logistics</t>
        </is>
      </c>
      <c r="J29" s="423" t="inlineStr">
        <is>
          <t>Floral Subtotal</t>
        </is>
      </c>
      <c r="K29" s="424">
        <f>SUM(K16:K28)</f>
        <v/>
      </c>
      <c r="L29" s="253" t="n"/>
      <c r="M29" s="352" t="n"/>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n"/>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n"/>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n"/>
      <c r="B35" s="391" t="n"/>
      <c r="C35" s="350" t="n"/>
      <c r="D35" s="334" t="n"/>
      <c r="E35" s="335">
        <f>C35*D35</f>
        <v/>
      </c>
      <c r="F35" s="335">
        <f>IFERROR(E35*(1+VLOOKUP(I35,CategoryTable,2,FALSE)),0)</f>
        <v/>
      </c>
      <c r="G35" s="336">
        <f>'Client Setup - Blank'!B19</f>
        <v/>
      </c>
      <c r="H35" s="392" t="n"/>
      <c r="I35" s="351" t="n"/>
      <c r="J35" s="321">
        <f>IF(A38="","",A38&amp;" x"&amp;C38)</f>
        <v/>
      </c>
      <c r="K35" s="322">
        <f>IF(A38="","",ROUNDUP(F38/10,0)*10)</f>
        <v/>
      </c>
      <c r="L35" s="253" t="n"/>
      <c r="M35" s="352" t="n"/>
      <c r="N35" s="324" t="n"/>
      <c r="O35" s="94" t="n"/>
      <c r="P35" s="94" t="n"/>
      <c r="Q35" s="94" t="n"/>
      <c r="R35" s="94" t="n"/>
      <c r="S35" s="94" t="n"/>
      <c r="T35" s="94" t="n"/>
      <c r="U35" s="94" t="n"/>
      <c r="V35" s="94" t="n"/>
      <c r="W35" s="94" t="n"/>
      <c r="X35" s="94" t="n"/>
      <c r="Y35" s="94" t="n"/>
      <c r="Z35" s="94" t="n"/>
    </row>
    <row r="36" ht="20" customHeight="1" s="90">
      <c r="A36" s="393" t="n"/>
      <c r="B36" s="394" t="n"/>
      <c r="C36" s="354" t="n"/>
      <c r="D36" s="343" t="n"/>
      <c r="E36" s="344">
        <f>C36*D36</f>
        <v/>
      </c>
      <c r="F36" s="344">
        <f>IFERROR(E36*(1+VLOOKUP(I36,CategoryTable,2,FALSE)),0)</f>
        <v/>
      </c>
      <c r="G36" s="345">
        <f>'Client Setup - Blank'!B19</f>
        <v/>
      </c>
      <c r="H36" s="395" t="n"/>
      <c r="I36" s="355" t="n"/>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IFERROR(E37*(1+VLOOKUP(I37,CategoryTable,2,FALSE)),0)</f>
        <v/>
      </c>
      <c r="G37" s="336">
        <f>'Client Setup - Blank'!B19</f>
        <v/>
      </c>
      <c r="H37" s="392" t="n"/>
      <c r="I37" s="351" t="n"/>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IFERROR(E38*(1+VLOOKUP(I38,CategoryTable,2,FALSE)),0)</f>
        <v/>
      </c>
      <c r="G38" s="345">
        <f>'Client Setup - Blank'!B19</f>
        <v/>
      </c>
      <c r="H38" s="395" t="n"/>
      <c r="I38" s="355" t="n"/>
      <c r="J38" s="321">
        <f>IF(A41="","",A41&amp;" x"&amp;C41)</f>
        <v/>
      </c>
      <c r="K38" s="322">
        <f>IF(A41="","",ROUNDUP(F41/10,0)*10)</f>
        <v/>
      </c>
      <c r="L38" s="253" t="n"/>
      <c r="M38" s="352" t="n"/>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IFERROR(E39*(1+VLOOKUP(I39,CategoryTable,2,FALSE)),0)</f>
        <v/>
      </c>
      <c r="G39" s="336">
        <f>'Client Setup - Blank'!B19</f>
        <v/>
      </c>
      <c r="H39" s="392" t="n"/>
      <c r="I39" s="351" t="n"/>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IFERROR(E40*(1+VLOOKUP(I40,CategoryTable,2,FALSE)),0)</f>
        <v/>
      </c>
      <c r="G40" s="345">
        <f>'Client Setup - Blank'!B19</f>
        <v/>
      </c>
      <c r="H40" s="395" t="n"/>
      <c r="I40" s="355" t="n"/>
      <c r="J40" s="321">
        <f>IF(A44="","",A44&amp;" x"&amp;C44)</f>
        <v/>
      </c>
      <c r="K40" s="322">
        <f>IF(A44="","",ROUNDUP(F44/10,0)*10)</f>
        <v/>
      </c>
      <c r="L40" s="253" t="n"/>
      <c r="M40" s="352" t="n"/>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IFERROR(E41*(1+VLOOKUP(I41,CategoryTable,2,FALSE)),0)</f>
        <v/>
      </c>
      <c r="G41" s="336">
        <f>'Client Setup - Blank'!B19</f>
        <v/>
      </c>
      <c r="H41" s="392" t="n"/>
      <c r="I41" s="351" t="n"/>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IFERROR(E42*(1+VLOOKUP(I42,CategoryTable,2,FALSE)),0)</f>
        <v/>
      </c>
      <c r="G42" s="345">
        <f>'Client Setup - Blank'!B19</f>
        <v/>
      </c>
      <c r="H42" s="395" t="n"/>
      <c r="I42" s="355" t="n"/>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n"/>
      <c r="B44" s="391" t="n"/>
      <c r="C44" s="350" t="n"/>
      <c r="D44" s="334" t="n"/>
      <c r="E44" s="335">
        <f>C44*D44</f>
        <v/>
      </c>
      <c r="F44" s="335">
        <f>IFERROR(E44*(1+VLOOKUP(I44,CategoryTable,2,FALSE)),0)</f>
        <v/>
      </c>
      <c r="G44" s="336">
        <f>'Client Setup - Blank'!B19</f>
        <v/>
      </c>
      <c r="H44" s="392" t="n"/>
      <c r="I44" s="351" t="n"/>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n"/>
      <c r="B45" s="394" t="n"/>
      <c r="C45" s="354" t="n"/>
      <c r="D45" s="343" t="n"/>
      <c r="E45" s="344">
        <f>C45*D45</f>
        <v/>
      </c>
      <c r="F45" s="344">
        <f>IFERROR(E45*(1+VLOOKUP(I45,CategoryTable,2,FALSE)),0)</f>
        <v/>
      </c>
      <c r="G45" s="345">
        <f>'Client Setup - Blank'!B19</f>
        <v/>
      </c>
      <c r="H45" s="395" t="n"/>
      <c r="I45" s="355" t="n"/>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n"/>
      <c r="B46" s="391" t="n"/>
      <c r="C46" s="350" t="n"/>
      <c r="D46" s="334" t="n"/>
      <c r="E46" s="335">
        <f>C46*D46</f>
        <v/>
      </c>
      <c r="F46" s="335">
        <f>IFERROR(E46*(1+VLOOKUP(I46,CategoryTable,2,FALSE)),0)</f>
        <v/>
      </c>
      <c r="G46" s="336">
        <f>'Client Setup - Blank'!B19</f>
        <v/>
      </c>
      <c r="H46" s="392" t="n"/>
      <c r="I46" s="351" t="n"/>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n"/>
      <c r="B47" s="394" t="n"/>
      <c r="C47" s="354" t="n"/>
      <c r="D47" s="343" t="n"/>
      <c r="E47" s="344">
        <f>C47*D47</f>
        <v/>
      </c>
      <c r="F47" s="344">
        <f>IFERROR(E47*(1+VLOOKUP(I47,CategoryTable,2,FALSE)),0)</f>
        <v/>
      </c>
      <c r="G47" s="345">
        <f>'Client Setup - Blank'!B19</f>
        <v/>
      </c>
      <c r="H47" s="395" t="n"/>
      <c r="I47" s="355" t="n"/>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IFERROR(E48*(1+VLOOKUP(I48,CategoryTable,2,FALSE)),0)</f>
        <v/>
      </c>
      <c r="G48" s="336">
        <f>'Client Setup - Blank'!B19</f>
        <v/>
      </c>
      <c r="H48" s="392" t="n"/>
      <c r="I48" s="351" t="n"/>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IFERROR(E49*(1+VLOOKUP(I49,CategoryTable,2,FALSE)),0)</f>
        <v/>
      </c>
      <c r="G49" s="345">
        <f>'Client Setup - Blank'!B19</f>
        <v/>
      </c>
      <c r="H49" s="395" t="n"/>
      <c r="I49" s="355" t="n"/>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IFERROR(E50*(1+VLOOKUP(I50,CategoryTable,2,FALSE)),0)</f>
        <v/>
      </c>
      <c r="G50" s="336">
        <f>'Client Setup - Blank'!B19</f>
        <v/>
      </c>
      <c r="H50" s="392" t="n"/>
      <c r="I50" s="351" t="n"/>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IFERROR(E51*(1+VLOOKUP(I51,CategoryTable,2,FALSE)),0)</f>
        <v/>
      </c>
      <c r="G51" s="345">
        <f>'Client Setup - Blank'!B19</f>
        <v/>
      </c>
      <c r="H51" s="395" t="n"/>
      <c r="I51" s="355" t="n"/>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n"/>
      <c r="B53" s="391" t="n"/>
      <c r="C53" s="350" t="n"/>
      <c r="D53" s="334" t="n"/>
      <c r="E53" s="335">
        <f>C53*D53</f>
        <v/>
      </c>
      <c r="F53" s="335">
        <f>IFERROR(E53*(1+VLOOKUP(I53,CategoryTable,2,FALSE)),0)</f>
        <v/>
      </c>
      <c r="G53" s="336">
        <f>'Client Setup - Blank'!B19</f>
        <v/>
      </c>
      <c r="H53" s="392" t="n"/>
      <c r="I53" s="351" t="n"/>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n"/>
      <c r="B54" s="394" t="n"/>
      <c r="C54" s="354" t="n"/>
      <c r="D54" s="343" t="n"/>
      <c r="E54" s="344">
        <f>C54*D54</f>
        <v/>
      </c>
      <c r="F54" s="344">
        <f>IFERROR(E54*(1+VLOOKUP(I54,CategoryTable,2,FALSE)),0)</f>
        <v/>
      </c>
      <c r="G54" s="345">
        <f>'Client Setup - Blank'!B19</f>
        <v/>
      </c>
      <c r="H54" s="395" t="n"/>
      <c r="I54" s="355" t="n"/>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n"/>
      <c r="B55" s="391" t="n"/>
      <c r="C55" s="350" t="n"/>
      <c r="D55" s="334" t="n"/>
      <c r="E55" s="335">
        <f>C55*D55</f>
        <v/>
      </c>
      <c r="F55" s="335">
        <f>IFERROR(E55*(1+VLOOKUP(I55,CategoryTable,2,FALSE)),0)</f>
        <v/>
      </c>
      <c r="G55" s="336">
        <f>'Client Setup - Blank'!B19</f>
        <v/>
      </c>
      <c r="H55" s="392" t="n"/>
      <c r="I55" s="351" t="n"/>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IFERROR(E56*(1+VLOOKUP(I56,CategoryTable,2,FALSE)),0)</f>
        <v/>
      </c>
      <c r="G56" s="345">
        <f>'Client Setup - Blank'!B19</f>
        <v/>
      </c>
      <c r="H56" s="395" t="n"/>
      <c r="I56" s="355" t="n"/>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IFERROR(E57*(1+VLOOKUP(I57,CategoryTable,2,FALSE)),0)</f>
        <v/>
      </c>
      <c r="G57" s="336">
        <f>'Client Setup - Blank'!B19</f>
        <v/>
      </c>
      <c r="H57" s="392" t="n"/>
      <c r="I57" s="351" t="n"/>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IFERROR(E58*(1+VLOOKUP(I58,CategoryTable,2,FALSE)),0)</f>
        <v/>
      </c>
      <c r="G58" s="345">
        <f>'Client Setup - Blank'!B19</f>
        <v/>
      </c>
      <c r="H58" s="395" t="n"/>
      <c r="I58" s="355" t="n"/>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IFERROR(E59*(1+VLOOKUP(I59,CategoryTable,2,FALSE)),0)</f>
        <v/>
      </c>
      <c r="G59" s="336">
        <f>'Client Setup - Blank'!B19</f>
        <v/>
      </c>
      <c r="H59" s="392" t="n"/>
      <c r="I59" s="351" t="n"/>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IFERROR(E60*(1+VLOOKUP(I60,CategoryTable,2,FALSE)),0)</f>
        <v/>
      </c>
      <c r="G60" s="345">
        <f>'Client Setup - Blank'!B19</f>
        <v/>
      </c>
      <c r="H60" s="395" t="n"/>
      <c r="I60" s="355" t="n"/>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n"/>
      <c r="B62" s="391" t="n"/>
      <c r="C62" s="350" t="n"/>
      <c r="D62" s="334" t="n"/>
      <c r="E62" s="335">
        <f>C62*D62</f>
        <v/>
      </c>
      <c r="F62" s="335">
        <f>IFERROR(E62*(1+VLOOKUP(I62,CategoryTable,2,FALSE)),0)</f>
        <v/>
      </c>
      <c r="G62" s="336">
        <f>'Client Setup - Blank'!B19</f>
        <v/>
      </c>
      <c r="H62" s="392" t="n"/>
      <c r="I62" s="351" t="n"/>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n"/>
      <c r="B63" s="394" t="n"/>
      <c r="C63" s="354" t="n"/>
      <c r="D63" s="343" t="n"/>
      <c r="E63" s="344">
        <f>C63*D63</f>
        <v/>
      </c>
      <c r="F63" s="344">
        <f>IFERROR(E63*(1+VLOOKUP(I63,CategoryTable,2,FALSE)),0)</f>
        <v/>
      </c>
      <c r="G63" s="345">
        <f>'Client Setup - Blank'!B19</f>
        <v/>
      </c>
      <c r="H63" s="395" t="n"/>
      <c r="I63" s="355" t="n"/>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n"/>
      <c r="B64" s="391" t="n"/>
      <c r="C64" s="350" t="n"/>
      <c r="D64" s="334" t="n"/>
      <c r="E64" s="335">
        <f>C64*D64</f>
        <v/>
      </c>
      <c r="F64" s="335">
        <f>IFERROR(E64*(1+VLOOKUP(I64,CategoryTable,2,FALSE)),0)</f>
        <v/>
      </c>
      <c r="G64" s="336">
        <f>'Client Setup - Blank'!B19</f>
        <v/>
      </c>
      <c r="H64" s="392" t="n"/>
      <c r="I64" s="351" t="n"/>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IFERROR(E65*(1+VLOOKUP(I65,CategoryTable,2,FALSE)),0)</f>
        <v/>
      </c>
      <c r="G65" s="345">
        <f>'Client Setup - Blank'!B19</f>
        <v/>
      </c>
      <c r="H65" s="395" t="n"/>
      <c r="I65" s="355" t="n"/>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IFERROR(E66*(1+VLOOKUP(I66,CategoryTable,2,FALSE)),0)</f>
        <v/>
      </c>
      <c r="G66" s="336">
        <f>'Client Setup - Blank'!B19</f>
        <v/>
      </c>
      <c r="H66" s="392" t="n"/>
      <c r="I66" s="351" t="n"/>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IFERROR(E67*(1+VLOOKUP(I67,CategoryTable,2,FALSE)),0)</f>
        <v/>
      </c>
      <c r="G67" s="345">
        <f>'Client Setup - Blank'!B19</f>
        <v/>
      </c>
      <c r="H67" s="395" t="n"/>
      <c r="I67" s="355" t="n"/>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423" t="inlineStr">
        <is>
          <t>Rentals &amp; Lounge Subtotal</t>
        </is>
      </c>
      <c r="K68" s="424">
        <f>SUM(K32:K67)</f>
        <v/>
      </c>
      <c r="L68" s="253" t="n"/>
      <c r="M68" s="253" t="n"/>
      <c r="N68" s="253" t="n"/>
      <c r="O68" s="94" t="n"/>
      <c r="P68" s="94" t="n"/>
      <c r="Q68" s="94" t="n"/>
      <c r="R68" s="94" t="n"/>
      <c r="S68" s="94" t="n"/>
      <c r="T68" s="94" t="n"/>
      <c r="U68" s="94" t="n"/>
      <c r="V68" s="94" t="n"/>
      <c r="W68" s="94" t="n"/>
      <c r="X68" s="94" t="n"/>
      <c r="Y68" s="94" t="n"/>
      <c r="Z68" s="94" t="n"/>
    </row>
    <row r="69" ht="20" customHeight="1" s="90">
      <c r="A69" s="390" t="n"/>
      <c r="B69" s="391" t="n"/>
      <c r="C69" s="398" t="n"/>
      <c r="D69" s="334" t="n"/>
      <c r="E69" s="335">
        <f>D69</f>
        <v/>
      </c>
      <c r="F69" s="335">
        <f>IFERROR(E69*(1+VLOOKUP(I69,CategoryTable,2,FALSE)),0)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n"/>
      <c r="B70" s="394" t="n"/>
      <c r="C70" s="399" t="n"/>
      <c r="D70" s="343" t="n"/>
      <c r="E70" s="344">
        <f>D70</f>
        <v/>
      </c>
      <c r="F70" s="344">
        <f>IFERROR(E70*(1+VLOOKUP(I70,CategoryTable,2,FALSE)),0)</f>
        <v/>
      </c>
      <c r="G70" s="345" t="n">
        <v>0</v>
      </c>
      <c r="H70" s="395" t="n"/>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n"/>
      <c r="B71" s="391" t="n"/>
      <c r="C71" s="398" t="n"/>
      <c r="D71" s="334" t="n"/>
      <c r="E71" s="335">
        <f>D71</f>
        <v/>
      </c>
      <c r="F71" s="335">
        <f>IFERROR(E71*(1+VLOOKUP(I71,CategoryTable,2,FALSE)),0)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n"/>
      <c r="B72" s="394" t="n"/>
      <c r="C72" s="399" t="n"/>
      <c r="D72" s="343" t="n"/>
      <c r="E72" s="344">
        <f>D72</f>
        <v/>
      </c>
      <c r="F72" s="344">
        <f>IFERROR(E72*(1+VLOOKUP(I72,CategoryTable,2,FALSE)),0)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n"/>
      <c r="B73" s="391" t="n"/>
      <c r="C73" s="398" t="n"/>
      <c r="D73" s="334" t="n"/>
      <c r="E73" s="335">
        <f>D73</f>
        <v/>
      </c>
      <c r="F73" s="335">
        <f>IFERROR(E73*(1+VLOOKUP(I73,CategoryTable,2,FALSE)),0)</f>
        <v/>
      </c>
      <c r="G73" s="336" t="n">
        <v>0</v>
      </c>
      <c r="H73" s="392" t="n"/>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n"/>
      <c r="B74" s="394" t="n"/>
      <c r="C74" s="399" t="n"/>
      <c r="D74" s="343" t="n"/>
      <c r="E74" s="344">
        <f>D74</f>
        <v/>
      </c>
      <c r="F74" s="344">
        <f>IFERROR(E74*(1+VLOOKUP(I74,CategoryTable,2,FALSE)),0)</f>
        <v/>
      </c>
      <c r="G74" s="345" t="n">
        <v>0</v>
      </c>
      <c r="H74" s="395" t="n"/>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IFERROR(E80*(1+VLOOKUP(I80,CategoryTable,2,FALSE)),0)</f>
        <v/>
      </c>
      <c r="G80" s="336">
        <f>'Client Setup - Blank'!B19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IFERROR(E81*(1+VLOOKUP(I81,CategoryTable,2,FALSE)),0)</f>
        <v/>
      </c>
      <c r="G81" s="345">
        <f>'Client Setup - Blank'!B19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IFERROR(E82*(1+VLOOKUP(I82,CategoryTable,2,FALSE)),0)</f>
        <v/>
      </c>
      <c r="G82" s="336">
        <f>'Client Setup - Blank'!B19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IFERROR(E83*(1+VLOOKUP(I83,CategoryTable,2,FALSE)),0)</f>
        <v/>
      </c>
      <c r="G83" s="345">
        <f>'Client Setup - Blank'!B19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IFERROR(E84*(1+VLOOKUP(I84,CategoryTable,2,FALSE)),0)</f>
        <v/>
      </c>
      <c r="G84" s="336">
        <f>'Client Setup - Blank'!B19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IFERROR(E85*(1+VLOOKUP(I85,CategoryTable,2,FALSE)),0)</f>
        <v/>
      </c>
      <c r="G85" s="345">
        <f>'Client Setup - Blank'!B19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IFERROR(E86*(1+VLOOKUP(I86,CategoryTable,2,FALSE)),0)</f>
        <v/>
      </c>
      <c r="G86" s="336">
        <f>'Client Setup - Blank'!B19</f>
        <v/>
      </c>
      <c r="H86" s="404" t="n"/>
      <c r="I86" s="337" t="inlineStr">
        <is>
          <t>AV &amp; Production</t>
        </is>
      </c>
      <c r="J86" s="423" t="inlineStr">
        <is>
          <t>AV / Production Subtotal</t>
        </is>
      </c>
      <c r="K86" s="424">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IFERROR(E87*(1+VLOOKUP(I87,CategoryTable,2,FALSE)),0)</f>
        <v/>
      </c>
      <c r="G87" s="345">
        <f>'Client Setup - Blank'!B19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IFERROR(E88*(1+VLOOKUP(I88,CategoryTable,2,FALSE)),0)</f>
        <v/>
      </c>
      <c r="G88" s="336">
        <f>'Client Setup - Blank'!B19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IFERROR(E89*(1+VLOOKUP(I89,CategoryTable,2,FALSE)),0)</f>
        <v/>
      </c>
      <c r="G89" s="345">
        <f>'Client Setup - Blank'!B19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419" t="inlineStr">
        <is>
          <t>TOTAL</t>
        </is>
      </c>
      <c r="K90" s="420">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IFERROR(E91*(1+VLOOKUP(I91,CategoryTable,2,FALSE)),0)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IFERROR(E92*(1+VLOOKUP(I92,CategoryTable,2,FALSE)),0)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IFERROR(E93*(1+VLOOKUP(I93,CategoryTable,2,FALSE)),0)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IFERROR(E94*(1+VLOOKUP(I94,CategoryTable,2,FALSE)),0)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IFERROR(E95*(1+VLOOKUP(I95,CategoryTable,2,FALSE)),0)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Blank'!B19,0)</f>
        <v/>
      </c>
      <c r="F100" s="358">
        <f>IFERROR(F99*'Client Setup - Blank'!B19,0)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Blank'!C35,0)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Blank'!C36,0)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425" t="n"/>
      <c r="K104" s="425"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IF(B113&lt;&gt;"",VLOOKUP(B113,TravelRates,2,FALSE),"")</f>
        <v/>
      </c>
      <c r="C114" s="383">
        <f>IF(C113&lt;&gt;"",VLOOKUP(C113,TravelRates,2,FALSE),"")</f>
        <v/>
      </c>
      <c r="D114" s="383">
        <f>IF(D113&lt;&gt;"",VLOOKUP(D113,TravelRates,2,FALSE),"")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IF(OR(B113="",B115=""),0,IF(B114="Flight",VLOOKUP(B113,TravelRates,4,FALSE)*B115,IF(B114="Drive",VLOOKUP(B113,TravelRates,3,FALSE),0)))</f>
        <v/>
      </c>
      <c r="C120" s="377">
        <f>IF(OR(C113="",C115=""),0,IF(C114="Flight",VLOOKUP(C113,TravelRates,4,FALSE)*C115,IF(C114="Drive",VLOOKUP(C113,TravelRates,3,FALSE),0)))</f>
        <v/>
      </c>
      <c r="D120" s="377">
        <f>IF(OR(D113="",D115=""),0,IF(D114="Flight",VLOOKUP(D113,TravelRates,4,FALSE)*D115,IF(D114="Drive",VLOOKUP(D113,TravelRates,3,FALSE),0)))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IF(OR(B113="",B115="",B116=""),0,VLOOKUP(B113,TravelRates,5,FALSE)*B116*B115)</f>
        <v/>
      </c>
      <c r="C121" s="411">
        <f>IF(OR(C113="",C115="",C116=""),0,VLOOKUP(C113,TravelRates,5,FALSE)*C116*C115)</f>
        <v/>
      </c>
      <c r="D121" s="411">
        <f>IF(OR(D113="",D115="",D116=""),0,VLOOKUP(D113,TravelRates,5,FALSE)*D116*D115)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IF(OR(B113="",B115=""),0,VLOOKUP(B113,TravelRates,6,FALSE)*(B116+1)*B115)</f>
        <v/>
      </c>
      <c r="C122" s="377">
        <f>IF(OR(C113="",C115=""),0,VLOOKUP(C113,TravelRates,6,FALSE)*(C116+1)*C115)</f>
        <v/>
      </c>
      <c r="D122" s="377">
        <f>IF(OR(D113="",D115=""),0,VLOOKUP(D113,TravelRates,6,FALSE)*(D116+1)*D115)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IF(OR(B117="",B117="None"),0,IF(B117="Custom",IF(ISNUMBER(B118),B118,0),IFERROR(VLOOKUP(B117,VehicleRates,2,FALSE),0)))</f>
        <v/>
      </c>
      <c r="C123" s="411">
        <f>IF(OR(C117="",C117="None"),0,IF(C117="Custom",IF(ISNUMBER(C118),C118,0),IFERROR(VLOOKUP(C117,VehicleRates,2,FALSE),0)))</f>
        <v/>
      </c>
      <c r="D123" s="411">
        <f>IF(OR(D117="",D117="None"),0,IF(D117="Custom",IF(ISNUMBER(D118),D118,0),IFERROR(VLOOKUP(D117,VehicleRates,2,FALSE),0)))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Blank'!C36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Blank'!B37="Yes",'Client Setup - Blank'!C37,0)</f>
        <v/>
      </c>
      <c r="D129" s="377">
        <f>IF('Client Setup - Blank'!B37="Yes",F104*'Client Setup - Blank'!C37,0)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VehicleList</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2026-04-01T17:41:29Z</dcterms:modified>
  <cp:revision>0</cp:revision>
</cp:coreProperties>
</file>